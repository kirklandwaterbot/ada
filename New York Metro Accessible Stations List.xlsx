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vators" sheetId="1" r:id="rId5"/>
    <sheet state="visible" name="Escalators" sheetId="2" r:id="rId6"/>
    <sheet state="visible" name="Sheet5" sheetId="3" r:id="rId7"/>
    <sheet state="visible" name="Accessibility Dashboard" sheetId="4" r:id="rId8"/>
    <sheet state="visible" name="Other" sheetId="5" r:id="rId9"/>
  </sheets>
  <definedNames>
    <definedName name="ifw_edit_options_1478993052">#REF!</definedName>
    <definedName name="ifw_edit_title_1478993052">#REF!</definedName>
    <definedName name="ifw_edit_description_1478993052">#REF!</definedName>
    <definedName name="ifw_edit_urls_1_1478993052">#REF!</definedName>
    <definedName name="ifw_edit_selectors_1_1478993052">#REF!</definedName>
  </definedNames>
  <calcPr/>
</workbook>
</file>

<file path=xl/sharedStrings.xml><?xml version="1.0" encoding="utf-8"?>
<sst xmlns="http://schemas.openxmlformats.org/spreadsheetml/2006/main" count="8546" uniqueCount="1892">
  <si>
    <t>Station</t>
  </si>
  <si>
    <t>Services</t>
  </si>
  <si>
    <t>Division</t>
  </si>
  <si>
    <t>Line</t>
  </si>
  <si>
    <t>♿ / ❌</t>
  </si>
  <si>
    <t>IF NOT, ARE THERE ANY OFFICAL PLANS TO DO SO? IF NOT, POSSIBLE REASONS?</t>
  </si>
  <si>
    <t>DATE MADE FIRST ACCESSIBLE</t>
  </si>
  <si>
    <t>SOURCES</t>
  </si>
  <si>
    <t>Opened</t>
  </si>
  <si>
    <t>Borough</t>
  </si>
  <si>
    <t>Neighborhood</t>
  </si>
  <si>
    <t>Ridership (2024)</t>
  </si>
  <si>
    <t>Rank</t>
  </si>
  <si>
    <t>1 Av</t>
  </si>
  <si>
    <t>L</t>
  </si>
  <si>
    <t>BMT</t>
  </si>
  <si>
    <t>Canarsie Line</t>
  </si>
  <si>
    <t>♿</t>
  </si>
  <si>
    <t>August 6, 2020</t>
  </si>
  <si>
    <t>MTA Officials Announce Opening of New Elevators at Two L Train Stations and Join Accessibility Advocates to Call for Urgently Needed Federal Funding</t>
  </si>
  <si>
    <t>Manhattan</t>
  </si>
  <si>
    <t>East Village</t>
  </si>
  <si>
    <t>125 St</t>
  </si>
  <si>
    <t>IRT</t>
  </si>
  <si>
    <t>Broadway-7 Av Line</t>
  </si>
  <si>
    <t>Manhattanville</t>
  </si>
  <si>
    <t>A,B,C,D</t>
  </si>
  <si>
    <t>IND</t>
  </si>
  <si>
    <t>8 Av Line</t>
  </si>
  <si>
    <t>2000</t>
  </si>
  <si>
    <t>Harlem</t>
  </si>
  <si>
    <t>4,5,6</t>
  </si>
  <si>
    <t>Lexington Av Line</t>
  </si>
  <si>
    <t>East Harlem</t>
  </si>
  <si>
    <t>135 St</t>
  </si>
  <si>
    <t>2,3</t>
  </si>
  <si>
    <t>Lenox Av Line</t>
  </si>
  <si>
    <t>14 St-Union Sq</t>
  </si>
  <si>
    <t>N,Q,R,W</t>
  </si>
  <si>
    <t>Broadway Line</t>
  </si>
  <si>
    <t>Union Square</t>
  </si>
  <si>
    <t>14 St/6 Av</t>
  </si>
  <si>
    <t>F,M</t>
  </si>
  <si>
    <t>6 Av Line</t>
  </si>
  <si>
    <t>Chelsea</t>
  </si>
  <si>
    <t>14 St/Eighth Av</t>
  </si>
  <si>
    <t>A,C,E</t>
  </si>
  <si>
    <t>14 St/Sixth Av</t>
  </si>
  <si>
    <t>1,2,3</t>
  </si>
  <si>
    <t>161 St-Yankee Stadium</t>
  </si>
  <si>
    <t>B, D</t>
  </si>
  <si>
    <t>Concourse Line</t>
  </si>
  <si>
    <t>late 2002</t>
  </si>
  <si>
    <t>The Bronx</t>
  </si>
  <si>
    <t>Highbridge</t>
  </si>
  <si>
    <t>Jerome Av Line</t>
  </si>
  <si>
    <t>170 St</t>
  </si>
  <si>
    <t>175 St</t>
  </si>
  <si>
    <t>A</t>
  </si>
  <si>
    <t>November 1989 (?)</t>
  </si>
  <si>
    <t>Washington Heights</t>
  </si>
  <si>
    <t>181 St</t>
  </si>
  <si>
    <t>207 St</t>
  </si>
  <si>
    <t>Late 1990s</t>
  </si>
  <si>
    <t>Inwood</t>
  </si>
  <si>
    <t>21 St-Queensbridge</t>
  </si>
  <si>
    <t>M</t>
  </si>
  <si>
    <t>63rd St Line</t>
  </si>
  <si>
    <t>Queens</t>
  </si>
  <si>
    <t>Long Island City</t>
  </si>
  <si>
    <t>23 St-Baruch College</t>
  </si>
  <si>
    <t>Gramercy</t>
  </si>
  <si>
    <t>231 St</t>
  </si>
  <si>
    <t>Kingsbridge</t>
  </si>
  <si>
    <t>233 St</t>
  </si>
  <si>
    <t>White Plains Rd Line</t>
  </si>
  <si>
    <t>Wakefield</t>
  </si>
  <si>
    <t>3 Av-149 St</t>
  </si>
  <si>
    <t>2,5</t>
  </si>
  <si>
    <t>Mott Haven</t>
  </si>
  <si>
    <t>34 St-Herald Sq</t>
  </si>
  <si>
    <t>1996</t>
  </si>
  <si>
    <t>Midtown</t>
  </si>
  <si>
    <t>B,D,F,M</t>
  </si>
  <si>
    <t>34 St-Hudson Yards</t>
  </si>
  <si>
    <t>Flushing Line</t>
  </si>
  <si>
    <t>Hell's Kitchen</t>
  </si>
  <si>
    <t>34 St-Penn Station</t>
  </si>
  <si>
    <t>1990s</t>
  </si>
  <si>
    <t>42 St-Port Authority Bus Terminal</t>
  </si>
  <si>
    <t>47-50 Sts-Rockefeller Center</t>
  </si>
  <si>
    <t>1994-1996</t>
  </si>
  <si>
    <t>5 Av/53 St</t>
  </si>
  <si>
    <t>E,F</t>
  </si>
  <si>
    <t>Queens Blvd Line</t>
  </si>
  <si>
    <t>57 St-7 Av</t>
  </si>
  <si>
    <t>June 1, 2021</t>
  </si>
  <si>
    <t>Midtown Manhattan's 57 St NQRW Station Now Accessible to All Riders | MTA</t>
  </si>
  <si>
    <t>59 St</t>
  </si>
  <si>
    <t>N,R</t>
  </si>
  <si>
    <t>4 Av Line</t>
  </si>
  <si>
    <t>November 9, 2020</t>
  </si>
  <si>
    <t>MTA Unveils New Fully Accessible Station in Brooklyn</t>
  </si>
  <si>
    <t>Brooklyn</t>
  </si>
  <si>
    <t>Sunset Park</t>
  </si>
  <si>
    <t>59 St-Columbus Circle</t>
  </si>
  <si>
    <t>2011</t>
  </si>
  <si>
    <t>61 St-Woodside</t>
  </si>
  <si>
    <t>Woodside</t>
  </si>
  <si>
    <t>62 St/New Utrecht Av</t>
  </si>
  <si>
    <t>N</t>
  </si>
  <si>
    <t>Sea Beach Line</t>
  </si>
  <si>
    <t>July 19, 2019</t>
  </si>
  <si>
    <t>New Utrecht Av/62 St ADA project | The Metropolitan Transpor… | Flickr</t>
  </si>
  <si>
    <t>Borough Park</t>
  </si>
  <si>
    <t>D</t>
  </si>
  <si>
    <t>West End Line</t>
  </si>
  <si>
    <t>66 St-Lincoln Center</t>
  </si>
  <si>
    <t>Upper West Side</t>
  </si>
  <si>
    <t>68 St-Hunter College</t>
  </si>
  <si>
    <t>Upper East Side</t>
  </si>
  <si>
    <t>7 Av</t>
  </si>
  <si>
    <t>B,Q</t>
  </si>
  <si>
    <t>Brighton Line</t>
  </si>
  <si>
    <t>Park Slope</t>
  </si>
  <si>
    <t>F,G</t>
  </si>
  <si>
    <t>Culver Line</t>
  </si>
  <si>
    <t>72 St</t>
  </si>
  <si>
    <t>Q</t>
  </si>
  <si>
    <t>2 Av Line</t>
  </si>
  <si>
    <t>January 1, 2017</t>
  </si>
  <si>
    <t>Second Avenue Subway Phase 1</t>
  </si>
  <si>
    <t>8 Av</t>
  </si>
  <si>
    <t>86 St</t>
  </si>
  <si>
    <t>R</t>
  </si>
  <si>
    <t>July 29, 2020</t>
  </si>
  <si>
    <t>MTA Announces Completion of Four ADA-Accessible Stations Coinciding with 30th Anniversary of the Americans with Disabilities Act</t>
  </si>
  <si>
    <t>Bay Ridge</t>
  </si>
  <si>
    <t>96 St</t>
  </si>
  <si>
    <t>Aqueduct Racetrack</t>
  </si>
  <si>
    <t>Rockaway Line</t>
  </si>
  <si>
    <t>August 13, 2013</t>
  </si>
  <si>
    <t>Aqueduct Raceway Station Opens On the A Line | WFUV</t>
  </si>
  <si>
    <t>Ozone Park</t>
  </si>
  <si>
    <t>Arthur Kill</t>
  </si>
  <si>
    <t>SIR</t>
  </si>
  <si>
    <t>Staten Island Railway</t>
  </si>
  <si>
    <t>Staten Island</t>
  </si>
  <si>
    <t>Tottenville</t>
  </si>
  <si>
    <t>Astoria Blvd</t>
  </si>
  <si>
    <t>N,W</t>
  </si>
  <si>
    <t>Astoria Line</t>
  </si>
  <si>
    <t>July 27, 2020</t>
  </si>
  <si>
    <t>Astoria</t>
  </si>
  <si>
    <t>Atlantic Av-Barclays Center</t>
  </si>
  <si>
    <t>Late 2004</t>
  </si>
  <si>
    <t>Downtown Brooklyn</t>
  </si>
  <si>
    <t>2,3,4,5</t>
  </si>
  <si>
    <t>Eastern Pkwy Line</t>
  </si>
  <si>
    <t>D,N,R</t>
  </si>
  <si>
    <t>Av H</t>
  </si>
  <si>
    <t>Midwood</t>
  </si>
  <si>
    <t>Bay Pkwy</t>
  </si>
  <si>
    <t>August 3, 2012</t>
  </si>
  <si>
    <t>MTA completes seven station rehabilitation projects along D Line - Railway Track and Structures</t>
  </si>
  <si>
    <t>Bensonhurst</t>
  </si>
  <si>
    <t>Bay Ridge-95 St</t>
  </si>
  <si>
    <t>July 8, 2025</t>
  </si>
  <si>
    <t>MTA Announces Two Elevators Open at Accessible Bay Ridge-95 St R Station</t>
  </si>
  <si>
    <t>Beach 67 St</t>
  </si>
  <si>
    <t>January 19, 2024</t>
  </si>
  <si>
    <t>MTA Announces Beach 67 St A Station in Queens Now Fully Accessible</t>
  </si>
  <si>
    <t>Arverne</t>
  </si>
  <si>
    <t>Bedford Av</t>
  </si>
  <si>
    <t>Williamsburg</t>
  </si>
  <si>
    <t>Bedford Park Blvd</t>
  </si>
  <si>
    <t>October 15, 2020</t>
  </si>
  <si>
    <t>MTA Announces Newly Accessible Bedford Park Blvd B/D Station in The Bronx</t>
  </si>
  <si>
    <t>Bedford Park</t>
  </si>
  <si>
    <t>Borough Hall/Court St</t>
  </si>
  <si>
    <t>December 5, 2025</t>
  </si>
  <si>
    <t>New ADA-Accessible Elevators and FULL ADA Accessibility at Borough Hall 4/5 Station #shorts - YouTube</t>
  </si>
  <si>
    <t>4,5</t>
  </si>
  <si>
    <t>Bowling Green</t>
  </si>
  <si>
    <t>Financial District</t>
  </si>
  <si>
    <t>Broadway-Lafayette St/Bleecker St</t>
  </si>
  <si>
    <t>September 25, 2012</t>
  </si>
  <si>
    <t>NYCT_2190 | MTA Chairman &amp; CEO Joseph J. Lhota and New York … | Flickr</t>
  </si>
  <si>
    <t>Greenwich Village</t>
  </si>
  <si>
    <t>Brooklyn Bridge-City Hall/Chambers St</t>
  </si>
  <si>
    <t>Civic Center</t>
  </si>
  <si>
    <t>J</t>
  </si>
  <si>
    <t>Nassau St Line</t>
  </si>
  <si>
    <t>Canal St</t>
  </si>
  <si>
    <t>Chinatown</t>
  </si>
  <si>
    <t>Canarsie-Rockaway Pkwy</t>
  </si>
  <si>
    <t>Canarsie</t>
  </si>
  <si>
    <t>Chambers St</t>
  </si>
  <si>
    <t>Chambers St-World Trade Center/Park Place/Cortlandt St</t>
  </si>
  <si>
    <t>R,W</t>
  </si>
  <si>
    <t>August 20, 2005</t>
  </si>
  <si>
    <t>A,C</t>
  </si>
  <si>
    <t>E</t>
  </si>
  <si>
    <t>Church Av</t>
  </si>
  <si>
    <t>Flatbush</t>
  </si>
  <si>
    <t>Kensington</t>
  </si>
  <si>
    <t>Nostrand Av Line</t>
  </si>
  <si>
    <t>East Flatbush</t>
  </si>
  <si>
    <t>Coney Island-Stillwell Av</t>
  </si>
  <si>
    <t>D,F,N,Q</t>
  </si>
  <si>
    <t>BMT, IND</t>
  </si>
  <si>
    <t>Brighton Line, Culver Line,Sea Beach Line, West End Line</t>
  </si>
  <si>
    <t>May 1, 2005</t>
  </si>
  <si>
    <t>Coney Island</t>
  </si>
  <si>
    <t>Court Sq-23 St</t>
  </si>
  <si>
    <t>G</t>
  </si>
  <si>
    <t>Crosstown Line</t>
  </si>
  <si>
    <t>Crown Heights-Utica Av</t>
  </si>
  <si>
    <t>May 24, 2014</t>
  </si>
  <si>
    <t>Crown Heights</t>
  </si>
  <si>
    <t>DeKalb Av</t>
  </si>
  <si>
    <t>2006</t>
  </si>
  <si>
    <t>Bushwick</t>
  </si>
  <si>
    <t>B, Q, R</t>
  </si>
  <si>
    <t>4 Av Line,Brighton Line</t>
  </si>
  <si>
    <t>Downtown</t>
  </si>
  <si>
    <t>Dongan Hills</t>
  </si>
  <si>
    <t>April 23, 1860</t>
  </si>
  <si>
    <t>Dyckman St</t>
  </si>
  <si>
    <t>East 149 St</t>
  </si>
  <si>
    <t>Pelham Line</t>
  </si>
  <si>
    <t>Longwood</t>
  </si>
  <si>
    <t>East 180 St</t>
  </si>
  <si>
    <t>Van Nest</t>
  </si>
  <si>
    <t>Eastern Pkwy-Brooklyn Museum</t>
  </si>
  <si>
    <t>Prospect Heights</t>
  </si>
  <si>
    <t>Euclid Av</t>
  </si>
  <si>
    <t>A, C</t>
  </si>
  <si>
    <t>Fulton St Line</t>
  </si>
  <si>
    <t>March 2006</t>
  </si>
  <si>
    <t>https://web.archive.org/web/20060409080402/http://mta.info/nyct/maps/subwaymap.pdf</t>
  </si>
  <si>
    <t>East New York</t>
  </si>
  <si>
    <t>Far Rockaway-Mott Av</t>
  </si>
  <si>
    <t>May 11, 2012</t>
  </si>
  <si>
    <t>Far Rockaway</t>
  </si>
  <si>
    <t>Flatbush Av-Brooklyn College</t>
  </si>
  <si>
    <t>Flushing Av</t>
  </si>
  <si>
    <t>J, M</t>
  </si>
  <si>
    <t>Jamaica Line</t>
  </si>
  <si>
    <t>June 25, 1888</t>
  </si>
  <si>
    <t>Flushing-Main St</t>
  </si>
  <si>
    <t>Flushing</t>
  </si>
  <si>
    <t>Fordham Rd</t>
  </si>
  <si>
    <t>University Heights</t>
  </si>
  <si>
    <t>Forest Hills-71 Av</t>
  </si>
  <si>
    <t>E, F, M, R</t>
  </si>
  <si>
    <t>Forest Hills</t>
  </si>
  <si>
    <t>Franklin Av</t>
  </si>
  <si>
    <t>SF</t>
  </si>
  <si>
    <t>Franklin Av Line</t>
  </si>
  <si>
    <t>October 17, 1999</t>
  </si>
  <si>
    <t>August 15, 1896</t>
  </si>
  <si>
    <t>Bedford-Stuyvesant</t>
  </si>
  <si>
    <t>Franklin Av/Botanic Garden</t>
  </si>
  <si>
    <t>2, 3, 4, 5</t>
  </si>
  <si>
    <t>Fulton St</t>
  </si>
  <si>
    <t>J, Z</t>
  </si>
  <si>
    <t>Grand Central-42 St</t>
  </si>
  <si>
    <t>S</t>
  </si>
  <si>
    <t>42nd St Line</t>
  </si>
  <si>
    <t>September 7, 2021</t>
  </si>
  <si>
    <t>July 19, 1991</t>
  </si>
  <si>
    <t>Grand St</t>
  </si>
  <si>
    <t>August 31, 2023</t>
  </si>
  <si>
    <t>ICYMI: Governor Hochul Announces Progress in Increasing MTA Accessibility</t>
  </si>
  <si>
    <t>Great Kills</t>
  </si>
  <si>
    <t>January 1, 1992</t>
  </si>
  <si>
    <t>Greenpoint Av</t>
  </si>
  <si>
    <t>December 10, 2020</t>
  </si>
  <si>
    <t>MTA Announces Greenpoint Av G Station Now Fully Accessible</t>
  </si>
  <si>
    <t>Greenpoint</t>
  </si>
  <si>
    <t>Gun Hill Rd</t>
  </si>
  <si>
    <t>Dyre Av Line</t>
  </si>
  <si>
    <t>January 7, 2021</t>
  </si>
  <si>
    <t>MTA Completes ADA Elevator Installation at Gun Hill Rd Station in The Bronx</t>
  </si>
  <si>
    <t>Baychester</t>
  </si>
  <si>
    <t>December 31, 2007</t>
  </si>
  <si>
    <t>Williamsbridge</t>
  </si>
  <si>
    <t>Howard Beach-JFK Airport</t>
  </si>
  <si>
    <t>December 17, 2003</t>
  </si>
  <si>
    <t>Howard Beach</t>
  </si>
  <si>
    <t>Hunts Point Av</t>
  </si>
  <si>
    <t>Inwood-207 St</t>
  </si>
  <si>
    <t>Jackson Heights-Roosevelt Av/74 St</t>
  </si>
  <si>
    <t>Jackson Heights</t>
  </si>
  <si>
    <t>Jamaica Center-Parsons/Archer</t>
  </si>
  <si>
    <t>E, J, Z</t>
  </si>
  <si>
    <t>Archer Av Line</t>
  </si>
  <si>
    <t>Jamaica</t>
  </si>
  <si>
    <t>Jamaica-179 St</t>
  </si>
  <si>
    <t>F</t>
  </si>
  <si>
    <t>Jamaica-Van Wyck</t>
  </si>
  <si>
    <t>Kew Gardens</t>
  </si>
  <si>
    <t>Jay St-MetroTech</t>
  </si>
  <si>
    <t>A, C, F</t>
  </si>
  <si>
    <t>Culver Line,Fulton St Line</t>
  </si>
  <si>
    <t>December 10, 2010</t>
  </si>
  <si>
    <r>
      <rPr>
        <rFont val="Calibri, sans-serif"/>
        <color rgb="FF1155CC"/>
        <sz val="11.0"/>
        <u/>
      </rPr>
      <t>https://gothamist.com/news/photos-new-jay-st-metro-tech-station-links-acf-to-the-r</t>
    </r>
    <r>
      <rPr>
        <rFont val="Calibri, sans-serif"/>
        <color rgb="FF000000"/>
        <sz val="11.0"/>
      </rPr>
      <t>r</t>
    </r>
  </si>
  <si>
    <t>https://gothamist.com/news/photos-new-jay-st-metro-tech-station-links-acf-to-the-r</t>
  </si>
  <si>
    <t>Junction Blvd</t>
  </si>
  <si>
    <t>Corona</t>
  </si>
  <si>
    <t>Kew Gardens-Union Turnpike</t>
  </si>
  <si>
    <t>E, F</t>
  </si>
  <si>
    <t>Kings Hwy</t>
  </si>
  <si>
    <t>B, Q</t>
  </si>
  <si>
    <t>Kingsbridge Rd</t>
  </si>
  <si>
    <t>December 19, 2014</t>
  </si>
  <si>
    <t>https://brooklyn.news12.com/elevators-up-and-running-at-bronx-subway-stop-34813506</t>
  </si>
  <si>
    <t>Fordham</t>
  </si>
  <si>
    <t>Lexington Av-63 St</t>
  </si>
  <si>
    <t>M, Q</t>
  </si>
  <si>
    <t>Lexington Av/51 St</t>
  </si>
  <si>
    <t>Lexington Av/59 St</t>
  </si>
  <si>
    <t>N,R,W</t>
  </si>
  <si>
    <t>October 29, 1989</t>
  </si>
  <si>
    <t>Livonia Av</t>
  </si>
  <si>
    <t>Brownsville</t>
  </si>
  <si>
    <t>Marcy Av</t>
  </si>
  <si>
    <t>J, M, Z</t>
  </si>
  <si>
    <t>Metropolitan Av/Lorimer St</t>
  </si>
  <si>
    <t>Middle Village-Metropolitan Av</t>
  </si>
  <si>
    <t>Myrtle Av Line</t>
  </si>
  <si>
    <t>Middle Village</t>
  </si>
  <si>
    <t>Mosholu Pkwy</t>
  </si>
  <si>
    <t>September 3, 2025</t>
  </si>
  <si>
    <t>MTA Announces Opening of Two Elevators at the Mosholu Parkway 4 Subway Station, Making Station Accessible</t>
  </si>
  <si>
    <t>Myrtle-Wyckoff Avs</t>
  </si>
  <si>
    <t>July 20, 1889</t>
  </si>
  <si>
    <t>New Dorp</t>
  </si>
  <si>
    <t>Northern Blvd</t>
  </si>
  <si>
    <t>M, R</t>
  </si>
  <si>
    <t>Ozone Park-Lefferts Blvd</t>
  </si>
  <si>
    <t>Richmond Hill</t>
  </si>
  <si>
    <t>Park Place</t>
  </si>
  <si>
    <t>October 18, 1999</t>
  </si>
  <si>
    <t>Parkchester</t>
  </si>
  <si>
    <t>Pelham Bay Park</t>
  </si>
  <si>
    <t>Pelham Bay</t>
  </si>
  <si>
    <t>Pelham Pkwy</t>
  </si>
  <si>
    <t>Pelham Parkway</t>
  </si>
  <si>
    <t>Prospect Park</t>
  </si>
  <si>
    <t>B,Q,SF</t>
  </si>
  <si>
    <t>Brighton Line,Franklin Av Line</t>
  </si>
  <si>
    <t>Queens Plaza</t>
  </si>
  <si>
    <t>E,F,R</t>
  </si>
  <si>
    <t>Queensboro Plaza</t>
  </si>
  <si>
    <t>7,N,W</t>
  </si>
  <si>
    <t>BMT, IRT</t>
  </si>
  <si>
    <t>Astoria Line, Flushing Line</t>
  </si>
  <si>
    <t>Rockaway Park-Beach 116 St</t>
  </si>
  <si>
    <t>A,SR</t>
  </si>
  <si>
    <t>June 28, 1956</t>
  </si>
  <si>
    <t>Rockaway Park</t>
  </si>
  <si>
    <t>Roosevelt Island</t>
  </si>
  <si>
    <t>Sheepshead Bay</t>
  </si>
  <si>
    <t>Simpson St</t>
  </si>
  <si>
    <t>South Ferry/Whitehall St</t>
  </si>
  <si>
    <t>March 16, 2009</t>
  </si>
  <si>
    <t>Battery Park</t>
  </si>
  <si>
    <t>Spring St</t>
  </si>
  <si>
    <t>Little Italy</t>
  </si>
  <si>
    <t>St. George</t>
  </si>
  <si>
    <t>March 7, 1886</t>
  </si>
  <si>
    <t>Sutphin Blvd-Archer Av-JFK Airport</t>
  </si>
  <si>
    <t>E,J,Z</t>
  </si>
  <si>
    <t>Times Sq-42 St</t>
  </si>
  <si>
    <t>1999</t>
  </si>
  <si>
    <t>Times Square</t>
  </si>
  <si>
    <t>June 2, 1860</t>
  </si>
  <si>
    <t>Tremont Av</t>
  </si>
  <si>
    <t>B,D</t>
  </si>
  <si>
    <t>February 27, 2024</t>
  </si>
  <si>
    <t>MTA Announces Tremont Av B D Station in The Bronx Now Fully Accessible</t>
  </si>
  <si>
    <t>Tremont</t>
  </si>
  <si>
    <t>Utica Av</t>
  </si>
  <si>
    <t>West 4 St-Washington Sq</t>
  </si>
  <si>
    <t>A,B,C,D,E,F,M</t>
  </si>
  <si>
    <t>6 Av Line,8 Av Line</t>
  </si>
  <si>
    <t>April 1, 2005</t>
  </si>
  <si>
    <t>Westchester Sq-East Tremont Av</t>
  </si>
  <si>
    <t>Westchester Square</t>
  </si>
  <si>
    <t>Woodhaven Blvd</t>
  </si>
  <si>
    <t>J,Z</t>
  </si>
  <si>
    <t>Woodhaven</t>
  </si>
  <si>
    <t>WTC Cortlandt</t>
  </si>
  <si>
    <t>Harlem-148 St</t>
  </si>
  <si>
    <t>May 1, 2026</t>
  </si>
  <si>
    <t>MTA Unveils Accessibility Upgrades at Harlem-148 St Station</t>
  </si>
  <si>
    <t>168 St</t>
  </si>
  <si>
    <t>♿ (A, C only)</t>
  </si>
  <si>
    <t>September 10, 1932</t>
  </si>
  <si>
    <t>28 St</t>
  </si>
  <si>
    <t>♿ (downtown)</t>
  </si>
  <si>
    <t>Rose Hill</t>
  </si>
  <si>
    <t>50 St</t>
  </si>
  <si>
    <t>C,E</t>
  </si>
  <si>
    <t>8 Av Line,Queens Blvd Line</t>
  </si>
  <si>
    <t>♿ (Manhattan bound)</t>
  </si>
  <si>
    <t>Wilson Av</t>
  </si>
  <si>
    <t>♿ (northbound)</t>
  </si>
  <si>
    <t>♿ (only uptown 6)</t>
  </si>
  <si>
    <t>Hoyt St</t>
  </si>
  <si>
    <t>♿ (southbound)</t>
  </si>
  <si>
    <t>September 21, 2023</t>
  </si>
  <si>
    <t>MTA Announces Opening of New, Accessible Hoyt St Subway Station Entrance in Brooklyn</t>
  </si>
  <si>
    <t>Hudson Square</t>
  </si>
  <si>
    <t>49 St</t>
  </si>
  <si>
    <t>♿ (uptown)</t>
  </si>
  <si>
    <t>2001</t>
  </si>
  <si>
    <t>137 St-City College</t>
  </si>
  <si>
    <t>137th Street City College Uptown Elevator Now Opened : r/nycrail</t>
  </si>
  <si>
    <t>Hamilton Heights</t>
  </si>
  <si>
    <t>❌</t>
  </si>
  <si>
    <t>Kingsbridge Heights</t>
  </si>
  <si>
    <t>Bedford Park Blvd-Lehman College</t>
  </si>
  <si>
    <t>103 St</t>
  </si>
  <si>
    <t>✅</t>
  </si>
  <si>
    <t>B,C</t>
  </si>
  <si>
    <t>103 St-Corona Plaza</t>
  </si>
  <si>
    <t>104 St</t>
  </si>
  <si>
    <t>110 St</t>
  </si>
  <si>
    <t>110 St-Malcolm X Plaza</t>
  </si>
  <si>
    <t>111 St</t>
  </si>
  <si>
    <t>116 St</t>
  </si>
  <si>
    <t>B, C</t>
  </si>
  <si>
    <t>116 St-Columbia University</t>
  </si>
  <si>
    <t>Morningside Heights</t>
  </si>
  <si>
    <t>121 St</t>
  </si>
  <si>
    <t>138 St-Grand Concourse</t>
  </si>
  <si>
    <t>ADA for Southbound platform is very unlikely due to platform gap movers</t>
  </si>
  <si>
    <t>145 St</t>
  </si>
  <si>
    <t>8 Av Line,Concourse Line</t>
  </si>
  <si>
    <t>149 St-Grand Concourse</t>
  </si>
  <si>
    <t>15 St-Prospect Park</t>
  </si>
  <si>
    <t>Windsor Terrace</t>
  </si>
  <si>
    <t>155 St</t>
  </si>
  <si>
    <t>C</t>
  </si>
  <si>
    <t>157 St</t>
  </si>
  <si>
    <t>163 St-Amsterdam Av</t>
  </si>
  <si>
    <t>167 St</t>
  </si>
  <si>
    <t>169 St</t>
  </si>
  <si>
    <t>174 St</t>
  </si>
  <si>
    <t>Crotona Park East</t>
  </si>
  <si>
    <t>174-175 Sts</t>
  </si>
  <si>
    <t>176 St</t>
  </si>
  <si>
    <t>Morris Heights</t>
  </si>
  <si>
    <t>18 Av</t>
  </si>
  <si>
    <t>18 St</t>
  </si>
  <si>
    <t>182-183 Sts</t>
  </si>
  <si>
    <t>183 St</t>
  </si>
  <si>
    <t>190 St</t>
  </si>
  <si>
    <t>191 St</t>
  </si>
  <si>
    <t>2 Av</t>
  </si>
  <si>
    <t>20 Av</t>
  </si>
  <si>
    <t>21 St</t>
  </si>
  <si>
    <t>215 St</t>
  </si>
  <si>
    <t>219 St</t>
  </si>
  <si>
    <t>225 St</t>
  </si>
  <si>
    <t>23 St</t>
  </si>
  <si>
    <t>Flatiron District</t>
  </si>
  <si>
    <t>238 St</t>
  </si>
  <si>
    <t>25 Av</t>
  </si>
  <si>
    <t>25 St</t>
  </si>
  <si>
    <t>Greenwood Heights</t>
  </si>
  <si>
    <t>3 Av</t>
  </si>
  <si>
    <t>3 Av-138 St</t>
  </si>
  <si>
    <t>30 Av</t>
  </si>
  <si>
    <t>33 St</t>
  </si>
  <si>
    <t>Murray Hill</t>
  </si>
  <si>
    <t>33 St-Rawson St</t>
  </si>
  <si>
    <t>Sunnyside</t>
  </si>
  <si>
    <t>36 Av</t>
  </si>
  <si>
    <t>36 St</t>
  </si>
  <si>
    <t>M,R</t>
  </si>
  <si>
    <t>39 Av</t>
  </si>
  <si>
    <t>4 Av/9 St</t>
  </si>
  <si>
    <t>40 St-Lowery St</t>
  </si>
  <si>
    <t>42 St-Bryant Park/5 Av</t>
  </si>
  <si>
    <t>42 St-Bryant Park/Fifth Av</t>
  </si>
  <si>
    <t>45 St</t>
  </si>
  <si>
    <t>46 St</t>
  </si>
  <si>
    <t>46 St-Bliss St</t>
  </si>
  <si>
    <t>5 Av-59 St</t>
  </si>
  <si>
    <t>52 St</t>
  </si>
  <si>
    <t>53 St</t>
  </si>
  <si>
    <t>55 St</t>
  </si>
  <si>
    <t>57 St</t>
  </si>
  <si>
    <t>63 Dr-Rego Park</t>
  </si>
  <si>
    <t>Rego Park</t>
  </si>
  <si>
    <t>65 St</t>
  </si>
  <si>
    <t>67 Av</t>
  </si>
  <si>
    <t>69 St</t>
  </si>
  <si>
    <t>B,D,E</t>
  </si>
  <si>
    <t>6 Av Line,Queens Blvd Line</t>
  </si>
  <si>
    <t>71 St</t>
  </si>
  <si>
    <t>75 Av</t>
  </si>
  <si>
    <t>75 St-Elderts Lane</t>
  </si>
  <si>
    <t>77 St</t>
  </si>
  <si>
    <t>79 St</t>
  </si>
  <si>
    <t>8 St-New York University</t>
  </si>
  <si>
    <t>80 St</t>
  </si>
  <si>
    <t>81 St-Museum of Natural History</t>
  </si>
  <si>
    <t>82 St-Jackson Heights</t>
  </si>
  <si>
    <t>85 St-Forest Pkwy</t>
  </si>
  <si>
    <t>Gravesend</t>
  </si>
  <si>
    <t>88 St</t>
  </si>
  <si>
    <t>9 Av</t>
  </si>
  <si>
    <t>90 St-Elmhurst Av</t>
  </si>
  <si>
    <t>Elmhurst</t>
  </si>
  <si>
    <t>Alabama Av</t>
  </si>
  <si>
    <t>September 5, 1885</t>
  </si>
  <si>
    <t>Allerton Av</t>
  </si>
  <si>
    <t>Allerton</t>
  </si>
  <si>
    <t>Annadale</t>
  </si>
  <si>
    <t>May 14, 1860</t>
  </si>
  <si>
    <t>Aqueduct-North Conduit Av</t>
  </si>
  <si>
    <t>Astor Place</t>
  </si>
  <si>
    <t>Astoria-Ditmars Blvd</t>
  </si>
  <si>
    <t>Atlantic Av</t>
  </si>
  <si>
    <t>July 4, 1889</t>
  </si>
  <si>
    <t>Av I</t>
  </si>
  <si>
    <t>Av J</t>
  </si>
  <si>
    <t>Av M</t>
  </si>
  <si>
    <t>Av N</t>
  </si>
  <si>
    <t>Av P</t>
  </si>
  <si>
    <t>Av U</t>
  </si>
  <si>
    <t>Homecrest</t>
  </si>
  <si>
    <t>Av X</t>
  </si>
  <si>
    <t>Bay 50 St</t>
  </si>
  <si>
    <t>Bay Ridge Av</t>
  </si>
  <si>
    <t>Bay Terrace</t>
  </si>
  <si>
    <t>Early 1900s</t>
  </si>
  <si>
    <t>Baychester Av</t>
  </si>
  <si>
    <t>Eastchester</t>
  </si>
  <si>
    <t>Beach 105 St</t>
  </si>
  <si>
    <t>SR</t>
  </si>
  <si>
    <t>Beach 25 St</t>
  </si>
  <si>
    <t>Bayswater</t>
  </si>
  <si>
    <t>Beach 36 St</t>
  </si>
  <si>
    <t>Edgemere</t>
  </si>
  <si>
    <t>Beach 44 St</t>
  </si>
  <si>
    <t>Beach 60 St</t>
  </si>
  <si>
    <t>Beach 90 St</t>
  </si>
  <si>
    <t>Rockaway Beach</t>
  </si>
  <si>
    <t>Beach 98 St</t>
  </si>
  <si>
    <t>Bedford-Nostrand Avs</t>
  </si>
  <si>
    <t>Bergen St</t>
  </si>
  <si>
    <t>Boerum Hill</t>
  </si>
  <si>
    <t>Beverley Rd</t>
  </si>
  <si>
    <t>Platform way too narrow</t>
  </si>
  <si>
    <t>Beverly Rd</t>
  </si>
  <si>
    <t>Too many conduits &amp; entry point of Montauge St Tunnel</t>
  </si>
  <si>
    <t>Bowery</t>
  </si>
  <si>
    <t>Lower East Side</t>
  </si>
  <si>
    <t>Briarwood</t>
  </si>
  <si>
    <t>Brighton Beach</t>
  </si>
  <si>
    <t>Broad Channel</t>
  </si>
  <si>
    <t>A, SR</t>
  </si>
  <si>
    <t>Broad St</t>
  </si>
  <si>
    <t>Broadway</t>
  </si>
  <si>
    <t>N, W</t>
  </si>
  <si>
    <t>Broadway Junction</t>
  </si>
  <si>
    <t>Bronx Park East</t>
  </si>
  <si>
    <t>Brook Av</t>
  </si>
  <si>
    <t>Buhre Av</t>
  </si>
  <si>
    <t>Burke Av</t>
  </si>
  <si>
    <t>Burnside Av</t>
  </si>
  <si>
    <t>Bushwick Av-Aberdeen St</t>
  </si>
  <si>
    <t>N,Q</t>
  </si>
  <si>
    <t>SoHo</t>
  </si>
  <si>
    <t>Tribeca</t>
  </si>
  <si>
    <t>Carroll St</t>
  </si>
  <si>
    <t>Carroll Gardens</t>
  </si>
  <si>
    <t>Castle Hill Av</t>
  </si>
  <si>
    <t>Castle Hill</t>
  </si>
  <si>
    <t>Cathedral Pkwy-110 St</t>
  </si>
  <si>
    <t>Central Av</t>
  </si>
  <si>
    <t>Chauncey St</t>
  </si>
  <si>
    <t>July 18, 1885</t>
  </si>
  <si>
    <t>Christopher St-Stonewall</t>
  </si>
  <si>
    <t>City Hall</t>
  </si>
  <si>
    <t>Clark St</t>
  </si>
  <si>
    <t>Platform is too narrow &amp; entry point of Clark St Tunnel</t>
  </si>
  <si>
    <t>Brooklyn Heights</t>
  </si>
  <si>
    <t>Classon Av</t>
  </si>
  <si>
    <t>Cleveland St</t>
  </si>
  <si>
    <t>May 30, 1893</t>
  </si>
  <si>
    <t>Clifton</t>
  </si>
  <si>
    <t>Clinton-Washington Avs</t>
  </si>
  <si>
    <t>Clinton Hill</t>
  </si>
  <si>
    <t>Cortelyou Rd</t>
  </si>
  <si>
    <t>Crescent St</t>
  </si>
  <si>
    <t>Cypress Av</t>
  </si>
  <si>
    <t>Cypress Hills</t>
  </si>
  <si>
    <t>Delancey St/Essex St</t>
  </si>
  <si>
    <t>F, M</t>
  </si>
  <si>
    <t>Ditmas Av</t>
  </si>
  <si>
    <t>East 105 St</t>
  </si>
  <si>
    <t>East 143 St-St. Mary's St</t>
  </si>
  <si>
    <t>East Broadway</t>
  </si>
  <si>
    <t>Eastchester-Dyre Av</t>
  </si>
  <si>
    <t>Elder Av</t>
  </si>
  <si>
    <t>Soundview</t>
  </si>
  <si>
    <t>Elmhurst Av</t>
  </si>
  <si>
    <t>Eltingville</t>
  </si>
  <si>
    <t>Forest Av</t>
  </si>
  <si>
    <t>Ridgewood</t>
  </si>
  <si>
    <t>Fort Hamilton Pkwy</t>
  </si>
  <si>
    <t>F, G</t>
  </si>
  <si>
    <t>Franklin St</t>
  </si>
  <si>
    <t>Freeman St</t>
  </si>
  <si>
    <t>Fresh Pond Rd</t>
  </si>
  <si>
    <t>Fort Greene</t>
  </si>
  <si>
    <t>Gates Av</t>
  </si>
  <si>
    <t>May 13, 1885</t>
  </si>
  <si>
    <t>Graham Av</t>
  </si>
  <si>
    <t>Grand Army Plaza</t>
  </si>
  <si>
    <t>Grand Av-Newtown</t>
  </si>
  <si>
    <t>Grant Av</t>
  </si>
  <si>
    <t>Grant City</t>
  </si>
  <si>
    <t>Grasmere</t>
  </si>
  <si>
    <t>Halsey St</t>
  </si>
  <si>
    <t>August 19, 1885</t>
  </si>
  <si>
    <t>Hewes St</t>
  </si>
  <si>
    <t>High St</t>
  </si>
  <si>
    <t>Houston St</t>
  </si>
  <si>
    <t>Hoyt-Schermerhorn Sts</t>
  </si>
  <si>
    <t>A, C, G</t>
  </si>
  <si>
    <t>Crosstown Line,Fulton St Line</t>
  </si>
  <si>
    <t>Huguenot</t>
  </si>
  <si>
    <t>Hunters Point Av</t>
  </si>
  <si>
    <t>Intervale Av</t>
  </si>
  <si>
    <t>Jackson Av</t>
  </si>
  <si>
    <t>Melrose</t>
  </si>
  <si>
    <t>Jefferson Av</t>
  </si>
  <si>
    <t>Midland Beach</t>
  </si>
  <si>
    <t>Jefferson St</t>
  </si>
  <si>
    <t>Junius St</t>
  </si>
  <si>
    <t>New Lots Line</t>
  </si>
  <si>
    <t>Kingston Av</t>
  </si>
  <si>
    <t>Kingston-Throop Avs</t>
  </si>
  <si>
    <t>Knickerbocker Av</t>
  </si>
  <si>
    <t>August 15, 1889</t>
  </si>
  <si>
    <t>Kosciuszko St</t>
  </si>
  <si>
    <t>Lafayette Av</t>
  </si>
  <si>
    <t>E,M</t>
  </si>
  <si>
    <t>Liberty Av</t>
  </si>
  <si>
    <t>Longwood Av</t>
  </si>
  <si>
    <t>Lorimer St</t>
  </si>
  <si>
    <t>Marble Hill-225 St</t>
  </si>
  <si>
    <t>Marble Hill</t>
  </si>
  <si>
    <t>Mets-Willets Point</t>
  </si>
  <si>
    <t>Willets Point</t>
  </si>
  <si>
    <t>Middletown Rd</t>
  </si>
  <si>
    <t>Montrose Av</t>
  </si>
  <si>
    <t>East Williamsburg</t>
  </si>
  <si>
    <t>Morgan Av</t>
  </si>
  <si>
    <t>Morris Park</t>
  </si>
  <si>
    <t>Morrison Av-Soundview</t>
  </si>
  <si>
    <t>Mount Eden Av</t>
  </si>
  <si>
    <t>Myrtle Av</t>
  </si>
  <si>
    <t>Myrtle-Willoughby Avs</t>
  </si>
  <si>
    <t>Nassau Av</t>
  </si>
  <si>
    <t>Neck Rd</t>
  </si>
  <si>
    <t>Neptune Av</t>
  </si>
  <si>
    <t>Nereid Av</t>
  </si>
  <si>
    <t>Nevins St</t>
  </si>
  <si>
    <t>New Lots Av</t>
  </si>
  <si>
    <t>Newkirk Av-Little Haiti</t>
  </si>
  <si>
    <t>Newkirk Plaza</t>
  </si>
  <si>
    <t>Ditmas Park</t>
  </si>
  <si>
    <t>Norwood Av</t>
  </si>
  <si>
    <t>Norwood-205 St</t>
  </si>
  <si>
    <t>Norwood</t>
  </si>
  <si>
    <t>Nostrand Av</t>
  </si>
  <si>
    <t>Oakwood Heights</t>
  </si>
  <si>
    <t>Oakwood</t>
  </si>
  <si>
    <t>Ocean Pkwy</t>
  </si>
  <si>
    <t>Old Town</t>
  </si>
  <si>
    <t>Parkside Av</t>
  </si>
  <si>
    <t>Prospect Lefferts Gardens</t>
  </si>
  <si>
    <t>Parsons Blvd</t>
  </si>
  <si>
    <t>Pelham Gardens</t>
  </si>
  <si>
    <t>Pennsylvania Av</t>
  </si>
  <si>
    <t>Pleasant Plains</t>
  </si>
  <si>
    <t>President St-Medgar Evers College</t>
  </si>
  <si>
    <t>Prince St</t>
  </si>
  <si>
    <t>R, W</t>
  </si>
  <si>
    <t>Prince's Bay</t>
  </si>
  <si>
    <t>Prospect Av</t>
  </si>
  <si>
    <t>Gowanus</t>
  </si>
  <si>
    <t>Ralph Av</t>
  </si>
  <si>
    <t>Rector St</t>
  </si>
  <si>
    <t>Richmond Valley</t>
  </si>
  <si>
    <t>Rockaway Av</t>
  </si>
  <si>
    <t>Rockaway Blvd</t>
  </si>
  <si>
    <t>Saratoga Av</t>
  </si>
  <si>
    <t>Seneca Av</t>
  </si>
  <si>
    <t>Shepherd Av</t>
  </si>
  <si>
    <t>Smith-Ninth Sts</t>
  </si>
  <si>
    <t>St. Lawrence Av</t>
  </si>
  <si>
    <t>Stapleton</t>
  </si>
  <si>
    <t>July 31, 1884</t>
  </si>
  <si>
    <t>Steinway St</t>
  </si>
  <si>
    <t>Sterling St</t>
  </si>
  <si>
    <t>Sutphin Blvd</t>
  </si>
  <si>
    <t>Sutter Av</t>
  </si>
  <si>
    <t>Sutter Av-Rutland Rd</t>
  </si>
  <si>
    <t>Tompkinsville</t>
  </si>
  <si>
    <t>Union St</t>
  </si>
  <si>
    <t>Van Cortlandt Park-242 St</t>
  </si>
  <si>
    <t>Riverdale</t>
  </si>
  <si>
    <t>Van Siclen Av</t>
  </si>
  <si>
    <t>December 3, 1885</t>
  </si>
  <si>
    <t>Vernon Blvd-Jackson Av</t>
  </si>
  <si>
    <t>Wakefield-241 St</t>
  </si>
  <si>
    <t>Wall St</t>
  </si>
  <si>
    <t>West Eighth St-New York Aquarium</t>
  </si>
  <si>
    <t>F,Q</t>
  </si>
  <si>
    <t>Brighton Line, Culver Line</t>
  </si>
  <si>
    <t>West Farms Sq-East Tremont Av</t>
  </si>
  <si>
    <t>West Farms</t>
  </si>
  <si>
    <t>Whitlock Av</t>
  </si>
  <si>
    <t>Foxhurst</t>
  </si>
  <si>
    <t>Winthrop St</t>
  </si>
  <si>
    <t>Woodlawn</t>
  </si>
  <si>
    <t>York St</t>
  </si>
  <si>
    <t>Unlikely for now due to Manhattan Bridge underpinning and costs ~3 more than average ADA upgrade</t>
  </si>
  <si>
    <t>Dumbo</t>
  </si>
  <si>
    <t>Zerega Av</t>
  </si>
  <si>
    <t>↗️ / ❌</t>
  </si>
  <si>
    <t>Original Installation Date</t>
  </si>
  <si>
    <t>Latest Installation Date</t>
  </si>
  <si>
    <t>Service Life</t>
  </si>
  <si>
    <t>NYCT Owned</t>
  </si>
  <si>
    <t>Maintained By</t>
  </si>
  <si>
    <t>Installer</t>
  </si>
  <si>
    <t>Revenue Machine</t>
  </si>
  <si>
    <t>Street Access</t>
  </si>
  <si>
    <t>Exposed to Weather</t>
  </si>
  <si>
    <t>Escalator Rise</t>
  </si>
  <si>
    <t>Escalator Number of Steps</t>
  </si>
  <si>
    <t>Escalator Step Width</t>
  </si>
  <si>
    <t>Notes</t>
  </si>
  <si>
    <t>Georeference</t>
  </si>
  <si>
    <t>Equipment Code</t>
  </si>
  <si>
    <t>Elevator or Escalator</t>
  </si>
  <si>
    <t>Station Name</t>
  </si>
  <si>
    <t>Station Description</t>
  </si>
  <si>
    <t>Station Complex MRN</t>
  </si>
  <si>
    <t>Station Complex Description</t>
  </si>
  <si>
    <t>Subway Line</t>
  </si>
  <si>
    <t>Service Status Code</t>
  </si>
  <si>
    <t>Service Status</t>
  </si>
  <si>
    <t>ADA Compliant</t>
  </si>
  <si>
    <t>Elevator Rise</t>
  </si>
  <si>
    <t>Elevator Capacity</t>
  </si>
  <si>
    <t>Elevator Loading Class</t>
  </si>
  <si>
    <t>Elevator Number of Landings</t>
  </si>
  <si>
    <t>Elevator Direction Serviced</t>
  </si>
  <si>
    <t>Elevator Order</t>
  </si>
  <si>
    <t>Elevator Mezzanine 1 Access</t>
  </si>
  <si>
    <t>Elevator Mezzanine 2 Access</t>
  </si>
  <si>
    <t>Elevator Platform Access</t>
  </si>
  <si>
    <t>Redundant Elevator</t>
  </si>
  <si>
    <t>Redundant Elevator Street Access</t>
  </si>
  <si>
    <t>Redundant Elevator Mezzanine Access</t>
  </si>
  <si>
    <t>Redundant Elevator Access Between Mezzanines</t>
  </si>
  <si>
    <t>Redundant Elevator Platform Access</t>
  </si>
  <si>
    <t>Alternative Route</t>
  </si>
  <si>
    <t>ES600X</t>
  </si>
  <si>
    <t>Escalator</t>
  </si>
  <si>
    <t>LEXINGTONAV/53ST-QBL-E/M</t>
  </si>
  <si>
    <t>Lexington Av/53 St - Station</t>
  </si>
  <si>
    <t>Lexington Av-53 St (E,M)/51 St (6)</t>
  </si>
  <si>
    <t>IND-D-QUEENSBLVD</t>
  </si>
  <si>
    <t>IFIS</t>
  </si>
  <si>
    <t>Installed-Functioning-In Service</t>
  </si>
  <si>
    <t>NO</t>
  </si>
  <si>
    <t>Private Contractor</t>
  </si>
  <si>
    <t>AM</t>
  </si>
  <si>
    <t>YES</t>
  </si>
  <si>
    <t>6/E/F mezzanine to 52 St &amp; Lexington Av (NE corner).</t>
  </si>
  <si>
    <t>POINT (-73.970924 40.75814)</t>
  </si>
  <si>
    <t>ES627</t>
  </si>
  <si>
    <t>34ST-HUDSONYARDS-FLS-7</t>
  </si>
  <si>
    <t>34 St-Hudson Yards - Station</t>
  </si>
  <si>
    <t>IRT-CC-FLUSHING</t>
  </si>
  <si>
    <t>NYCT</t>
  </si>
  <si>
    <t>KONE</t>
  </si>
  <si>
    <t>30'</t>
  </si>
  <si>
    <t>Hudson Blvd E (between 33 St &amp; 34 St) to upper mezzanine</t>
  </si>
  <si>
    <t>POINT (-74.00103 40.754982)</t>
  </si>
  <si>
    <t>ES377X</t>
  </si>
  <si>
    <t>FULTONST-8AV-A/C</t>
  </si>
  <si>
    <t>Fulton St - Station</t>
  </si>
  <si>
    <t>Fulton St (A,C,J,Z,2,3,4,5)</t>
  </si>
  <si>
    <t>IND-A-8AV/FULTONST</t>
  </si>
  <si>
    <t>OTIS</t>
  </si>
  <si>
    <t>Broad St-bound J/Z platform to Nassau St (between Maiden Lane &amp; John St)</t>
  </si>
  <si>
    <t>POINT (-74.008354 40.70928)</t>
  </si>
  <si>
    <t>ES220</t>
  </si>
  <si>
    <t>96ST-2AV-Q</t>
  </si>
  <si>
    <t>96 St - Station</t>
  </si>
  <si>
    <t>IND-S-2AV</t>
  </si>
  <si>
    <t>5042mm (16' 6 1/2in)</t>
  </si>
  <si>
    <t>1000 mm (39 3/8in)</t>
  </si>
  <si>
    <t>platform to mezzanine</t>
  </si>
  <si>
    <t>POINT (-73.94761 40.783447)</t>
  </si>
  <si>
    <t>ES414</t>
  </si>
  <si>
    <t>ROOSEVELTISLAND-63S-F</t>
  </si>
  <si>
    <t>Roosevelt Island - Station</t>
  </si>
  <si>
    <t>IND-T-63ST</t>
  </si>
  <si>
    <t>36'</t>
  </si>
  <si>
    <t>intermediate mezzanine to lower mezzanine</t>
  </si>
  <si>
    <t>POINT (-73.952866 40.7589)</t>
  </si>
  <si>
    <t>ES339</t>
  </si>
  <si>
    <t>BOWLINGGREEN-LEX-4/5</t>
  </si>
  <si>
    <t>Bowling Green - Station</t>
  </si>
  <si>
    <t>IRT-M-LEXINGTONAV</t>
  </si>
  <si>
    <t>FUJITEC</t>
  </si>
  <si>
    <t>20'</t>
  </si>
  <si>
    <t>lower mezzanine to upper mezzanine for Battery Pl &amp; Broadway exit</t>
  </si>
  <si>
    <t>POINT (-74.01438 40.70474)</t>
  </si>
  <si>
    <t>ES217</t>
  </si>
  <si>
    <t>TIMESSQ-42ST-7AV-1/2/3</t>
  </si>
  <si>
    <t>Times Sq-42 St - Station</t>
  </si>
  <si>
    <t>Times Sq-42 St (N,Q,R,S,1,2,3,7)/42 St (A,C,E)</t>
  </si>
  <si>
    <t>IRT-V-7AV</t>
  </si>
  <si>
    <t>37'</t>
  </si>
  <si>
    <t>upper mezzanine (41 St &amp; 7 Ave) to 7 platform for service in both directions</t>
  </si>
  <si>
    <t>POINT (-73.98772 40.755516)</t>
  </si>
  <si>
    <t>ES229</t>
  </si>
  <si>
    <t>34ST-HERALDSQ-6AV-B/D/F</t>
  </si>
  <si>
    <t>34 St-Herald Sq - Station</t>
  </si>
  <si>
    <t>34 St-Herald Sq (B,D,F,M,N,Q,R)</t>
  </si>
  <si>
    <t>IND-B-6AV/CULVER</t>
  </si>
  <si>
    <t>N/Q/R/W mezzanine to uptown B/D/F/M platform</t>
  </si>
  <si>
    <t>POINT (-73.98773 40.749763)</t>
  </si>
  <si>
    <t>ES330</t>
  </si>
  <si>
    <t>BROADWAYJUNCTION-8AV-A/C</t>
  </si>
  <si>
    <t>Broadway Junction - Station</t>
  </si>
  <si>
    <t>Broadway Junction (A,C,J,L,Z)</t>
  </si>
  <si>
    <t>OK</t>
  </si>
  <si>
    <t>44'</t>
  </si>
  <si>
    <t>A/C mezzanine (Van Sinderen Ave) to upper mezzanine for J/Z and L service</t>
  </si>
  <si>
    <t>POINT (-73.90394 40.678566)</t>
  </si>
  <si>
    <t>ES430</t>
  </si>
  <si>
    <t>JAMAICAVANWYCK-QBL-E</t>
  </si>
  <si>
    <t>Jamaica Van Wyck - Station</t>
  </si>
  <si>
    <t>IND-D-QUEENS/ARCHERAV</t>
  </si>
  <si>
    <t>28'</t>
  </si>
  <si>
    <t>32in</t>
  </si>
  <si>
    <t>mezzanine to 89 Ave &amp; Van Wyck Expressway (SW corner)</t>
  </si>
  <si>
    <t>POINT (-73.8164 40.70101)</t>
  </si>
  <si>
    <t>ES290</t>
  </si>
  <si>
    <t>72ST-2AV-Q</t>
  </si>
  <si>
    <t>72 St - Station</t>
  </si>
  <si>
    <t>SCHINDLER</t>
  </si>
  <si>
    <t>20828 mm (68'4in)</t>
  </si>
  <si>
    <t>69 St &amp; 2nd Ave (NE corner) to upper mezzanine</t>
  </si>
  <si>
    <t>POINT (-73.95921 40.76722)</t>
  </si>
  <si>
    <t>ES433X</t>
  </si>
  <si>
    <t>SUTPHINBLVD-ARCHERAV-JFKAIRPORT-QBL-E/J/Z</t>
  </si>
  <si>
    <t>Sutphin Blvd-Archer Av-JFK Airport - Station</t>
  </si>
  <si>
    <t>mezzanine to Sutphin Blvd &amp; Archer Ave (SW corner) for connection to LIRR and AirTrain</t>
  </si>
  <si>
    <t>POINT (-73.80781 40.700127)</t>
  </si>
  <si>
    <t>ES239</t>
  </si>
  <si>
    <t>5AV/53ST-QBL-E/M</t>
  </si>
  <si>
    <t>5 Av/53 St - Station</t>
  </si>
  <si>
    <t>48'</t>
  </si>
  <si>
    <t>downtown platform to mezzanine for 5th Ave &amp; 53 St exit</t>
  </si>
  <si>
    <t>POINT (-73.97628 40.76059)</t>
  </si>
  <si>
    <t>ES253X</t>
  </si>
  <si>
    <t>Downtown 6 underpass to mezzanine for E/F service and 52 St &amp; Lexington Av exit.</t>
  </si>
  <si>
    <t>POINT (-73.97133 40.757572)</t>
  </si>
  <si>
    <t>ES123</t>
  </si>
  <si>
    <t>PELHAMPKWY-LWP-2/5</t>
  </si>
  <si>
    <t>Pelham Pkwy - Station</t>
  </si>
  <si>
    <t>IRT-W-WHITEPLAINSRD</t>
  </si>
  <si>
    <t>Bronx</t>
  </si>
  <si>
    <t>3518 mm (11'-6 1/2in)</t>
  </si>
  <si>
    <t>1000mm (40in NOMINAL)</t>
  </si>
  <si>
    <t>mezzanine to Manhattan-bound platform</t>
  </si>
  <si>
    <t>POINT (-73.86772 40.856728)</t>
  </si>
  <si>
    <t>ES250X</t>
  </si>
  <si>
    <t>59ST-COLUMBUSCIRCLE-8AV-A/B/C/D</t>
  </si>
  <si>
    <t>59 St-Columbus Circle - Station</t>
  </si>
  <si>
    <t>59 St-Columbus Circle (A,B,C,D,1)</t>
  </si>
  <si>
    <t>A/B/C/D mezzanine to 8th Ave &amp; 58 St (NW corner)</t>
  </si>
  <si>
    <t>POINT (-73.98249 40.767677)</t>
  </si>
  <si>
    <t>ES420</t>
  </si>
  <si>
    <t>14'</t>
  </si>
  <si>
    <t>Manhattan-bound platform to lower mezzanine</t>
  </si>
  <si>
    <t>POINT (-73.952354 40.75876)</t>
  </si>
  <si>
    <t>ES340</t>
  </si>
  <si>
    <t>23'</t>
  </si>
  <si>
    <t>lower mezzanine to uptown 4/5 platform</t>
  </si>
  <si>
    <t>POINT (-74.01387 40.704838)</t>
  </si>
  <si>
    <t>ES294</t>
  </si>
  <si>
    <t>21577 mm (70' 9 1/2in)</t>
  </si>
  <si>
    <t>lower mezzanine to 72 St &amp; 2nd Ave (NW corner)</t>
  </si>
  <si>
    <t>POINT (-73.95847 40.76906)</t>
  </si>
  <si>
    <t>ES119</t>
  </si>
  <si>
    <t>181ST-8AV-A</t>
  </si>
  <si>
    <t>181 St - Station</t>
  </si>
  <si>
    <t>15824 mm (51'-11in)</t>
  </si>
  <si>
    <t>800 mm (32in NOMINAL)</t>
  </si>
  <si>
    <t>lower mezzanine to upper mezzanine for 181 St &amp; Fort Washington Ave exit</t>
  </si>
  <si>
    <t>POINT (-73.938095 40.851116)</t>
  </si>
  <si>
    <t>ES635</t>
  </si>
  <si>
    <t>24'</t>
  </si>
  <si>
    <t>lower mezzanine to upper mezzanine for Hudson Blvd E &amp; 35 St exit</t>
  </si>
  <si>
    <t>POINT (-74.00111 40.75609)</t>
  </si>
  <si>
    <t>ES441</t>
  </si>
  <si>
    <t>JAMAICACENTER-PARSONS/ARCHER-QBL-E/J/Z</t>
  </si>
  <si>
    <t>Jamaica Center-Parsons/Archer - Station</t>
  </si>
  <si>
    <t>mezzanine (153 St &amp; Archer Ave) to J/Z platform for Brooklyn-bound service</t>
  </si>
  <si>
    <t>POINT (-73.801926 40.70198)</t>
  </si>
  <si>
    <t>ES258X</t>
  </si>
  <si>
    <t>14ST-UNIONSQ-LEX-4/5/6</t>
  </si>
  <si>
    <t>14 St-Union Sq - Station</t>
  </si>
  <si>
    <t>14 St-Union Sq (L,N,Q,R,4,5,6)</t>
  </si>
  <si>
    <t>IRT-MM-LEXINGTONAV</t>
  </si>
  <si>
    <t>14 St &amp; 4th Ave (NE corner) to mezzanine for 4/5/6/L service and access to N/Q/R/W</t>
  </si>
  <si>
    <t>POINT (-73.98946 40.73445)</t>
  </si>
  <si>
    <t>ES232</t>
  </si>
  <si>
    <t>downtown B/D/F/M platform to mezzanine for access to street and N/Q/R/W service</t>
  </si>
  <si>
    <t>POINT (-73.987686 40.75006)</t>
  </si>
  <si>
    <t>ES405</t>
  </si>
  <si>
    <t>LEXINGTONAV/63ST-63S-F/Q</t>
  </si>
  <si>
    <t>Lexington Av/63 St - Station</t>
  </si>
  <si>
    <t>25'11 3/4</t>
  </si>
  <si>
    <t>40'</t>
  </si>
  <si>
    <t>intermediate mezzanine (Lexington Ave &amp; 63 St) to lower mezzanine</t>
  </si>
  <si>
    <t>POINT (-73.967285 40.76518)</t>
  </si>
  <si>
    <t>ES407</t>
  </si>
  <si>
    <t>18'10 5/8</t>
  </si>
  <si>
    <t>lower mezzanine (Lexington Ave &amp; 63 St) to downtown platform</t>
  </si>
  <si>
    <t>POINT (-73.96745 40.765236)</t>
  </si>
  <si>
    <t>ES211</t>
  </si>
  <si>
    <t>59ST-LEX-4/5/6</t>
  </si>
  <si>
    <t>59 St - Station</t>
  </si>
  <si>
    <t>Lexington Av (N,Q,R)/59 St (4,5,6)</t>
  </si>
  <si>
    <t>IRT-L-LEXINGTONAV</t>
  </si>
  <si>
    <t>50'</t>
  </si>
  <si>
    <t>uptown 4/5 platform to uptown 6 platform</t>
  </si>
  <si>
    <t>POINT (-73.968254 40.762287)</t>
  </si>
  <si>
    <t>ES371</t>
  </si>
  <si>
    <t>SOUTHFERRY-7AV-1</t>
  </si>
  <si>
    <t>South Ferry - Station</t>
  </si>
  <si>
    <t>South Ferry (1)/Whitehall St (R)</t>
  </si>
  <si>
    <t>8030 mm (26' 4 1/8in)</t>
  </si>
  <si>
    <t>40in (NOMINAL), 996 mm</t>
  </si>
  <si>
    <t>1/R/W mezzanine to platform for uptown 1 service</t>
  </si>
  <si>
    <t>POINT (-74.013084 40.701675)</t>
  </si>
  <si>
    <t>ES206</t>
  </si>
  <si>
    <t>GRANDCENTRAL-42ST-LEX-4/5/6</t>
  </si>
  <si>
    <t>Grand Central-42 St - Station</t>
  </si>
  <si>
    <t>Grand Central-42 St (S,4,5,6,7)</t>
  </si>
  <si>
    <t>main mezzanine to central mezzanine above 7 platform</t>
  </si>
  <si>
    <t>POINT (-73.97644 40.7515)</t>
  </si>
  <si>
    <t>ES255</t>
  </si>
  <si>
    <t>18'</t>
  </si>
  <si>
    <t>42 St (between Park Ave &amp; Lexington Ave) to main mezzanine for access to 4/5/6/7/S service</t>
  </si>
  <si>
    <t>POINT (-73.97695 40.752)</t>
  </si>
  <si>
    <t>ES419</t>
  </si>
  <si>
    <t>Jamaica 179 St-bound platform to lower mezzanine</t>
  </si>
  <si>
    <t>POINT (-73.952415 40.75867)</t>
  </si>
  <si>
    <t>ES625</t>
  </si>
  <si>
    <t>24,892 mm (81' 8in)</t>
  </si>
  <si>
    <t>1000 mm (40in)</t>
  </si>
  <si>
    <t>lower mezzanine to upper mezzanine for Hudson Blvd E exit (between 33 St &amp; 34 St)</t>
  </si>
  <si>
    <t>POINT (-74.00191 40.755207)</t>
  </si>
  <si>
    <t>ES346</t>
  </si>
  <si>
    <t>BRIGHTONBEACH-BWY-B/Q</t>
  </si>
  <si>
    <t>Brighton Beach - Station</t>
  </si>
  <si>
    <t>BMT-A-BROADWAY/BRIGHTON</t>
  </si>
  <si>
    <t>Brighton 7 St &amp; Brighton Beach Ave (NE corner) to mezzanine</t>
  </si>
  <si>
    <t>POINT (-73.96028 40.57797)</t>
  </si>
  <si>
    <t>ES317</t>
  </si>
  <si>
    <t>JAYST-METROTECH-8AV-A/C/F</t>
  </si>
  <si>
    <t>Jay St-Metro Tech - Station</t>
  </si>
  <si>
    <t>Jay St-MetroTech (A,C,F,R)</t>
  </si>
  <si>
    <t>21'</t>
  </si>
  <si>
    <t>A/C/F/R mezzanine to Jay St &amp; Willoughby St (NW corner)</t>
  </si>
  <si>
    <t>POINT (-73.98754 40.6924)</t>
  </si>
  <si>
    <t>ES345</t>
  </si>
  <si>
    <t>16'</t>
  </si>
  <si>
    <t>uptown 4/5 mezzanine to Bowling Green Park on Whitehall St</t>
  </si>
  <si>
    <t>POINT (-74.01359 40.70465)</t>
  </si>
  <si>
    <t>ES634</t>
  </si>
  <si>
    <t>upper mezzanine (Hudson Blvd E &amp; 35 St) to lower mezzanine</t>
  </si>
  <si>
    <t>POINT (-74.001144 40.75607)</t>
  </si>
  <si>
    <t>ES304</t>
  </si>
  <si>
    <t>PRESIDENTST-MEDGAREVERSCOLLEGE-NOS-2/5</t>
  </si>
  <si>
    <t>President St-Medgar Evers College - Station</t>
  </si>
  <si>
    <t>IRT-D-NOSTRANDAV</t>
  </si>
  <si>
    <t>platform to mezzanine for President St &amp; Nostrand Ave exit</t>
  </si>
  <si>
    <t>POINT (-73.95068 40.667908)</t>
  </si>
  <si>
    <t>ES281</t>
  </si>
  <si>
    <t>86ST-2AV-Q</t>
  </si>
  <si>
    <t>86 St - Station</t>
  </si>
  <si>
    <t>13719 mm (45' 0 1/8in)</t>
  </si>
  <si>
    <t>upper mezzanine (86 St &amp; 2nd Ave) to lower mezzanine</t>
  </si>
  <si>
    <t>POINT (-73.951416 40.77767)</t>
  </si>
  <si>
    <t>ES285</t>
  </si>
  <si>
    <t>4953 mm (16' 1/4in)</t>
  </si>
  <si>
    <t>platform to lower mezzanine</t>
  </si>
  <si>
    <t>POINT (-73.959206 40.76762)</t>
  </si>
  <si>
    <t>ES223</t>
  </si>
  <si>
    <t>12'</t>
  </si>
  <si>
    <t>PATH mezzanine to intermediate mezzanine for 32 St &amp; 6th Ave exit</t>
  </si>
  <si>
    <t>POINT (-73.98867 40.748997)</t>
  </si>
  <si>
    <t>ES306</t>
  </si>
  <si>
    <t>COURTST-BWY-R</t>
  </si>
  <si>
    <t>Court St - Station</t>
  </si>
  <si>
    <t>Court St (R)/Borough Hall (2,3,4,5)</t>
  </si>
  <si>
    <t>BMT-B-BROADWAY</t>
  </si>
  <si>
    <t>22'</t>
  </si>
  <si>
    <t>2/3 mezzanine (Court St &amp; Montague St) to lower mezzanine for R service in both directions</t>
  </si>
  <si>
    <t>POINT (-73.99118 40.69393)</t>
  </si>
  <si>
    <t>ES248</t>
  </si>
  <si>
    <t>LEXINGTONAV/59ST-AST-N/R/Q</t>
  </si>
  <si>
    <t>Lexington Av/59 St - Station</t>
  </si>
  <si>
    <t>BMT-G-ASTORIA</t>
  </si>
  <si>
    <t>33'</t>
  </si>
  <si>
    <t>N/R/W platform to mezzanine for 3rd Ave &amp; 60 St exit</t>
  </si>
  <si>
    <t>POINT (-73.96629 40.762234)</t>
  </si>
  <si>
    <t>ES359X</t>
  </si>
  <si>
    <t>ATLANTICAV-BARCLAYSCTR-EPK-2/3/4/5</t>
  </si>
  <si>
    <t>Atlantic Av-Barclays Ctr - Station</t>
  </si>
  <si>
    <t>Atlantic Av (B,Q,2,3,4,5)/Pacific St (D,N,R)</t>
  </si>
  <si>
    <t>IRT-E-EASTERNPKWY</t>
  </si>
  <si>
    <t>B/Q mezzanine to Barclays Center plaza (SE corner of Atlantic Ave &amp; Flatbush Ave)</t>
  </si>
  <si>
    <t>POINT (-73.9766 40.683598)</t>
  </si>
  <si>
    <t>ES370</t>
  </si>
  <si>
    <t>48in</t>
  </si>
  <si>
    <t>1/R/W mezzanine to Peter Minuit Plaza in front of South Ferry Terminal</t>
  </si>
  <si>
    <t>POINT (-74.01293 40.701744)</t>
  </si>
  <si>
    <t>ES265X</t>
  </si>
  <si>
    <t>COURTSQ-XTN-G/7</t>
  </si>
  <si>
    <t>Court Sq - Station</t>
  </si>
  <si>
    <t>Court Sq (E,G,M,7)</t>
  </si>
  <si>
    <t>IND-E-CROSSTOWN</t>
  </si>
  <si>
    <t>45 St &amp; Jackson Ave to mezzanine for E/F &amp; G service and access to 7</t>
  </si>
  <si>
    <t>POINT (-73.94432 40.74722)</t>
  </si>
  <si>
    <t>ES440</t>
  </si>
  <si>
    <t>40in</t>
  </si>
  <si>
    <t>mezzanine to Parsons Blvd &amp; Archer Ave (SW corner)</t>
  </si>
  <si>
    <t>POINT (-73.801895 40.701855)</t>
  </si>
  <si>
    <t>ES366X</t>
  </si>
  <si>
    <t>FULTONST-LEX-4/5</t>
  </si>
  <si>
    <t>lower concourse to Transit Center exit (John St east of Broadway)</t>
  </si>
  <si>
    <t>POINT (-74.00936 40.71032)</t>
  </si>
  <si>
    <t>ES361X</t>
  </si>
  <si>
    <t>THYSSEN-KRUPP</t>
  </si>
  <si>
    <t>uptown 4/5 platform level to Transit Center exit (NE corner of John St &amp; Broadway)</t>
  </si>
  <si>
    <t>POINT (-74.009094 40.710453)</t>
  </si>
  <si>
    <t>ES446</t>
  </si>
  <si>
    <t>29'</t>
  </si>
  <si>
    <t>mezzanine (Parsons Blvd &amp; Archer Ave) to J/Z platform for Brooklyn-bound service</t>
  </si>
  <si>
    <t>POINT (-73.800316 40.70236)</t>
  </si>
  <si>
    <t>ES638X</t>
  </si>
  <si>
    <t>Platform level for Shuttle service to 42 St and Vanderbilt Ave (NE Corner).</t>
  </si>
  <si>
    <t>POINT (-73.93359 40.849506)</t>
  </si>
  <si>
    <t>ES423</t>
  </si>
  <si>
    <t>21ST-QUEENSBRIDGE-63S-F</t>
  </si>
  <si>
    <t>21 St-Queensbridge - Station</t>
  </si>
  <si>
    <t>11'</t>
  </si>
  <si>
    <t>POINT (-73.94242 40.754124)</t>
  </si>
  <si>
    <t>ES372</t>
  </si>
  <si>
    <t>1 platform to mezzanine for Peter Minuit Plaza exit and R/W service</t>
  </si>
  <si>
    <t>POINT (-74.0131 40.701656)</t>
  </si>
  <si>
    <t>ES309</t>
  </si>
  <si>
    <t>DEKALBAV-4AV-B/Q/R</t>
  </si>
  <si>
    <t>DeKalb Av - Station</t>
  </si>
  <si>
    <t>BMT-F-4AV</t>
  </si>
  <si>
    <t>20 feet 8 1/4 inch</t>
  </si>
  <si>
    <t>Manhattan-bound platform to mezzanine for Flatbush Ave &amp; Lafayette St exit</t>
  </si>
  <si>
    <t>POINT (-73.98208 40.691376)</t>
  </si>
  <si>
    <t>ES362X</t>
  </si>
  <si>
    <t>uptown 4/5 platform level to Transit Center exit (Fulton St east of Broadway)</t>
  </si>
  <si>
    <t>POINT (-74.00876 40.7105)</t>
  </si>
  <si>
    <t>ES451</t>
  </si>
  <si>
    <t>74ST-BROADWAY-FLS-7</t>
  </si>
  <si>
    <t>74 St-Broadway - Station</t>
  </si>
  <si>
    <t>74-Broadway (7)/Jackson Hts-Roosevelt Av (E,F,M,R)</t>
  </si>
  <si>
    <t>IRT-C-FLUSHING</t>
  </si>
  <si>
    <t>32'</t>
  </si>
  <si>
    <t>E/F/M/R lower mezzanine to underpass for 7 service</t>
  </si>
  <si>
    <t>POINT (-73.892456 40.746906)</t>
  </si>
  <si>
    <t>ES363X</t>
  </si>
  <si>
    <t>concourse to uptown 4/5 platform and access to Transit Center exit</t>
  </si>
  <si>
    <t>POINT (-74.00896 40.710472)</t>
  </si>
  <si>
    <t>ES443</t>
  </si>
  <si>
    <t>E platform to mezzanine for 153 St &amp; Archer Ave exit</t>
  </si>
  <si>
    <t>POINT (-73.80144 40.7021)</t>
  </si>
  <si>
    <t>ES629</t>
  </si>
  <si>
    <t>upper mezzanine to Hudson Blvd E (between 33 St &amp; 34 St)</t>
  </si>
  <si>
    <t>POINT (-74.00105 40.75495)</t>
  </si>
  <si>
    <t>ES416</t>
  </si>
  <si>
    <t>lower mezzanine to intermediate mezzanine</t>
  </si>
  <si>
    <t>POINT (-73.952835 40.758938)</t>
  </si>
  <si>
    <t>ES116</t>
  </si>
  <si>
    <t>145ST-8AV-A/B/C/D</t>
  </si>
  <si>
    <t>145 St - Station</t>
  </si>
  <si>
    <t>27'</t>
  </si>
  <si>
    <t>uptown B/D platform to mezzanine for 145 St &amp; St Nicholas Av exit</t>
  </si>
  <si>
    <t>POINT (-73.94464 40.824055)</t>
  </si>
  <si>
    <t>ES641X</t>
  </si>
  <si>
    <t>LIRR â€œMadison Concourseâ€_x009d_ to Shuttle platform.</t>
  </si>
  <si>
    <t>ES427</t>
  </si>
  <si>
    <t>26'</t>
  </si>
  <si>
    <t>mezzanine to Metropolitan Ave &amp; Jamaica Ave (NE corner)</t>
  </si>
  <si>
    <t>POINT (-73.81707 40.702473)</t>
  </si>
  <si>
    <t>ES609X</t>
  </si>
  <si>
    <t>GRANDCENTRAL-42ST-LEX-S</t>
  </si>
  <si>
    <t>Park Ave &amp; 42 St (SW corner) to mezzanine for 4/5/6 service</t>
  </si>
  <si>
    <t>POINT (-73.97919 40.75276)</t>
  </si>
  <si>
    <t>ES230</t>
  </si>
  <si>
    <t>uptown B/D/F/M platform to mezzanine for N/Q/R/W service</t>
  </si>
  <si>
    <t>POINT (-73.98772 40.749756)</t>
  </si>
  <si>
    <t>ES291</t>
  </si>
  <si>
    <t>3783 mm (12' 4 23/25in)</t>
  </si>
  <si>
    <t>upper mezzanine to 70 St &amp; 2nd Ave (SE corner)</t>
  </si>
  <si>
    <t>POINT (-73.95946 40.767166)</t>
  </si>
  <si>
    <t>ES200</t>
  </si>
  <si>
    <t>5137mm (16' 10 1/4in)</t>
  </si>
  <si>
    <t>platform to mezzanine for 94 St &amp; 2nd Ave exit</t>
  </si>
  <si>
    <t>POINT (-73.9479 40.782997)</t>
  </si>
  <si>
    <t>ES278</t>
  </si>
  <si>
    <t>23,519 mm (77' 1 15/16in)</t>
  </si>
  <si>
    <t>lower mezzanine to 83 St &amp; 2nd Ave (NE corner)</t>
  </si>
  <si>
    <t>POINT (-73.95273 40.7762)</t>
  </si>
  <si>
    <t>ES337</t>
  </si>
  <si>
    <t>uptown 4/5 mezzanine to lower mezzanine for downtown 4/5 service</t>
  </si>
  <si>
    <t>POINT (-74.01384 40.704594)</t>
  </si>
  <si>
    <t>ES212</t>
  </si>
  <si>
    <t>10in</t>
  </si>
  <si>
    <t>downtown 4/5 platform to downtown 6 platform</t>
  </si>
  <si>
    <t>POINT (-73.96808 40.76221)</t>
  </si>
  <si>
    <t>ES118</t>
  </si>
  <si>
    <t>600 mm (24in NOMINAL)</t>
  </si>
  <si>
    <t>POINT (-73.93812 40.851116)</t>
  </si>
  <si>
    <t>ES284</t>
  </si>
  <si>
    <t>9950 mm (32 ' 7 3/4in)</t>
  </si>
  <si>
    <t>upper mezzanine to 86 St &amp; 2nd Ave (NE corner)</t>
  </si>
  <si>
    <t>POINT (-73.9514 40.77784)</t>
  </si>
  <si>
    <t>ES103</t>
  </si>
  <si>
    <t>125ST-BWY7-1</t>
  </si>
  <si>
    <t>125 St - Station</t>
  </si>
  <si>
    <t>IRT-BB-BROADWAY/7AV</t>
  </si>
  <si>
    <t>125 St &amp; Broadway (SE corner) to mezzanine</t>
  </si>
  <si>
    <t>POINT (-73.958374 40.815235)</t>
  </si>
  <si>
    <t>ES439</t>
  </si>
  <si>
    <t>25'</t>
  </si>
  <si>
    <t>POINT (-73.79986 40.702667)</t>
  </si>
  <si>
    <t>ES231</t>
  </si>
  <si>
    <t>N/Q/R/W mezzanine to downtown B/D/F/M platform</t>
  </si>
  <si>
    <t>POINT (-73.9877 40.75007)</t>
  </si>
  <si>
    <t>ES329</t>
  </si>
  <si>
    <t>EASTBROADWAY-6AV-F</t>
  </si>
  <si>
    <t>East Broadway - Station</t>
  </si>
  <si>
    <t>29' 8 3/4in</t>
  </si>
  <si>
    <t>F platform to mezzanine for East Broadway &amp; Rutgers St exit</t>
  </si>
  <si>
    <t>POINT (-73.990074 40.714214)</t>
  </si>
  <si>
    <t>ES347</t>
  </si>
  <si>
    <t>43'</t>
  </si>
  <si>
    <t>POINT (-73.9039 40.67856)</t>
  </si>
  <si>
    <t>ES379X</t>
  </si>
  <si>
    <t>WALLST-CLK-2/3</t>
  </si>
  <si>
    <t>Wall St - Station</t>
  </si>
  <si>
    <t>IRT-K-CLARKST</t>
  </si>
  <si>
    <t>60 Wall St atrium (between William St &amp; Pearl St) to mezzanine for 2/3 service</t>
  </si>
  <si>
    <t>POINT (-74.00872 40.706657)</t>
  </si>
  <si>
    <t>ES458</t>
  </si>
  <si>
    <t>9611mm (31' 6 3/8in)</t>
  </si>
  <si>
    <t>Step Width 996 mm (39 3/8in)</t>
  </si>
  <si>
    <t>3rd Ave &amp; 63 St (SE corner) to mezzanine</t>
  </si>
  <si>
    <t>POINT (-73.9646 40.76388)</t>
  </si>
  <si>
    <t>ES449</t>
  </si>
  <si>
    <t>31'</t>
  </si>
  <si>
    <t>7 underpass to lower mezzanine for E/F/M/R service</t>
  </si>
  <si>
    <t>POINT (-73.89245 40.74686)</t>
  </si>
  <si>
    <t>ES326</t>
  </si>
  <si>
    <t>W4ST-WASHSQ-8AV-A/B/C/D/E/F/M</t>
  </si>
  <si>
    <t>W 4 St-Wash Sq - Station</t>
  </si>
  <si>
    <t>ALLEN BRADLEY</t>
  </si>
  <si>
    <t>24' 11 1/2in</t>
  </si>
  <si>
    <t>downtown B/D/F/M platform to downtown A/C/E platform and access to street</t>
  </si>
  <si>
    <t>POINT (-74.000404 40.732605)</t>
  </si>
  <si>
    <t>ES254X</t>
  </si>
  <si>
    <t>E/F platform to mezzanine for 6 service and 53 St &amp; Lexington Av exit.</t>
  </si>
  <si>
    <t>POINT (-73.96957 40.75777)</t>
  </si>
  <si>
    <t>ES327</t>
  </si>
  <si>
    <t>DELANCEYST-ESSEXST-6AV-F</t>
  </si>
  <si>
    <t>Delancey St-Essex St - Station</t>
  </si>
  <si>
    <t>Delancey St (F)/Essex St (J,M,Z)</t>
  </si>
  <si>
    <t>mezzanine to Delancey St &amp; Essex St (NE corner)</t>
  </si>
  <si>
    <t>POINT (-73.987564 40.718815)</t>
  </si>
  <si>
    <t>ES450</t>
  </si>
  <si>
    <t>POINT (-73.89245 40.746876)</t>
  </si>
  <si>
    <t>ES498X</t>
  </si>
  <si>
    <t>HOWARDBEACH-JFKAIRPORT-RKY-A</t>
  </si>
  <si>
    <t>Howard Beach-JFK Airport - Station</t>
  </si>
  <si>
    <t>IND-F-ROCKAWAY</t>
  </si>
  <si>
    <t>intermediate mezzanine to Brooklyn-bound platform</t>
  </si>
  <si>
    <t>POINT (-73.83007 40.660423)</t>
  </si>
  <si>
    <t>ES268X</t>
  </si>
  <si>
    <t>N/Q/R/W mezzanine to 42 St &amp; 7th Ave (SE corner)</t>
  </si>
  <si>
    <t>POINT (-73.98679 40.755707)</t>
  </si>
  <si>
    <t>ES343</t>
  </si>
  <si>
    <t>lower mezzanine to downtown 4/5 platform</t>
  </si>
  <si>
    <t>POINT (-74.014305 40.704437)</t>
  </si>
  <si>
    <t>ES234</t>
  </si>
  <si>
    <t>POINT (-73.98753 40.75)</t>
  </si>
  <si>
    <t>ES417</t>
  </si>
  <si>
    <t>POINT (-73.95275 40.75882)</t>
  </si>
  <si>
    <t>ES247</t>
  </si>
  <si>
    <t>9687mm (31' 9 3/8in)</t>
  </si>
  <si>
    <t>mezzanine to 94 St &amp; 2nd Ave (SW corner)</t>
  </si>
  <si>
    <t>POINT (-73.94715 40.78431)</t>
  </si>
  <si>
    <t>ES411</t>
  </si>
  <si>
    <t>38'</t>
  </si>
  <si>
    <t>W Rd entrance to intermediate mezzanine</t>
  </si>
  <si>
    <t>POINT (-73.95321 40.75905)</t>
  </si>
  <si>
    <t>ES270</t>
  </si>
  <si>
    <t>8,519mm (27' 11 3/8in)</t>
  </si>
  <si>
    <t>94 St &amp; 2nd Ave (NE corner) to mezzanine</t>
  </si>
  <si>
    <t>POINT (-73.94781 40.782993)</t>
  </si>
  <si>
    <t>ES459</t>
  </si>
  <si>
    <t>mezzanine to 3rd Ave &amp; 63 St (SE corner)</t>
  </si>
  <si>
    <t>POINT (-73.964615 40.763866)</t>
  </si>
  <si>
    <t>ES289</t>
  </si>
  <si>
    <t>lower mezzanine to upper mezzanine for 69 St &amp; 2nd Ave exit</t>
  </si>
  <si>
    <t>POINT (-73.95919 40.767212)</t>
  </si>
  <si>
    <t>ES335</t>
  </si>
  <si>
    <t>WEST8ST-NYAQUARIUM-BWY-F/Q</t>
  </si>
  <si>
    <t>West 8 St-NY Aquarium - Station</t>
  </si>
  <si>
    <t>mezzanine (W 5 St &amp; Brighton Ave) to Manhattan-bound Q platform</t>
  </si>
  <si>
    <t>POINT (-73.97512 40.5763)</t>
  </si>
  <si>
    <t>ES308</t>
  </si>
  <si>
    <t>6306mm (20' 8-1/4in)</t>
  </si>
  <si>
    <t>Brooklyn-bound platform to mezzanine for Flatbush Ave &amp; Lafayette St exit</t>
  </si>
  <si>
    <t>POINT (-73.9823 40.691307)</t>
  </si>
  <si>
    <t>ES295</t>
  </si>
  <si>
    <t>POINT (-73.95848 40.769054)</t>
  </si>
  <si>
    <t>ES365X</t>
  </si>
  <si>
    <t>Transit Center entrance (John St east of Broadway) to lower concourse for A/C/J/Z/2/3 &amp; downtown 4/5 service and connection to WTC complex</t>
  </si>
  <si>
    <t>POINT (-74.00935 40.71033)</t>
  </si>
  <si>
    <t>ES235</t>
  </si>
  <si>
    <t>POINT (-73.987526 40.750324)</t>
  </si>
  <si>
    <t>ES108</t>
  </si>
  <si>
    <t>INTERVALEAV-LWP-2/5</t>
  </si>
  <si>
    <t>Intervale Av - Station</t>
  </si>
  <si>
    <t>IRT-F-LENOX/WHITEPLAINS</t>
  </si>
  <si>
    <t>30'- 5/5in</t>
  </si>
  <si>
    <t>Westchester Ave &amp; Intervale Ave (NE corner) to mezzanine</t>
  </si>
  <si>
    <t>POINT (-73.8966 40.822376)</t>
  </si>
  <si>
    <t>ES369</t>
  </si>
  <si>
    <t>LH: 106'-5in ; RH: 106'-3in</t>
  </si>
  <si>
    <t>Peter Minuit Plaza to mezzanine for 1 and R/W service</t>
  </si>
  <si>
    <t>POINT (-74.01291 40.70174)</t>
  </si>
  <si>
    <t>ES456</t>
  </si>
  <si>
    <t>FLUSHING-MAINST-FLS-7</t>
  </si>
  <si>
    <t>Flushing-Main St - Station</t>
  </si>
  <si>
    <t>Roosevelt Ave (E of Main St) to platform for Manhattan-bound service</t>
  </si>
  <si>
    <t>POINT (-73.828735 40.759983)</t>
  </si>
  <si>
    <t>ES341</t>
  </si>
  <si>
    <t>POINT (-74.014114 40.70449)</t>
  </si>
  <si>
    <t>ES442</t>
  </si>
  <si>
    <t>J/Z platform to mezzanine for 153 St &amp; Archer Ave exit</t>
  </si>
  <si>
    <t>POINT (-73.801926 40.701996)</t>
  </si>
  <si>
    <t>ES221</t>
  </si>
  <si>
    <t>13'</t>
  </si>
  <si>
    <t>32 St &amp; 6th Ave (NW corner) to intermediate mezzanine for access to PATH, B/D/F/M, N/Q/R/W service</t>
  </si>
  <si>
    <t>POINT (-73.98863 40.748985)</t>
  </si>
  <si>
    <t>ES453</t>
  </si>
  <si>
    <t>JACKSONHTS-ROOSEVELTAV-QBL-E/F/M/R</t>
  </si>
  <si>
    <t>Jackson Hts-Roosevelt Av - Station</t>
  </si>
  <si>
    <t>32' 4 3/4in</t>
  </si>
  <si>
    <t>800 mm (31.5in)</t>
  </si>
  <si>
    <t>7 upper mezzanine (74 St &amp; Roosevelt Ave) to lower mezzanine for E/F/M/R service</t>
  </si>
  <si>
    <t>POINT (-73.89118 40.74666)</t>
  </si>
  <si>
    <t>ES412</t>
  </si>
  <si>
    <t>intermediate mezzanine to W Rd exit</t>
  </si>
  <si>
    <t>POINT (-73.953186 40.75908)</t>
  </si>
  <si>
    <t>ES455</t>
  </si>
  <si>
    <t>41'</t>
  </si>
  <si>
    <t>platform to Roosevelt Ave (E of Main St)</t>
  </si>
  <si>
    <t>POINT (-73.82889 40.759945)</t>
  </si>
  <si>
    <t>ES236</t>
  </si>
  <si>
    <t>POINT (-73.98751 40.750317)</t>
  </si>
  <si>
    <t>ES214</t>
  </si>
  <si>
    <t>39'</t>
  </si>
  <si>
    <t>N/R/W transfer mezzanine to downtown 6 platform</t>
  </si>
  <si>
    <t>POINT (-73.96795 40.762367)</t>
  </si>
  <si>
    <t>ES215</t>
  </si>
  <si>
    <t>19'</t>
  </si>
  <si>
    <t>N/R/W platform to downtown 6 platform and access to street</t>
  </si>
  <si>
    <t>POINT (-73.96781 40.76289)</t>
  </si>
  <si>
    <t>ES276</t>
  </si>
  <si>
    <t>83 St &amp; 2nd Ave (NE corner) to lower mezzanine</t>
  </si>
  <si>
    <t>POINT (-73.95268 40.776176)</t>
  </si>
  <si>
    <t>ES415</t>
  </si>
  <si>
    <t>POINT (-73.95284 40.758926)</t>
  </si>
  <si>
    <t>ES219</t>
  </si>
  <si>
    <t>14ST-UNIONSQ-CNR-L</t>
  </si>
  <si>
    <t>BMT-Q-14ST/CANARSIE</t>
  </si>
  <si>
    <t>L platform to mezzanine for access to street and 4/5/6 &amp; N/Q/R/W service</t>
  </si>
  <si>
    <t>POINT (-73.990555 40.73473)</t>
  </si>
  <si>
    <t>ES325</t>
  </si>
  <si>
    <t>24' 66in</t>
  </si>
  <si>
    <t>uptown B/D/F/M platform to uptown A/C/E platform and access to street</t>
  </si>
  <si>
    <t>POINT (-74.00024 40.732536)</t>
  </si>
  <si>
    <t>ES224</t>
  </si>
  <si>
    <t>intemediate mezzanine to PATH mezzanine for access to B/D/F/M &amp; N/Q/R/W service</t>
  </si>
  <si>
    <t>POINT (-73.98869 40.749004)</t>
  </si>
  <si>
    <t>ES378X</t>
  </si>
  <si>
    <t>mezzanine-level passageway to 60 Wall St atrium (between William St &amp; Pearl St)</t>
  </si>
  <si>
    <t>POINT (-74.00876 40.70666)</t>
  </si>
  <si>
    <t>ES357</t>
  </si>
  <si>
    <t>24' 4 7/16in</t>
  </si>
  <si>
    <t>1000mm</t>
  </si>
  <si>
    <t>R platform to mezzanine for A/C/F service and Jay St &amp; Willoughby St exit</t>
  </si>
  <si>
    <t>POINT (-73.98671 40.69221)</t>
  </si>
  <si>
    <t>ES368</t>
  </si>
  <si>
    <t>17' 2in</t>
  </si>
  <si>
    <t>1000 mm</t>
  </si>
  <si>
    <t>A/C/J/Z transfer mezzanine to mezzanine for 2/3 service and William St &amp; Fulton St exit</t>
  </si>
  <si>
    <t>POINT (-74.00685 40.70976)</t>
  </si>
  <si>
    <t>ES287</t>
  </si>
  <si>
    <t>POINT (-73.9586 40.768486)</t>
  </si>
  <si>
    <t>ES209</t>
  </si>
  <si>
    <t>GRANDCENTRAL-42ST-FLS-7</t>
  </si>
  <si>
    <t>31' - 10 1/4in</t>
  </si>
  <si>
    <t>7 platform to western mezzanine for access to street and 4/5/6/S service</t>
  </si>
  <si>
    <t>POINT (-73.9771 40.75188)</t>
  </si>
  <si>
    <t>ES277</t>
  </si>
  <si>
    <t>POINT (-73.9527 40.776184)</t>
  </si>
  <si>
    <t>ES257X</t>
  </si>
  <si>
    <t>4/5/6 mezzanine to 14 St &amp; 4th Ave (NE corner)</t>
  </si>
  <si>
    <t>POINT (-73.98948 40.734436)</t>
  </si>
  <si>
    <t>ES205</t>
  </si>
  <si>
    <t>central mezzanine above 7 platform to main mezzanine for access to street and 4/5/6/S service</t>
  </si>
  <si>
    <t>POINT (-73.976456 40.75148)</t>
  </si>
  <si>
    <t>ES238</t>
  </si>
  <si>
    <t>7AV-QBL-B/D/E</t>
  </si>
  <si>
    <t>7 Av - Station</t>
  </si>
  <si>
    <t>downtown platform to mezzanine for 53 St &amp; 7th Ave exit</t>
  </si>
  <si>
    <t>POINT (-73.98143 40.76278)</t>
  </si>
  <si>
    <t>ES246</t>
  </si>
  <si>
    <t>53'</t>
  </si>
  <si>
    <t>Mezzanine (53 St &amp; 3 Av) to E/F platform for service in both directions.</t>
  </si>
  <si>
    <t>POINT (-73.969 40.757515)</t>
  </si>
  <si>
    <t>ES203</t>
  </si>
  <si>
    <t>eastern mezzanine above 7 platform to 42 St (between Lexington Ave &amp; 3rd Ave)</t>
  </si>
  <si>
    <t>POINT (-73.975105 40.75083)</t>
  </si>
  <si>
    <t>ES271</t>
  </si>
  <si>
    <t>POINT (-73.94779 40.782986)</t>
  </si>
  <si>
    <t>ES342</t>
  </si>
  <si>
    <t>POINT (-74.01393 40.704952)</t>
  </si>
  <si>
    <t>ES623</t>
  </si>
  <si>
    <t>POINT (-74.001785 40.755375)</t>
  </si>
  <si>
    <t>ES497X</t>
  </si>
  <si>
    <t>Far Rockaway-bound intermediate mezzanine to upper mezzanine for street and AirTrain station</t>
  </si>
  <si>
    <t>POINT (-73.830444 40.660328)</t>
  </si>
  <si>
    <t>ES210</t>
  </si>
  <si>
    <t>19' - 7 7/8in</t>
  </si>
  <si>
    <t>western mezzanine above 7 platform to main mezzanine for access to street and 4/5/6/S service</t>
  </si>
  <si>
    <t>POINT (-73.977104 40.751904)</t>
  </si>
  <si>
    <t>ES318</t>
  </si>
  <si>
    <t>Jay St &amp; Willoughby St (NW corner) to mezzanine for A/C/F/R service</t>
  </si>
  <si>
    <t>POINT (-73.98753 40.692535)</t>
  </si>
  <si>
    <t>ES352</t>
  </si>
  <si>
    <t>FRANKLINAV-FRK-S</t>
  </si>
  <si>
    <t>Franklin Av - Station</t>
  </si>
  <si>
    <t>Franklin Av (C,S)</t>
  </si>
  <si>
    <t>BMT-O-FRANKLINAVSHUTTLE</t>
  </si>
  <si>
    <t>Fulton St &amp; Franklin Ave entrance to S platform for Prospect Park-bound service</t>
  </si>
  <si>
    <t>POINT (-73.95588 40.680817)</t>
  </si>
  <si>
    <t>ES438</t>
  </si>
  <si>
    <t>24in</t>
  </si>
  <si>
    <t>POINT (-73.79991 40.702305)</t>
  </si>
  <si>
    <t>ES424</t>
  </si>
  <si>
    <t>Manhattan-bound platform to mezzanine</t>
  </si>
  <si>
    <t>POINT (-73.94243 40.75411)</t>
  </si>
  <si>
    <t>ES233</t>
  </si>
  <si>
    <t>POINT (-73.98755 40.750008)</t>
  </si>
  <si>
    <t>ES348</t>
  </si>
  <si>
    <t>SMITH-9STS-6AV-F/G</t>
  </si>
  <si>
    <t>Smith-9 Sts - Station</t>
  </si>
  <si>
    <t>9th St &amp; Smith St (NE corner) to intermediate mezzanine</t>
  </si>
  <si>
    <t>POINT (-73.99715 40.67462)</t>
  </si>
  <si>
    <t>ES120</t>
  </si>
  <si>
    <t>PELHAMBAYPARK-PEL-6</t>
  </si>
  <si>
    <t>Pelham Bay Park - Station</t>
  </si>
  <si>
    <t>IRT-P-PELHAM</t>
  </si>
  <si>
    <t>3902 mm (12'-9 5/8in)</t>
  </si>
  <si>
    <t>1000 mm (40in NOMINAL)</t>
  </si>
  <si>
    <t>Amendola Plaza entrance to mezzanine</t>
  </si>
  <si>
    <t>POINT (-73.827156 40.852863)</t>
  </si>
  <si>
    <t>ES633</t>
  </si>
  <si>
    <t>POINT (-74.00029 40.755875)</t>
  </si>
  <si>
    <t>ES428</t>
  </si>
  <si>
    <t>mezzanine to platform for service in both directions</t>
  </si>
  <si>
    <t>POINT (-73.81659 40.701893)</t>
  </si>
  <si>
    <t>ES310</t>
  </si>
  <si>
    <t>ATLANTICAV-BARCLAYSCTR-BWY-B/Q</t>
  </si>
  <si>
    <t>B/Q lower mezzanine to upper mezzanine for LIRR and Hanson Pl &amp; Flatbush Ave exit</t>
  </si>
  <si>
    <t>POINT (-73.97726 40.685085)</t>
  </si>
  <si>
    <t>ES112</t>
  </si>
  <si>
    <t>NORWOOD-205ST-CON-D</t>
  </si>
  <si>
    <t>Norwood-205 St - Station</t>
  </si>
  <si>
    <t>IND-C-CONCOURSE</t>
  </si>
  <si>
    <t>platform to mezzanine for Bainbridge Ave &amp; 206 St exit</t>
  </si>
  <si>
    <t>POINT (-73.87921 40.874916)</t>
  </si>
  <si>
    <t>ES208</t>
  </si>
  <si>
    <t>19'-7 7/8in</t>
  </si>
  <si>
    <t>main mezzanine to western mezzanine above 7 platform</t>
  </si>
  <si>
    <t>POINT (-73.97713 40.751865)</t>
  </si>
  <si>
    <t>ES117</t>
  </si>
  <si>
    <t>upper mezzanine (181 St &amp; Fort Washington Ave) to lower mezzanine</t>
  </si>
  <si>
    <t>POINT (-73.93814 40.851116)</t>
  </si>
  <si>
    <t>ES312</t>
  </si>
  <si>
    <t>WHITEHALLST-SOUTHFERRY-BWY-R</t>
  </si>
  <si>
    <t>Whitehall St-South Ferry - Station</t>
  </si>
  <si>
    <t>26' 11 7/8in</t>
  </si>
  <si>
    <t>lower mezzanine to upper mezzanine for Stone St &amp; Whitehall St exit</t>
  </si>
  <si>
    <t>POINT (-74.01319 40.703857)</t>
  </si>
  <si>
    <t>ES300</t>
  </si>
  <si>
    <t>BWAY-LAFAYETTEST-6AV-B/D/F/M</t>
  </si>
  <si>
    <t>B'way-Lafayette St - Station</t>
  </si>
  <si>
    <t>Broadway-Lafayette St (B,D,F,M)/Bleecker St (6)</t>
  </si>
  <si>
    <t>23' 7 3/4in</t>
  </si>
  <si>
    <t>uptown B/D/F/M platform to uptown 6 platform and access to street</t>
  </si>
  <si>
    <t>POINT (-73.99524 40.725086)</t>
  </si>
  <si>
    <t>ES349</t>
  </si>
  <si>
    <t>intermediate mezzanine to upper mezzanine</t>
  </si>
  <si>
    <t>POINT (-73.99716 40.674404)</t>
  </si>
  <si>
    <t>ES418</t>
  </si>
  <si>
    <t>POINT (-73.95269 40.758904)</t>
  </si>
  <si>
    <t>ES626</t>
  </si>
  <si>
    <t>POINT (-74.001015 40.755)</t>
  </si>
  <si>
    <t>ES256</t>
  </si>
  <si>
    <t>main mezzanine to 42 St (between Park Ave &amp; Lexington Ave)</t>
  </si>
  <si>
    <t>POINT (-73.97698 40.752007)</t>
  </si>
  <si>
    <t>ES499X</t>
  </si>
  <si>
    <t>upper mezzanine to intermediate mezzanine for Brooklyn-bound service</t>
  </si>
  <si>
    <t>POINT (-73.830055 40.660427)</t>
  </si>
  <si>
    <t>ES113</t>
  </si>
  <si>
    <t>161ST-YANKEESTADIUM-CON-B/D</t>
  </si>
  <si>
    <t>161 St-Yankee Stadium - Station</t>
  </si>
  <si>
    <t>161 St-Yankee Stadium (B,D,4)</t>
  </si>
  <si>
    <t>30'-9in</t>
  </si>
  <si>
    <t>B/D lower mezzanine to upper mezzanine for 4 service</t>
  </si>
  <si>
    <t>POINT (-73.925674 40.827625)</t>
  </si>
  <si>
    <t>ES434</t>
  </si>
  <si>
    <t>11' - 5 3/8in</t>
  </si>
  <si>
    <t>E platform to mezzanine for Sutphin Blvd &amp; Archer Ave exit</t>
  </si>
  <si>
    <t>POINT (-73.80785 40.700504)</t>
  </si>
  <si>
    <t>ES331</t>
  </si>
  <si>
    <t>J/Z/L upper mezzanine to Van Sinderen Ave mezzanine for access to street and A/C service</t>
  </si>
  <si>
    <t>POINT (-73.90392 40.678562)</t>
  </si>
  <si>
    <t>ES435</t>
  </si>
  <si>
    <t>mezzanine (Sutphin Blvd &amp; Archer Ave) to E platform for service in both directions and access to J/Z</t>
  </si>
  <si>
    <t>POINT (-73.80787 40.700527)</t>
  </si>
  <si>
    <t>ES429</t>
  </si>
  <si>
    <t>platform to mezzanine for 89 Ave &amp; Van Wyck Expressway exit</t>
  </si>
  <si>
    <t>POINT (-73.816605 40.70189)</t>
  </si>
  <si>
    <t>ES273</t>
  </si>
  <si>
    <t>4953 mm (16' 3in)</t>
  </si>
  <si>
    <t>POINT (-73.952576 40.77666)</t>
  </si>
  <si>
    <t>ES266X</t>
  </si>
  <si>
    <t>E/F/G mezzanine to 45 St &amp; Jackson Ave</t>
  </si>
  <si>
    <t>POINT (-73.94423 40.7472)</t>
  </si>
  <si>
    <t>ES383X</t>
  </si>
  <si>
    <t>uptown 4/5 platform level to Transit Center exit (SE corner of Fulton St &amp; Broadway)</t>
  </si>
  <si>
    <t>POINT (-74.008934 40.7106)</t>
  </si>
  <si>
    <t>ES262X</t>
  </si>
  <si>
    <t>1/2/3 mezzanine to 42 St &amp; 7th Ave (SW corner)</t>
  </si>
  <si>
    <t>POINT (-73.98749 40.756073)</t>
  </si>
  <si>
    <t>ES364</t>
  </si>
  <si>
    <t>20' 2 1/5in</t>
  </si>
  <si>
    <t>48in (1000 mm)</t>
  </si>
  <si>
    <t>lower concourse to downtown 4/5 platform and access to street</t>
  </si>
  <si>
    <t>POINT (-74.00948 40.710587)</t>
  </si>
  <si>
    <t>ES413</t>
  </si>
  <si>
    <t>POINT (-73.95317 40.759094)</t>
  </si>
  <si>
    <t>ES218</t>
  </si>
  <si>
    <t>TIMESSQ-42ST-FLS-7</t>
  </si>
  <si>
    <t>7 platform to upper mezzanine for 41 St &amp; 7 Ave exit and access to rest of complex</t>
  </si>
  <si>
    <t>POINT (-73.98698 40.755154)</t>
  </si>
  <si>
    <t>ES321</t>
  </si>
  <si>
    <t>HIGHST-8AV-A/C</t>
  </si>
  <si>
    <t>High St - Station</t>
  </si>
  <si>
    <t>39' 11/5in</t>
  </si>
  <si>
    <t>lower mezzanine to upper mezzanine for Cadman Plaza West &amp; Middagh St exit</t>
  </si>
  <si>
    <t>POINT (-73.991104 40.699516)</t>
  </si>
  <si>
    <t>ES279</t>
  </si>
  <si>
    <t>lower mezzanine to upper mezzanine for 86 St &amp; 2nd Ave exit</t>
  </si>
  <si>
    <t>POINT (-73.95141 40.777634)</t>
  </si>
  <si>
    <t>ES276X</t>
  </si>
  <si>
    <t>42ST/PORTAUTHORITY-BUSTERMINAL-8AV-A/C/E</t>
  </si>
  <si>
    <t>42St/Port Authority-Bus Terminal - Station</t>
  </si>
  <si>
    <t>Mezzanine for A/C/E service in both directions via ramps to Port Authority Bus Terminal (8th Ave between 41st St &amp; 42nd St)</t>
  </si>
  <si>
    <t>POINT (-73.98978 40.757362)</t>
  </si>
  <si>
    <t>ES264X</t>
  </si>
  <si>
    <t>50ST-8AV-C/E</t>
  </si>
  <si>
    <t>50 St - Station</t>
  </si>
  <si>
    <t>downtown E platform to downtown C platform and access to street</t>
  </si>
  <si>
    <t>POINT (-73.9865 40.762257)</t>
  </si>
  <si>
    <t>ES296</t>
  </si>
  <si>
    <t>72 St &amp; 2nd Ave (NW corner) to lower mezzanine</t>
  </si>
  <si>
    <t>POINT (-73.95851 40.76907)</t>
  </si>
  <si>
    <t>ES244</t>
  </si>
  <si>
    <t>56' 21-4in</t>
  </si>
  <si>
    <t>E/F platform to mezzanine for 6 train and 53 St &amp; Lexington Av exit.</t>
  </si>
  <si>
    <t>POINT (-73.97042 40.758118)</t>
  </si>
  <si>
    <t>ES374</t>
  </si>
  <si>
    <t>5883 mm (19' 3 5/8in)</t>
  </si>
  <si>
    <t>mezzanine (State St &amp; Pearl St) to platform for uptown 1 service</t>
  </si>
  <si>
    <t>POINT (-74.014175 40.70242)</t>
  </si>
  <si>
    <t>ES444</t>
  </si>
  <si>
    <t>mezzanine (153 St &amp; Archer Ave) to E platform for Queens-bound service</t>
  </si>
  <si>
    <t>POINT (-73.80143 40.702084)</t>
  </si>
  <si>
    <t>ES496X</t>
  </si>
  <si>
    <t>Far Rockaway-bound platform to intermediate mezzanine for access to street and AirTrain station</t>
  </si>
  <si>
    <t>POINT (-73.83043 40.660336)</t>
  </si>
  <si>
    <t>ES102</t>
  </si>
  <si>
    <t>125 St &amp; Broadway (SW corner) to mezzanine</t>
  </si>
  <si>
    <t>POINT (-73.95858 40.81564)</t>
  </si>
  <si>
    <t>ES630</t>
  </si>
  <si>
    <t>upper mezzanine to Hudson Blvd E &amp; 35 St (SW corner)</t>
  </si>
  <si>
    <t>POINT (-74.0003 40.755844)</t>
  </si>
  <si>
    <t>ES628</t>
  </si>
  <si>
    <t>POINT (-74.00104 40.754967)</t>
  </si>
  <si>
    <t>ES267X</t>
  </si>
  <si>
    <t>42 St &amp; 7th Ave (SE corner) to mezzanine for N/Q/R/W service and access to rest of complex</t>
  </si>
  <si>
    <t>POINT (-73.98681 40.755688)</t>
  </si>
  <si>
    <t>ES332</t>
  </si>
  <si>
    <t>MYRTLE-WYCKOFFAVS-MYT-M</t>
  </si>
  <si>
    <t>Myrtle-Wyckoff Avs - Station</t>
  </si>
  <si>
    <t>Myrtle-Wyckoff Avs (L,M)</t>
  </si>
  <si>
    <t>BMT-M-MYRTLEAV</t>
  </si>
  <si>
    <t>L lower mezzanine to upper mezzanine for M service</t>
  </si>
  <si>
    <t>POINT (-73.91184 40.699707)</t>
  </si>
  <si>
    <t>ES403</t>
  </si>
  <si>
    <t>upper mezzanine (Lexington Ave &amp; 63 St) to intermediate mezzanine</t>
  </si>
  <si>
    <t>POINT (-73.966965 40.76504)</t>
  </si>
  <si>
    <t>ES338</t>
  </si>
  <si>
    <t>upper mezzanine (Battery Pl &amp; Broadway) to lower mezzanine</t>
  </si>
  <si>
    <t>POINT (-74.01437 40.70475)</t>
  </si>
  <si>
    <t>ES445</t>
  </si>
  <si>
    <t>J/Z platform to mezzanine for Parsons Blvd &amp; Archer Ave exit</t>
  </si>
  <si>
    <t>POINT (-73.8003 40.70232)</t>
  </si>
  <si>
    <t>ES207</t>
  </si>
  <si>
    <t>31'-10 1/4in</t>
  </si>
  <si>
    <t>Western mezzanine to 7 platform for service in both directions</t>
  </si>
  <si>
    <t>POINT (-73.97714 40.75184)</t>
  </si>
  <si>
    <t>ES608X</t>
  </si>
  <si>
    <t>4/5/6 mezzanine to Park Ave &amp; 42 St (SW corner)</t>
  </si>
  <si>
    <t>ES431</t>
  </si>
  <si>
    <t>89 Ave &amp; Van Wyck Expressway (SW corner) to mezzanine</t>
  </si>
  <si>
    <t>POINT (-73.81639 40.700996)</t>
  </si>
  <si>
    <t>ES432X</t>
  </si>
  <si>
    <t>LIRR and AirTrain Terminal (SW corner of Sutphin Blvd &amp; Archer Ave) to mezzanine for E/J/Z service</t>
  </si>
  <si>
    <t>POINT (-73.80775 40.70014)</t>
  </si>
  <si>
    <t>ES324</t>
  </si>
  <si>
    <t>upper mezzanine (Red Cross Pl &amp; Adams St) to lower mezzanine</t>
  </si>
  <si>
    <t>POINT (-73.98922 40.69927)</t>
  </si>
  <si>
    <t>ES216</t>
  </si>
  <si>
    <t>POINT (-73.987724 40.7555)</t>
  </si>
  <si>
    <t>ES353</t>
  </si>
  <si>
    <t>CORTLANDTST-7AV-1</t>
  </si>
  <si>
    <t>Cortlandt St - Station</t>
  </si>
  <si>
    <t>996MM (40in NOMINAL)</t>
  </si>
  <si>
    <t>north mezzanine to platform for uptown 1 service</t>
  </si>
  <si>
    <t>POINT (-74.01187 40.71224)</t>
  </si>
  <si>
    <t>ES311</t>
  </si>
  <si>
    <t>1/R/W upper mezzanine (Water St &amp; Whitehall St) to lower mezzanine for R/W service</t>
  </si>
  <si>
    <t>POINT (-74.01276 40.70225)</t>
  </si>
  <si>
    <t>ES336</t>
  </si>
  <si>
    <t>lower mezzanine to uptown 4/5 mezzanine for Bowling Green Park exit</t>
  </si>
  <si>
    <t>POINT (-74.013824 40.704613)</t>
  </si>
  <si>
    <t>ES114</t>
  </si>
  <si>
    <t>30' - 9in</t>
  </si>
  <si>
    <t>4 upper mezzanine to lower mezzanine for B/D service</t>
  </si>
  <si>
    <t>POINT (-73.92566 40.827644)</t>
  </si>
  <si>
    <t>ES259</t>
  </si>
  <si>
    <t>8220mm (26' 11 5/8in)</t>
  </si>
  <si>
    <t>96 St &amp; 2nd Ave (SW corner) to mezzanine</t>
  </si>
  <si>
    <t>POINT (-73.947464 40.78409)</t>
  </si>
  <si>
    <t>ES105</t>
  </si>
  <si>
    <t>GUNHILLRD-LWP-2/5</t>
  </si>
  <si>
    <t>Gun Hill Rd - Station</t>
  </si>
  <si>
    <t>Gun Hill Rd &amp; White Plains Rd entrance to mezzanine</t>
  </si>
  <si>
    <t>POINT (-73.866295 40.877777)</t>
  </si>
  <si>
    <t>ES301</t>
  </si>
  <si>
    <t>PARKPLACE-CLK-2/3</t>
  </si>
  <si>
    <t>Park Place - Station</t>
  </si>
  <si>
    <t>Chambers St (A,C)/WTC (E)/Park Place (2,3)/Cortlandt St (R, W)</t>
  </si>
  <si>
    <t>2/3 platform to mezzanine for Park Pl &amp; Broadway exit</t>
  </si>
  <si>
    <t>POINT (-74.0085 40.712917)</t>
  </si>
  <si>
    <t>ES457</t>
  </si>
  <si>
    <t>POINT (-73.828835 40.759827)</t>
  </si>
  <si>
    <t>ES249</t>
  </si>
  <si>
    <t>mezzanine (3rd Ave &amp; 60 St) to N/R/W platform for service in both directions</t>
  </si>
  <si>
    <t>POINT (-73.96628 40.76226)</t>
  </si>
  <si>
    <t>ES328</t>
  </si>
  <si>
    <t>uptown F platform to Delancey St &amp; Essex St (SE corner)</t>
  </si>
  <si>
    <t>POINT (-73.98789 40.718185)</t>
  </si>
  <si>
    <t>ES101</t>
  </si>
  <si>
    <t>mezzanine to 125 St &amp; Broadway (SW corner)</t>
  </si>
  <si>
    <t>POINT (-73.95878 40.815357)</t>
  </si>
  <si>
    <t>ES373</t>
  </si>
  <si>
    <t>10236 mm (33' 7in)</t>
  </si>
  <si>
    <t>1 mezzanine to Peter Minuit Plaza</t>
  </si>
  <si>
    <t>POINT (-74.01338 40.702023)</t>
  </si>
  <si>
    <t>ES202</t>
  </si>
  <si>
    <t>5137mm (16' 6 1/2in)</t>
  </si>
  <si>
    <t>mezzanine (96 St &amp; 2nd Ave) to platform for downtown service</t>
  </si>
  <si>
    <t>POINT (-73.94722 40.78397)</t>
  </si>
  <si>
    <t>ES261X</t>
  </si>
  <si>
    <t>42 St &amp; 7th Ave (SW corner) to mezzanine for 1/2/3 service and access to rest of complex</t>
  </si>
  <si>
    <t>POINT (-73.9875 40.756054)</t>
  </si>
  <si>
    <t>ES260</t>
  </si>
  <si>
    <t>mezzanine to 96 St &amp; 2nd Ave (SW corner)</t>
  </si>
  <si>
    <t>POINT (-73.94745 40.78408)</t>
  </si>
  <si>
    <t>ES610X</t>
  </si>
  <si>
    <t>Intermediate mezzanine to Bowery Building (SE corner of 42 St &amp; Park Ave)</t>
  </si>
  <si>
    <t>ES607X</t>
  </si>
  <si>
    <t>A/C/E intermediate mezzanine to 42 St &amp; 8th Ave (SE corner)</t>
  </si>
  <si>
    <t>POINT (-73.98953 40.756985)</t>
  </si>
  <si>
    <t>ES282</t>
  </si>
  <si>
    <t>8768 mm (28 ' 9 3/16in)</t>
  </si>
  <si>
    <t>86 St &amp; 2nd Ave (NE corner) to upper mezzanine</t>
  </si>
  <si>
    <t>POINT (-73.95084 40.77761)</t>
  </si>
  <si>
    <t>ES251X</t>
  </si>
  <si>
    <t>8th Ave &amp; 58 St (NW corner) to mezzanine for A/B/C/D &amp; downtown 1 service and access to uptown 1</t>
  </si>
  <si>
    <t>POINT (-73.982506 40.767662)</t>
  </si>
  <si>
    <t>ES274</t>
  </si>
  <si>
    <t>lower mezzanine to platform for service in both directions</t>
  </si>
  <si>
    <t>POINT (-73.952126 40.77729)</t>
  </si>
  <si>
    <t>ES436</t>
  </si>
  <si>
    <t>17'- 3 5/8in</t>
  </si>
  <si>
    <t>J/Z platform to E platform for service in both directions and access to mezzanine</t>
  </si>
  <si>
    <t>POINT (-73.80808 40.70043)</t>
  </si>
  <si>
    <t>ES375</t>
  </si>
  <si>
    <t>7408 mm (24' 6in)</t>
  </si>
  <si>
    <t>1 mezzanine to State St &amp; Pearl St (SW corner)</t>
  </si>
  <si>
    <t>POINT (-74.01446 40.702705)</t>
  </si>
  <si>
    <t>ES104</t>
  </si>
  <si>
    <t>mezzanine to Gun Hill Rd &amp; White Plains Rd exit</t>
  </si>
  <si>
    <t>POINT (-73.86631 40.877785)</t>
  </si>
  <si>
    <t>ES437</t>
  </si>
  <si>
    <t>17' - 3 5/8in</t>
  </si>
  <si>
    <t>E platform to J/Z platform for service in both directions</t>
  </si>
  <si>
    <t>POINT (-73.80809 40.700455)</t>
  </si>
  <si>
    <t>ES640X</t>
  </si>
  <si>
    <t>Shuttle platform to LIRR â€œMadison Concourseâ€_x009d_ below.</t>
  </si>
  <si>
    <t>ES367</t>
  </si>
  <si>
    <t>2/3 mezzanine (William St &amp; Fulton St) to transfer mezzanine for A/C &amp; Broad St-bound J/Z service and access to rest of complex</t>
  </si>
  <si>
    <t>POINT (-74.006836 40.709774)</t>
  </si>
  <si>
    <t>ES333</t>
  </si>
  <si>
    <t>M upper mezzanine to lower mezzanine for L service</t>
  </si>
  <si>
    <t>POINT (-73.91183 40.6997)</t>
  </si>
  <si>
    <t>ES111</t>
  </si>
  <si>
    <t>PARKCHESTER-PEL-6</t>
  </si>
  <si>
    <t>Parkchester - Station</t>
  </si>
  <si>
    <t>SMARTRISE</t>
  </si>
  <si>
    <t>Westchester Ave entrance to Manhattan-bound platform</t>
  </si>
  <si>
    <t>POINT (-73.86119 40.83322)</t>
  </si>
  <si>
    <t>ES636</t>
  </si>
  <si>
    <t>POINT (-74.001114 40.756115)</t>
  </si>
  <si>
    <t>ES263X</t>
  </si>
  <si>
    <t>downtown C platform to 50 St &amp; 8th Ave (SW corner)</t>
  </si>
  <si>
    <t>POINT (-73.986404 40.762215)</t>
  </si>
  <si>
    <t>ES447</t>
  </si>
  <si>
    <t>E platform to mezzanine for Parsons Blvd &amp; Archer Ave exit</t>
  </si>
  <si>
    <t>POINT (-73.80049 40.70228)</t>
  </si>
  <si>
    <t>ES360X</t>
  </si>
  <si>
    <t>Transit Center entrance (SE corner of Fulton St &amp; Broadway) to uptown 4/5 platform and access to rest of complex</t>
  </si>
  <si>
    <t>POINT (-74.00898 40.710598)</t>
  </si>
  <si>
    <t>ES297</t>
  </si>
  <si>
    <t>POINT (-73.95141 40.777824)</t>
  </si>
  <si>
    <t>ES322</t>
  </si>
  <si>
    <t>upper mezzanine (Cadman Plaza West &amp; Middagh St) to lower mezzanine</t>
  </si>
  <si>
    <t>POINT (-73.991104 40.699528)</t>
  </si>
  <si>
    <t>ES621</t>
  </si>
  <si>
    <t>upper mezzanine (between 33 St &amp; 34 St) to lower mezzanine</t>
  </si>
  <si>
    <t>POINT (-74.00176 40.755405)</t>
  </si>
  <si>
    <t>ES358X</t>
  </si>
  <si>
    <t>Barclays Center plaza (SE corner of Atlantic Ave &amp; Flatbush Ave) to mezzanine for B/Q service and access to Manhattan-bound 2/3, 4/5, and rest of complex</t>
  </si>
  <si>
    <t>POINT (-73.976585 40.68361)</t>
  </si>
  <si>
    <t>ES115</t>
  </si>
  <si>
    <t>uptown B/D platform to mezzanine for 147 St &amp; St Nicholas Av exit</t>
  </si>
  <si>
    <t>POINT (-73.94374 40.825314)</t>
  </si>
  <si>
    <t>ES272</t>
  </si>
  <si>
    <t>mezzanine to 94 St &amp; 2nd Ave (NE corner)</t>
  </si>
  <si>
    <t>POINT (-73.94777 40.782978)</t>
  </si>
  <si>
    <t>ES245</t>
  </si>
  <si>
    <t>E/F platform to mezzanine for 53 St &amp; 3rd Av exit.</t>
  </si>
  <si>
    <t>POINT (-73.96899 40.75753)</t>
  </si>
  <si>
    <t>ES240</t>
  </si>
  <si>
    <t>mezzanine (5th Ave &amp; 53 St) to downtown platform</t>
  </si>
  <si>
    <t>POINT (-73.976295 40.760567)</t>
  </si>
  <si>
    <t>ES305</t>
  </si>
  <si>
    <t>R lower mezzanine to mezzanine for Court St &amp; Montague St exit and 2/3/4/5 service</t>
  </si>
  <si>
    <t>POINT (-73.99119 40.69391)</t>
  </si>
  <si>
    <t>ES122</t>
  </si>
  <si>
    <t>5080 mm (16'-8in)</t>
  </si>
  <si>
    <t>Pelham Parkway South &amp; White Plains Rd (SE corner) to mezzanine</t>
  </si>
  <si>
    <t>POINT (-73.86752 40.85639)</t>
  </si>
  <si>
    <t>ES303</t>
  </si>
  <si>
    <t>BOROUGHHALL-CLK-2/3</t>
  </si>
  <si>
    <t>Borough Hall - Station</t>
  </si>
  <si>
    <t>Brooklyn-bound 2/3 platform to mezzanine for Court St &amp; Montague St exit and R service</t>
  </si>
  <si>
    <t>POINT (-73.99026 40.693752)</t>
  </si>
  <si>
    <t>ES402</t>
  </si>
  <si>
    <t>upper mezzanine to Lexington Ave &amp; 63 St (NW corner)</t>
  </si>
  <si>
    <t>POINT (-73.96654 40.764946)</t>
  </si>
  <si>
    <t>ES243</t>
  </si>
  <si>
    <t>56' - 2/25in</t>
  </si>
  <si>
    <t>E/F platform to mezzanine for 6 service and 53 St &amp; Lexington Ave exit</t>
  </si>
  <si>
    <t>POINT (-73.97041 40.758137)</t>
  </si>
  <si>
    <t>ES280</t>
  </si>
  <si>
    <t>POINT (-73.951416 40.777653)</t>
  </si>
  <si>
    <t>ES639X</t>
  </si>
  <si>
    <t>42 St and Vanderbilt Ave (NE corner) to platform level for Shuttle service.</t>
  </si>
  <si>
    <t>ES204</t>
  </si>
  <si>
    <t>42 St (between Lexington Ave &amp; 3rd Ave) to eastern mezzanine above 7 platform</t>
  </si>
  <si>
    <t>POINT (-73.975075 40.75082)</t>
  </si>
  <si>
    <t>ES323</t>
  </si>
  <si>
    <t>lower mezzanine to upper mezzanine for Red Cross Pl &amp; Adams St exit</t>
  </si>
  <si>
    <t>POINT (-73.98922 40.699253)</t>
  </si>
  <si>
    <t>ES351</t>
  </si>
  <si>
    <t>KONE TRANS 180- PLC</t>
  </si>
  <si>
    <t>R/W lower mezzanine to upper mezzanine for Water St &amp; Whitehall St exit and uptown 1 service</t>
  </si>
  <si>
    <t>POINT (-74.01279 40.702248)</t>
  </si>
  <si>
    <t>ES334</t>
  </si>
  <si>
    <t>BOWERY-JAM-J/Z</t>
  </si>
  <si>
    <t>Bowery - Station</t>
  </si>
  <si>
    <t>BMT-J-JAMAICA</t>
  </si>
  <si>
    <t>23' 8 9/32in</t>
  </si>
  <si>
    <t>J/Z platform to mezzanine for Delancey St &amp; Bowery exit</t>
  </si>
  <si>
    <t>POINT (-73.99377 40.720295)</t>
  </si>
  <si>
    <t>ES606X</t>
  </si>
  <si>
    <t>A/C/E mezzanine to intermediate mezzanine for 42 St &amp; 8th Ave exit</t>
  </si>
  <si>
    <t>POINT (-73.98957 40.757133)</t>
  </si>
  <si>
    <t>ES624</t>
  </si>
  <si>
    <t>POINT (-74.0018 40.75536)</t>
  </si>
  <si>
    <t>ES237</t>
  </si>
  <si>
    <t>POINT (-73.98238 40.763176)</t>
  </si>
  <si>
    <t>ES631</t>
  </si>
  <si>
    <t>Hudson Blvd E &amp; 35 St (SW corner) to upper mezzanine</t>
  </si>
  <si>
    <t>POINT (-74.0003 40.755863)</t>
  </si>
  <si>
    <t>ES213</t>
  </si>
  <si>
    <t>38-11 5/8in</t>
  </si>
  <si>
    <t>N/R/W transfer mezzanine to uptown 6 platform</t>
  </si>
  <si>
    <t>POINT (-73.96815 40.76245)</t>
  </si>
  <si>
    <t>ES286</t>
  </si>
  <si>
    <t>POINT (-73.95884 40.768116)</t>
  </si>
  <si>
    <t>ES275</t>
  </si>
  <si>
    <t>POINT (-73.95194 40.777588)</t>
  </si>
  <si>
    <t>ES637X</t>
  </si>
  <si>
    <t>ES106</t>
  </si>
  <si>
    <t>WESTFARMSSQ-ETREMONTAV-LWP-2/5</t>
  </si>
  <si>
    <t>West Farms Sq-E Tremont Av - Station</t>
  </si>
  <si>
    <t>East 178 St &amp; Boston Post Rd (SW corner) to mezzanine</t>
  </si>
  <si>
    <t>POINT (-73.87972 40.840733)</t>
  </si>
  <si>
    <t>ES288</t>
  </si>
  <si>
    <t>POINT (-73.95917 40.7672)</t>
  </si>
  <si>
    <t>ES632</t>
  </si>
  <si>
    <t>ES283</t>
  </si>
  <si>
    <t>POINT (-73.95085 40.777596)</t>
  </si>
  <si>
    <t>ES222</t>
  </si>
  <si>
    <t>intermediate mezzanine to 32 St &amp; 6th Ave (NW corner)</t>
  </si>
  <si>
    <t>POINT (-73.988655 40.74899)</t>
  </si>
  <si>
    <t>ES622</t>
  </si>
  <si>
    <t>POINT (-74.00177 40.75539)</t>
  </si>
  <si>
    <t>ES121</t>
  </si>
  <si>
    <t>4362mm (14' 3-3/4in)</t>
  </si>
  <si>
    <t>mezzanine to platform for Manhattan-bound service</t>
  </si>
  <si>
    <t>POINT (-73.8271 40.8528)</t>
  </si>
  <si>
    <t>ES376X</t>
  </si>
  <si>
    <t>Nassau St (between Maiden Lane &amp; John St) to Broad St-bound J/Z platform and access to rest of complex</t>
  </si>
  <si>
    <t>POINT (-74.00836 40.709286)</t>
  </si>
  <si>
    <t>ES380X</t>
  </si>
  <si>
    <t>CORTLANDTST-BWY-R</t>
  </si>
  <si>
    <t>underpass to mezzanine (Cortlandt St &amp; Church St) for access to street and uptown R/W service</t>
  </si>
  <si>
    <t>POINT (-74.01114 40.71012)</t>
  </si>
  <si>
    <t>ES269</t>
  </si>
  <si>
    <t>56'</t>
  </si>
  <si>
    <t>6 mezzanine (53 St &amp; Lexington Av) to E/F platform for both directions.</t>
  </si>
  <si>
    <t>POINT (-73.97098 40.75812)</t>
  </si>
  <si>
    <t>ES241</t>
  </si>
  <si>
    <t>RNOS</t>
  </si>
  <si>
    <t>Removed-Non Functioning-Out of Service</t>
  </si>
  <si>
    <t>downtown platform to mezzanine for Madison Ave &amp; 53 St exit</t>
  </si>
  <si>
    <t>POINT (-73.97395 40.759613)</t>
  </si>
  <si>
    <t>ES350</t>
  </si>
  <si>
    <t>POINT (-73.99108 40.69956)</t>
  </si>
  <si>
    <t>ES422</t>
  </si>
  <si>
    <t>mezzanine to 21 St &amp; 41 Ave (NE corner)</t>
  </si>
  <si>
    <t>POINT (-73.94242 40.754192)</t>
  </si>
  <si>
    <t>ES426</t>
  </si>
  <si>
    <t>Jamaica 179 St-bound platform to mezzanine</t>
  </si>
  <si>
    <t>POINT (-73.942665 40.75397)</t>
  </si>
  <si>
    <t>ES404</t>
  </si>
  <si>
    <t>intermediate mezzanine to upper mezzanine for Lexington Ave &amp; 63 St exit</t>
  </si>
  <si>
    <t>POINT (-73.96699 40.76501)</t>
  </si>
  <si>
    <t>ES410</t>
  </si>
  <si>
    <t>Uptown Q/Queens-bound M platform to lower mezzanine for 63 St/Lexington Av exit.</t>
  </si>
  <si>
    <t>POINT (-73.96749 40.76522)</t>
  </si>
  <si>
    <t>ES313</t>
  </si>
  <si>
    <t>intermediate mezzanine to 9th St &amp; Smith St (NE corner)</t>
  </si>
  <si>
    <t>POINT (-73.99713 40.67461)</t>
  </si>
  <si>
    <t>ES409</t>
  </si>
  <si>
    <t>lower mezzanine (Lexington Ave &amp; 63 St) to uptown Q and Queens-bound M platform</t>
  </si>
  <si>
    <t>POINT (-73.967476 40.765244)</t>
  </si>
  <si>
    <t>ES452</t>
  </si>
  <si>
    <t>POINT (-73.891396 40.74685)</t>
  </si>
  <si>
    <t>ES425</t>
  </si>
  <si>
    <t>mezzanine to Jamaica 179 St-bound platform</t>
  </si>
  <si>
    <t>POINT (-73.94265 40.753986)</t>
  </si>
  <si>
    <t>ES356</t>
  </si>
  <si>
    <t>JAYST-METROTECH-BWY-R</t>
  </si>
  <si>
    <t>Jay St-MetroTech - Station</t>
  </si>
  <si>
    <t>25' 10 7/16in</t>
  </si>
  <si>
    <t>POINT (-73.98734 40.692337)</t>
  </si>
  <si>
    <t>ES242</t>
  </si>
  <si>
    <t>mezzanine (Madison Ave &amp; 53 St) to downtown platform</t>
  </si>
  <si>
    <t>POINT (-73.97393 40.75964)</t>
  </si>
  <si>
    <t>ES421</t>
  </si>
  <si>
    <t>21 St &amp; 41 Ave (NE corner) to mezzanine</t>
  </si>
  <si>
    <t>POINT (-73.94243 40.754204)</t>
  </si>
  <si>
    <t>ES316</t>
  </si>
  <si>
    <t>POINT (-73.99714 40.67443)</t>
  </si>
  <si>
    <t>ES408</t>
  </si>
  <si>
    <t>downtown platform to lower mezzanine for Lexington Ave &amp; 63 St exit</t>
  </si>
  <si>
    <t>POINT (-73.96747 40.765213)</t>
  </si>
  <si>
    <t>ES401</t>
  </si>
  <si>
    <t>Lexington Ave &amp; 63 St (NW corner) to upper mezzanine</t>
  </si>
  <si>
    <t>POINT (-73.96652 40.76497)</t>
  </si>
  <si>
    <t>ES448</t>
  </si>
  <si>
    <t>61ST-WOODSIDE-FLS-7</t>
  </si>
  <si>
    <t>61 St-Woodside - Station</t>
  </si>
  <si>
    <t>35'</t>
  </si>
  <si>
    <t>61 St &amp; Roosevelt Ave (SE corner) to mezzanine</t>
  </si>
  <si>
    <t>POINT (-73.9031 40.74555)</t>
  </si>
  <si>
    <t>ES314</t>
  </si>
  <si>
    <t>POINT (-73.997116 40.674603)</t>
  </si>
  <si>
    <t>ES315</t>
  </si>
  <si>
    <t>upper mezzanine to intermediate mezzanine</t>
  </si>
  <si>
    <t>POINT (-73.997154 40.67442)</t>
  </si>
  <si>
    <t>ES406</t>
  </si>
  <si>
    <t>lower mezzanine to intermediate mezzanine for Lexington Ave &amp; 63 St exit</t>
  </si>
  <si>
    <t>POINT (-73.96732 40.76513)</t>
  </si>
  <si>
    <t>ES462X</t>
  </si>
  <si>
    <t>COURTSQ-FLS-7</t>
  </si>
  <si>
    <t>POINT (-73.94383 40.746555)</t>
  </si>
  <si>
    <t>ES461X</t>
  </si>
  <si>
    <t>ES302</t>
  </si>
  <si>
    <t>mezzanine (Park Pl &amp; Broadway) to 2/3 platform for service in both directions</t>
  </si>
  <si>
    <t>POINT (-74.00831 40.712833)</t>
  </si>
  <si>
    <t>MTA Station Accessibility Dashboard</t>
  </si>
  <si>
    <t>Total Stations</t>
  </si>
  <si>
    <t>Fully Accessible</t>
  </si>
  <si>
    <t>Partially Accessible</t>
  </si>
  <si>
    <t>Not Accessible</t>
  </si>
  <si>
    <t>Officially Planned</t>
  </si>
  <si>
    <t>🚉</t>
  </si>
  <si>
    <t>⚠️♿</t>
  </si>
  <si>
    <t>SOURCES COLORS</t>
  </si>
  <si>
    <t>Very Accurate/Near Accurate Source</t>
  </si>
  <si>
    <t>Mid Source</t>
  </si>
  <si>
    <t>Questionable Source</t>
  </si>
  <si>
    <t>Unknown</t>
  </si>
  <si>
    <t>All SAS Phase 1 stations (96 St, 86 St, and 72 St) were made ADA accessible on opening day as per the Americans with Disabilities Act of 1990</t>
  </si>
  <si>
    <t>Americans with Disabilities Act of 1990, As Amended | ADA.gov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</si>
</sst>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 d, yyyy"/>
    <numFmt numFmtId="165" formatCode="m, d"/>
    <numFmt numFmtId="166" formatCode="m/d/yyyy"/>
    <numFmt numFmtId="167" formatCode="0.0%"/>
  </numFmts>
  <fonts count="20">
    <font>
      <sz val="10.0"/>
      <color rgb="FF000000"/>
      <name val="Arial"/>
      <scheme val="minor"/>
    </font>
    <font>
      <sz val="11.0"/>
      <color theme="1"/>
      <name val="Calibri"/>
    </font>
    <font>
      <sz val="12.0"/>
      <color theme="1"/>
      <name val="Arial"/>
      <scheme val="minor"/>
    </font>
    <font>
      <color theme="1"/>
      <name val="Arial"/>
      <scheme val="minor"/>
    </font>
    <font>
      <sz val="13.0"/>
      <color theme="1"/>
      <name val="Arial"/>
      <scheme val="minor"/>
    </font>
    <font>
      <sz val="11.0"/>
      <color rgb="FF000000"/>
      <name val="Calibri"/>
    </font>
    <font>
      <sz val="16.0"/>
      <color rgb="FF000000"/>
      <name val="Arial"/>
    </font>
    <font>
      <sz val="16.0"/>
      <color rgb="FF000000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b/>
      <color rgb="FFFFFFFF"/>
      <name val="Arial"/>
      <scheme val="minor"/>
    </font>
    <font>
      <b/>
      <sz val="18.0"/>
      <color rgb="FF0F162A"/>
      <name val="Montserrat"/>
    </font>
    <font>
      <b/>
      <sz val="12.0"/>
      <color rgb="FF334154"/>
      <name val="Roboto"/>
    </font>
    <font>
      <b/>
      <sz val="24.0"/>
      <color rgb="FF3A82F6"/>
      <name val="Roboto"/>
    </font>
    <font>
      <sz val="24.0"/>
      <color theme="1"/>
      <name val="Arial"/>
      <scheme val="minor"/>
    </font>
    <font>
      <b/>
      <sz val="14.0"/>
      <color rgb="FF334154"/>
      <name val="Roboto"/>
    </font>
    <font>
      <b/>
      <sz val="15.0"/>
      <color theme="1"/>
      <name val="Arial"/>
      <scheme val="minor"/>
    </font>
    <font>
      <sz val="15.0"/>
      <color theme="1"/>
      <name val="Arial"/>
      <scheme val="minor"/>
    </font>
    <font>
      <u/>
      <sz val="15.0"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8F9FB"/>
        <bgColor rgb="FFF8F9FB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E1E8EF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lef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shrinkToFit="0" vertical="bottom" wrapText="0"/>
    </xf>
    <xf borderId="0" fillId="2" fontId="7" numFmtId="49" xfId="0" applyAlignment="1" applyFill="1" applyFont="1" applyNumberFormat="1">
      <alignment horizontal="center"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5" numFmtId="164" xfId="0" applyAlignment="1" applyFont="1" applyNumberForma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7" numFmtId="0" xfId="0" applyAlignment="1" applyFont="1">
      <alignment horizontal="center" readingOrder="0" shrinkToFit="0" vertical="bottom" wrapText="0"/>
    </xf>
    <xf borderId="0" fillId="0" fontId="7" numFmtId="49" xfId="0" applyAlignment="1" applyFont="1" applyNumberFormat="1">
      <alignment horizontal="center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7" numFmtId="49" xfId="0" applyAlignment="1" applyFont="1" applyNumberFormat="1">
      <alignment horizontal="center" shrinkToFit="0" vertical="bottom" wrapText="0"/>
    </xf>
    <xf borderId="0" fillId="0" fontId="5" numFmtId="0" xfId="0" applyAlignment="1" applyFont="1">
      <alignment shrinkToFit="0" vertical="bottom" wrapText="0"/>
    </xf>
    <xf borderId="0" fillId="3" fontId="7" numFmtId="0" xfId="0" applyAlignment="1" applyFill="1" applyFont="1">
      <alignment horizontal="center"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5" numFmtId="165" xfId="0" applyAlignment="1" applyFont="1" applyNumberFormat="1">
      <alignment horizontal="center" readingOrder="0" shrinkToFit="0" vertical="bottom" wrapText="0"/>
    </xf>
    <xf borderId="0" fillId="2" fontId="7" numFmtId="49" xfId="0" applyAlignment="1" applyFont="1" applyNumberFormat="1">
      <alignment horizontal="center" readingOrder="0" shrinkToFit="0" vertical="bottom" wrapText="0"/>
    </xf>
    <xf borderId="0" fillId="0" fontId="10" numFmtId="0" xfId="0" applyAlignment="1" applyFont="1">
      <alignment readingOrder="0" shrinkToFit="0" vertical="bottom" wrapText="0"/>
    </xf>
    <xf quotePrefix="1" borderId="0" fillId="0" fontId="5" numFmtId="0" xfId="0" applyAlignment="1" applyFont="1">
      <alignment horizontal="center" readingOrder="0" shrinkToFit="0" vertical="bottom" wrapText="0"/>
    </xf>
    <xf borderId="0" fillId="0" fontId="11" numFmtId="0" xfId="0" applyAlignment="1" applyFont="1">
      <alignment horizontal="center" readingOrder="0" shrinkToFit="0" vertical="bottom" wrapText="0"/>
    </xf>
    <xf borderId="0" fillId="0" fontId="11" numFmtId="0" xfId="0" applyAlignment="1" applyFont="1">
      <alignment horizontal="center" readingOrder="0" shrinkToFit="0" vertical="center" wrapText="0"/>
    </xf>
    <xf borderId="0" fillId="0" fontId="11" numFmtId="49" xfId="0" applyAlignment="1" applyFont="1" applyNumberFormat="1">
      <alignment horizontal="center" readingOrder="0" shrinkToFit="0" vertical="bottom" wrapText="0"/>
    </xf>
    <xf borderId="0" fillId="0" fontId="6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bottom" wrapText="0"/>
    </xf>
    <xf borderId="0" fillId="0" fontId="5" numFmtId="166" xfId="0" applyAlignment="1" applyFont="1" applyNumberFormat="1">
      <alignment readingOrder="0" shrinkToFit="0" vertical="bottom" wrapText="0"/>
    </xf>
    <xf borderId="0" fillId="0" fontId="7" numFmtId="164" xfId="0" applyAlignment="1" applyFont="1" applyNumberFormat="1">
      <alignment horizontal="center" readingOrder="0" shrinkToFit="0" vertical="bottom" wrapText="0"/>
    </xf>
    <xf borderId="0" fillId="0" fontId="7" numFmtId="49" xfId="0" applyAlignment="1" applyFont="1" applyNumberFormat="1">
      <alignment horizontal="center"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166" xfId="0" applyAlignment="1" applyFont="1" applyNumberFormat="1">
      <alignment horizontal="right" readingOrder="0" shrinkToFit="0" vertical="bottom" wrapText="0"/>
    </xf>
    <xf borderId="0" fillId="4" fontId="3" numFmtId="0" xfId="0" applyFill="1" applyFont="1"/>
    <xf borderId="0" fillId="4" fontId="12" numFmtId="0" xfId="0" applyAlignment="1" applyFont="1">
      <alignment horizontal="center" readingOrder="0"/>
    </xf>
    <xf borderId="1" fillId="5" fontId="13" numFmtId="0" xfId="0" applyAlignment="1" applyBorder="1" applyFill="1" applyFont="1">
      <alignment horizontal="center" readingOrder="0"/>
    </xf>
    <xf borderId="1" fillId="5" fontId="13" numFmtId="0" xfId="0" applyAlignment="1" applyBorder="1" applyFont="1">
      <alignment horizontal="center" readingOrder="0"/>
    </xf>
    <xf borderId="1" fillId="5" fontId="14" numFmtId="0" xfId="0" applyAlignment="1" applyBorder="1" applyFont="1">
      <alignment horizontal="center"/>
    </xf>
    <xf borderId="1" fillId="4" fontId="15" numFmtId="0" xfId="0" applyAlignment="1" applyBorder="1" applyFont="1">
      <alignment horizontal="center" readingOrder="0"/>
    </xf>
    <xf borderId="1" fillId="4" fontId="16" numFmtId="167" xfId="0" applyAlignment="1" applyBorder="1" applyFont="1" applyNumberFormat="1">
      <alignment horizontal="center"/>
    </xf>
    <xf borderId="1" fillId="4" fontId="16" numFmtId="10" xfId="0" applyAlignment="1" applyBorder="1" applyFont="1" applyNumberFormat="1">
      <alignment horizontal="center"/>
    </xf>
    <xf borderId="0" fillId="0" fontId="17" numFmtId="0" xfId="0" applyAlignment="1" applyFont="1">
      <alignment readingOrder="0"/>
    </xf>
    <xf borderId="0" fillId="0" fontId="18" numFmtId="0" xfId="0" applyFont="1"/>
    <xf borderId="0" fillId="2" fontId="18" numFmtId="0" xfId="0" applyAlignment="1" applyFont="1">
      <alignment readingOrder="0"/>
    </xf>
    <xf borderId="0" fillId="6" fontId="18" numFmtId="0" xfId="0" applyAlignment="1" applyFill="1" applyFont="1">
      <alignment readingOrder="0"/>
    </xf>
    <xf borderId="0" fillId="3" fontId="18" numFmtId="0" xfId="0" applyAlignment="1" applyFont="1">
      <alignment readingOrder="0"/>
    </xf>
    <xf borderId="0" fillId="7" fontId="18" numFmtId="0" xfId="0" applyAlignment="1" applyFill="1" applyFont="1">
      <alignment readingOrder="0"/>
    </xf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009900"/>
      </font>
      <fill>
        <patternFill patternType="none"/>
      </fill>
      <border/>
    </dxf>
    <dxf>
      <font>
        <color rgb="FFCC0000"/>
      </font>
      <fill>
        <patternFill patternType="none"/>
      </fill>
      <border/>
    </dxf>
  </dxfs>
  <tableStyles count="2">
    <tableStyle count="4" pivot="0" name="Elevato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calator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494" displayName="Elevators" name="Elevators" id="1">
  <tableColumns count="13">
    <tableColumn name="Station" id="1"/>
    <tableColumn name="Services" id="2"/>
    <tableColumn name="Division" id="3"/>
    <tableColumn name="Line" id="4"/>
    <tableColumn name="♿ / ❌" id="5"/>
    <tableColumn name="IF NOT, ARE THERE ANY OFFICAL PLANS TO DO SO? IF NOT, POSSIBLE REASONS?" id="6"/>
    <tableColumn name="DATE MADE FIRST ACCESSIBLE" id="7"/>
    <tableColumn name="SOURCES" id="8"/>
    <tableColumn name="Opened" id="9"/>
    <tableColumn name="Borough" id="10"/>
    <tableColumn name="Neighborhood" id="11"/>
    <tableColumn name="Ridership (2024)" id="12"/>
    <tableColumn name="Rank" id="13"/>
  </tableColumns>
  <tableStyleInfo name="Elevators-style" showColumnStripes="0" showFirstColumn="1" showLastColumn="1" showRowStripes="1"/>
</table>
</file>

<file path=xl/tables/table2.xml><?xml version="1.0" encoding="utf-8"?>
<table xmlns="http://schemas.openxmlformats.org/spreadsheetml/2006/main" ref="A1:V1494" displayName="Escalators" name="Escalators" id="2">
  <tableColumns count="22">
    <tableColumn name="Station" id="1"/>
    <tableColumn name="Line" id="2"/>
    <tableColumn name="Borough" id="3"/>
    <tableColumn name="Neighborhood" id="4"/>
    <tableColumn name="Opened" id="5"/>
    <tableColumn name="Ridership (2024)" id="6"/>
    <tableColumn name="Rank" id="7"/>
    <tableColumn name="↗️ / ❌" id="8"/>
    <tableColumn name="Original Installation Date" id="9"/>
    <tableColumn name="Latest Installation Date" id="10"/>
    <tableColumn name="Service Life" id="11"/>
    <tableColumn name="NYCT Owned" id="12"/>
    <tableColumn name="Maintained By" id="13"/>
    <tableColumn name="Installer" id="14"/>
    <tableColumn name="Revenue Machine" id="15"/>
    <tableColumn name="Street Access" id="16"/>
    <tableColumn name="Exposed to Weather" id="17"/>
    <tableColumn name="Escalator Rise" id="18"/>
    <tableColumn name="Escalator Number of Steps" id="19"/>
    <tableColumn name="Escalator Step Width" id="20"/>
    <tableColumn name="Notes" id="21"/>
    <tableColumn name="Georeference" id="22"/>
  </tableColumns>
  <tableStyleInfo name="Escalato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eb.archive.org/web/20060409080402/http://mta.info/nyct/maps/subwaymap.pdf" TargetMode="External"/><Relationship Id="rId22" Type="http://schemas.openxmlformats.org/officeDocument/2006/relationships/hyperlink" Target="https://www.mta.info/press-release/mta-announces-greenpoint-av-g-station-now-fully-accessible" TargetMode="External"/><Relationship Id="rId21" Type="http://schemas.openxmlformats.org/officeDocument/2006/relationships/hyperlink" Target="https://www.mta.info/press-release/icymi-governor-hochul-announces-progress-increasing-mta-accessibility" TargetMode="External"/><Relationship Id="rId24" Type="http://schemas.openxmlformats.org/officeDocument/2006/relationships/hyperlink" Target="https://gothamist.com/news/photos-new-jay-st-metro-tech-station-links-acf-to-the-r" TargetMode="External"/><Relationship Id="rId23" Type="http://schemas.openxmlformats.org/officeDocument/2006/relationships/hyperlink" Target="https://www.mta.info/press-release/mta-completes-ada-elevator-installation-gun-hill-rd-station-bronx" TargetMode="External"/><Relationship Id="rId1" Type="http://schemas.openxmlformats.org/officeDocument/2006/relationships/hyperlink" Target="https://www.mta.info/press-release/mta-officials-announce-opening-of-new-elevators-two-l-train-stations-and-join" TargetMode="External"/><Relationship Id="rId2" Type="http://schemas.openxmlformats.org/officeDocument/2006/relationships/hyperlink" Target="https://www.mta.info/press-release/midtown-manhattans-57-st-nqrw-station-now-accessible-all-riders" TargetMode="External"/><Relationship Id="rId3" Type="http://schemas.openxmlformats.org/officeDocument/2006/relationships/hyperlink" Target="https://www.mta.info/press-release/mta-unveils-new-fully-accessible-station-in-brooklyn" TargetMode="External"/><Relationship Id="rId4" Type="http://schemas.openxmlformats.org/officeDocument/2006/relationships/hyperlink" Target="https://www.flickr.com/photos/mtaphotos/48322760367" TargetMode="External"/><Relationship Id="rId9" Type="http://schemas.openxmlformats.org/officeDocument/2006/relationships/hyperlink" Target="https://www.mta.info/project/second-avenue-subway-phase-1" TargetMode="External"/><Relationship Id="rId26" Type="http://schemas.openxmlformats.org/officeDocument/2006/relationships/hyperlink" Target="https://brooklyn.news12.com/elevators-up-and-running-at-bronx-subway-stop-34813506" TargetMode="External"/><Relationship Id="rId25" Type="http://schemas.openxmlformats.org/officeDocument/2006/relationships/hyperlink" Target="https://gothamist.com/news/photos-new-jay-st-metro-tech-station-links-acf-to-the-r" TargetMode="External"/><Relationship Id="rId28" Type="http://schemas.openxmlformats.org/officeDocument/2006/relationships/hyperlink" Target="https://www.mta.info/press-release/mta-announces-tremont-av-b-d-station-bronx-now-fully-accessible" TargetMode="External"/><Relationship Id="rId27" Type="http://schemas.openxmlformats.org/officeDocument/2006/relationships/hyperlink" Target="https://www.mta.info/press-release/mta-announces-opening-of-two-elevators-mosholu-parkway-4-subway-station-making" TargetMode="External"/><Relationship Id="rId5" Type="http://schemas.openxmlformats.org/officeDocument/2006/relationships/hyperlink" Target="https://www.flickr.com/photos/mtaphotos/48322760367" TargetMode="External"/><Relationship Id="rId6" Type="http://schemas.openxmlformats.org/officeDocument/2006/relationships/hyperlink" Target="https://www.mta.info/project/second-avenue-subway-phase-1" TargetMode="External"/><Relationship Id="rId29" Type="http://schemas.openxmlformats.org/officeDocument/2006/relationships/hyperlink" Target="https://www.mta.info/press-release/mta-unveils-accessibility-upgrades-harlem-148-st-station" TargetMode="External"/><Relationship Id="rId7" Type="http://schemas.openxmlformats.org/officeDocument/2006/relationships/hyperlink" Target="https://www.mta.info/press-release/mta-announces-completion-of-four-ada-accessible-stations-coinciding-30th-anniversary" TargetMode="External"/><Relationship Id="rId8" Type="http://schemas.openxmlformats.org/officeDocument/2006/relationships/hyperlink" Target="https://www.mta.info/project/second-avenue-subway-phase-1" TargetMode="External"/><Relationship Id="rId31" Type="http://schemas.openxmlformats.org/officeDocument/2006/relationships/hyperlink" Target="https://www.reddit.com/r/nycrail/comments/1t1edr2/137th_street_city_college_uptown_elevator_now/" TargetMode="External"/><Relationship Id="rId30" Type="http://schemas.openxmlformats.org/officeDocument/2006/relationships/hyperlink" Target="https://www.mta.info/press-release/mta-announces-opening-of-new-accessible-hoyt-st-subway-station-entrance-brooklyn" TargetMode="External"/><Relationship Id="rId11" Type="http://schemas.openxmlformats.org/officeDocument/2006/relationships/hyperlink" Target="https://www.mta.info/press-release/mta-announces-completion-of-four-ada-accessible-stations-coinciding-30th-anniversary" TargetMode="External"/><Relationship Id="rId10" Type="http://schemas.openxmlformats.org/officeDocument/2006/relationships/hyperlink" Target="https://wfuv.org/content/aqueduct-raceway-station-opens-line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www.mta.info/press-release/mta-announces-two-elevators-open-accessible-bay-ridge-95-st-r-station" TargetMode="External"/><Relationship Id="rId12" Type="http://schemas.openxmlformats.org/officeDocument/2006/relationships/hyperlink" Target="https://www.rtands.com/passenger/rapid-transit-light-rail/mta-completes-seven-station-rehabilitation-projects-along-d-line/?utm_source=chatgpt.com" TargetMode="External"/><Relationship Id="rId34" Type="http://schemas.openxmlformats.org/officeDocument/2006/relationships/table" Target="../tables/table1.xml"/><Relationship Id="rId15" Type="http://schemas.openxmlformats.org/officeDocument/2006/relationships/hyperlink" Target="https://www.mta.info/press-release/mta-officials-announce-opening-of-new-elevators-two-l-train-stations-and-join" TargetMode="External"/><Relationship Id="rId14" Type="http://schemas.openxmlformats.org/officeDocument/2006/relationships/hyperlink" Target="https://www.mta.info/press-release/mta-announces-beach-67-st-station-queens-now-fully-accessible" TargetMode="External"/><Relationship Id="rId17" Type="http://schemas.openxmlformats.org/officeDocument/2006/relationships/hyperlink" Target="https://www.youtube.com/watch?v=t6RZvrNW72g" TargetMode="External"/><Relationship Id="rId16" Type="http://schemas.openxmlformats.org/officeDocument/2006/relationships/hyperlink" Target="https://www.mta.info/press-release/mta-announces-newly-accessible-bedford-park-blvd-bd-station-bronx" TargetMode="External"/><Relationship Id="rId19" Type="http://schemas.openxmlformats.org/officeDocument/2006/relationships/hyperlink" Target="https://www.flickr.com/photos/mtaphotos/8044377554" TargetMode="External"/><Relationship Id="rId18" Type="http://schemas.openxmlformats.org/officeDocument/2006/relationships/hyperlink" Target="https://www.flickr.com/photos/mtaphotos/8044377554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da.gov/law-and-regs/ada/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0.13"/>
    <col customWidth="1" min="2" max="2" width="15.13"/>
    <col customWidth="1" min="3" max="3" width="16.25"/>
    <col customWidth="1" min="4" max="4" width="26.38"/>
    <col customWidth="1" min="5" max="5" width="24.5"/>
    <col customWidth="1" min="6" max="6" width="28.13"/>
    <col customWidth="1" min="7" max="7" width="34.88"/>
    <col customWidth="1" min="8" max="8" width="17.38"/>
    <col customWidth="1" min="11" max="11" width="17.63"/>
    <col customWidth="1" min="12" max="12" width="16.1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</row>
    <row r="2" ht="22.5" customHeight="1">
      <c r="A2" s="7" t="s">
        <v>13</v>
      </c>
      <c r="B2" s="8" t="s">
        <v>14</v>
      </c>
      <c r="C2" s="8" t="s">
        <v>15</v>
      </c>
      <c r="D2" s="8" t="s">
        <v>16</v>
      </c>
      <c r="E2" s="9" t="s">
        <v>17</v>
      </c>
      <c r="F2" s="10"/>
      <c r="G2" s="11" t="s">
        <v>18</v>
      </c>
      <c r="H2" s="12" t="s">
        <v>19</v>
      </c>
      <c r="I2" s="13">
        <v>8948.0</v>
      </c>
      <c r="J2" s="14" t="s">
        <v>20</v>
      </c>
      <c r="K2" s="8" t="s">
        <v>21</v>
      </c>
      <c r="L2" s="15">
        <v>6266103.0</v>
      </c>
      <c r="M2" s="15">
        <v>35.0</v>
      </c>
    </row>
    <row r="3" ht="22.5" customHeight="1">
      <c r="A3" s="7" t="s">
        <v>22</v>
      </c>
      <c r="B3" s="8">
        <v>1.0</v>
      </c>
      <c r="C3" s="8" t="s">
        <v>23</v>
      </c>
      <c r="D3" s="8" t="s">
        <v>24</v>
      </c>
      <c r="E3" s="16" t="s">
        <v>17</v>
      </c>
      <c r="F3" s="8"/>
      <c r="G3" s="17"/>
      <c r="H3" s="18"/>
      <c r="I3" s="13">
        <v>1762.0</v>
      </c>
      <c r="J3" s="14" t="s">
        <v>20</v>
      </c>
      <c r="K3" s="8" t="s">
        <v>25</v>
      </c>
      <c r="L3" s="15">
        <v>1977586.0</v>
      </c>
      <c r="M3" s="15">
        <v>165.0</v>
      </c>
    </row>
    <row r="4" ht="22.5" customHeight="1">
      <c r="A4" s="7" t="s">
        <v>22</v>
      </c>
      <c r="B4" s="8" t="s">
        <v>26</v>
      </c>
      <c r="C4" s="8" t="s">
        <v>27</v>
      </c>
      <c r="D4" s="8" t="s">
        <v>28</v>
      </c>
      <c r="E4" s="16" t="s">
        <v>17</v>
      </c>
      <c r="F4" s="8"/>
      <c r="G4" s="17" t="s">
        <v>29</v>
      </c>
      <c r="H4" s="18"/>
      <c r="I4" s="13">
        <v>11942.0</v>
      </c>
      <c r="J4" s="14" t="s">
        <v>20</v>
      </c>
      <c r="K4" s="8" t="s">
        <v>30</v>
      </c>
      <c r="L4" s="15">
        <v>5853749.0</v>
      </c>
      <c r="M4" s="15">
        <v>45.0</v>
      </c>
    </row>
    <row r="5" ht="22.5" customHeight="1">
      <c r="A5" s="7" t="s">
        <v>22</v>
      </c>
      <c r="B5" s="8" t="s">
        <v>31</v>
      </c>
      <c r="C5" s="8" t="s">
        <v>23</v>
      </c>
      <c r="D5" s="8" t="s">
        <v>32</v>
      </c>
      <c r="E5" s="16" t="s">
        <v>17</v>
      </c>
      <c r="F5" s="8"/>
      <c r="G5" s="17"/>
      <c r="H5" s="18"/>
      <c r="I5" s="13">
        <v>6773.0</v>
      </c>
      <c r="J5" s="14" t="s">
        <v>20</v>
      </c>
      <c r="K5" s="8" t="s">
        <v>33</v>
      </c>
      <c r="L5" s="15">
        <v>5425934.0</v>
      </c>
      <c r="M5" s="15">
        <v>51.0</v>
      </c>
    </row>
    <row r="6" ht="22.5" customHeight="1">
      <c r="A6" s="7" t="s">
        <v>34</v>
      </c>
      <c r="B6" s="8" t="s">
        <v>35</v>
      </c>
      <c r="C6" s="8" t="s">
        <v>23</v>
      </c>
      <c r="D6" s="8" t="s">
        <v>36</v>
      </c>
      <c r="E6" s="16" t="s">
        <v>17</v>
      </c>
      <c r="F6" s="10"/>
      <c r="G6" s="19"/>
      <c r="H6" s="18"/>
      <c r="I6" s="13">
        <v>1789.0</v>
      </c>
      <c r="J6" s="14" t="s">
        <v>20</v>
      </c>
      <c r="K6" s="8" t="s">
        <v>30</v>
      </c>
      <c r="L6" s="15">
        <v>2237928.0</v>
      </c>
      <c r="M6" s="15">
        <v>149.0</v>
      </c>
    </row>
    <row r="7" ht="22.5" customHeight="1">
      <c r="A7" s="7" t="s">
        <v>37</v>
      </c>
      <c r="B7" s="8" t="s">
        <v>38</v>
      </c>
      <c r="C7" s="8" t="s">
        <v>15</v>
      </c>
      <c r="D7" s="8" t="s">
        <v>39</v>
      </c>
      <c r="E7" s="16" t="s">
        <v>17</v>
      </c>
      <c r="F7" s="10"/>
      <c r="G7" s="17" t="s">
        <v>29</v>
      </c>
      <c r="H7" s="18"/>
      <c r="I7" s="13">
        <v>6457.0</v>
      </c>
      <c r="J7" s="14" t="s">
        <v>20</v>
      </c>
      <c r="K7" s="8" t="s">
        <v>40</v>
      </c>
      <c r="L7" s="15">
        <v>2.2811597E7</v>
      </c>
      <c r="M7" s="15">
        <v>4.0</v>
      </c>
    </row>
    <row r="8" ht="22.5" customHeight="1">
      <c r="A8" s="7" t="s">
        <v>37</v>
      </c>
      <c r="B8" s="8" t="s">
        <v>14</v>
      </c>
      <c r="C8" s="8" t="s">
        <v>15</v>
      </c>
      <c r="D8" s="8" t="s">
        <v>16</v>
      </c>
      <c r="E8" s="16" t="s">
        <v>17</v>
      </c>
      <c r="F8" s="10"/>
      <c r="G8" s="17" t="s">
        <v>29</v>
      </c>
      <c r="H8" s="18"/>
      <c r="I8" s="13">
        <v>8948.0</v>
      </c>
      <c r="J8" s="14" t="s">
        <v>20</v>
      </c>
      <c r="K8" s="8" t="s">
        <v>40</v>
      </c>
      <c r="L8" s="15">
        <v>2.2811597E7</v>
      </c>
      <c r="M8" s="15">
        <v>4.0</v>
      </c>
    </row>
    <row r="9" ht="22.5" customHeight="1">
      <c r="A9" s="7" t="s">
        <v>41</v>
      </c>
      <c r="B9" s="8" t="s">
        <v>42</v>
      </c>
      <c r="C9" s="8" t="s">
        <v>27</v>
      </c>
      <c r="D9" s="8" t="s">
        <v>43</v>
      </c>
      <c r="E9" s="16" t="s">
        <v>17</v>
      </c>
      <c r="F9" s="10"/>
      <c r="G9" s="19"/>
      <c r="H9" s="18"/>
      <c r="I9" s="13">
        <v>14960.0</v>
      </c>
      <c r="J9" s="14" t="s">
        <v>20</v>
      </c>
      <c r="K9" s="8" t="s">
        <v>44</v>
      </c>
      <c r="L9" s="15">
        <v>1.0463838E7</v>
      </c>
      <c r="M9" s="15">
        <v>19.0</v>
      </c>
    </row>
    <row r="10" ht="22.5" customHeight="1">
      <c r="A10" s="7" t="s">
        <v>45</v>
      </c>
      <c r="B10" s="8" t="s">
        <v>14</v>
      </c>
      <c r="C10" s="8" t="s">
        <v>15</v>
      </c>
      <c r="D10" s="8" t="s">
        <v>16</v>
      </c>
      <c r="E10" s="16" t="s">
        <v>17</v>
      </c>
      <c r="F10" s="10"/>
      <c r="G10" s="19"/>
      <c r="H10" s="18"/>
      <c r="I10" s="13">
        <v>11473.0</v>
      </c>
      <c r="J10" s="14" t="s">
        <v>20</v>
      </c>
      <c r="K10" s="8" t="s">
        <v>44</v>
      </c>
      <c r="L10" s="15">
        <v>1.1672402E7</v>
      </c>
      <c r="M10" s="15">
        <v>15.0</v>
      </c>
    </row>
    <row r="11" ht="22.5" customHeight="1">
      <c r="A11" s="7" t="s">
        <v>45</v>
      </c>
      <c r="B11" s="8" t="s">
        <v>46</v>
      </c>
      <c r="C11" s="8" t="s">
        <v>27</v>
      </c>
      <c r="D11" s="8" t="s">
        <v>28</v>
      </c>
      <c r="E11" s="16" t="s">
        <v>17</v>
      </c>
      <c r="F11" s="10"/>
      <c r="G11" s="19"/>
      <c r="H11" s="18"/>
      <c r="I11" s="13">
        <v>11942.0</v>
      </c>
      <c r="J11" s="14" t="s">
        <v>20</v>
      </c>
      <c r="K11" s="8" t="s">
        <v>44</v>
      </c>
      <c r="L11" s="15">
        <v>1.1672402E7</v>
      </c>
      <c r="M11" s="15">
        <v>15.0</v>
      </c>
    </row>
    <row r="12" ht="22.5" customHeight="1">
      <c r="A12" s="7" t="s">
        <v>47</v>
      </c>
      <c r="B12" s="8" t="s">
        <v>48</v>
      </c>
      <c r="C12" s="8" t="s">
        <v>23</v>
      </c>
      <c r="D12" s="8" t="s">
        <v>24</v>
      </c>
      <c r="E12" s="16" t="s">
        <v>17</v>
      </c>
      <c r="F12" s="10"/>
      <c r="G12" s="19"/>
      <c r="H12" s="18"/>
      <c r="I12" s="13">
        <v>6757.0</v>
      </c>
      <c r="J12" s="14" t="s">
        <v>20</v>
      </c>
      <c r="K12" s="8" t="s">
        <v>44</v>
      </c>
      <c r="L12" s="15">
        <v>1.0463838E7</v>
      </c>
      <c r="M12" s="15">
        <v>19.0</v>
      </c>
    </row>
    <row r="13" ht="22.5" customHeight="1">
      <c r="A13" s="7" t="s">
        <v>47</v>
      </c>
      <c r="B13" s="8" t="s">
        <v>14</v>
      </c>
      <c r="C13" s="8" t="s">
        <v>15</v>
      </c>
      <c r="D13" s="8" t="s">
        <v>16</v>
      </c>
      <c r="E13" s="16" t="s">
        <v>17</v>
      </c>
      <c r="F13" s="10"/>
      <c r="G13" s="19"/>
      <c r="H13" s="18"/>
      <c r="I13" s="13">
        <v>8948.0</v>
      </c>
      <c r="J13" s="14" t="s">
        <v>20</v>
      </c>
      <c r="K13" s="8" t="s">
        <v>44</v>
      </c>
      <c r="L13" s="15">
        <v>1.0463838E7</v>
      </c>
      <c r="M13" s="15">
        <v>19.0</v>
      </c>
    </row>
    <row r="14" ht="22.5" customHeight="1">
      <c r="A14" s="7" t="s">
        <v>49</v>
      </c>
      <c r="B14" s="8" t="s">
        <v>50</v>
      </c>
      <c r="C14" s="8" t="s">
        <v>27</v>
      </c>
      <c r="D14" s="8" t="s">
        <v>51</v>
      </c>
      <c r="E14" s="16" t="s">
        <v>17</v>
      </c>
      <c r="F14" s="10"/>
      <c r="G14" s="16" t="s">
        <v>52</v>
      </c>
      <c r="H14" s="18"/>
      <c r="I14" s="13">
        <v>12236.0</v>
      </c>
      <c r="J14" s="14" t="s">
        <v>53</v>
      </c>
      <c r="K14" s="8" t="s">
        <v>54</v>
      </c>
      <c r="L14" s="15">
        <v>5964943.0</v>
      </c>
      <c r="M14" s="15">
        <v>41.0</v>
      </c>
    </row>
    <row r="15" ht="22.5" customHeight="1">
      <c r="A15" s="7" t="s">
        <v>49</v>
      </c>
      <c r="B15" s="8">
        <v>4.0</v>
      </c>
      <c r="C15" s="8" t="s">
        <v>23</v>
      </c>
      <c r="D15" s="8" t="s">
        <v>55</v>
      </c>
      <c r="E15" s="16" t="s">
        <v>17</v>
      </c>
      <c r="F15" s="10"/>
      <c r="G15" s="16" t="s">
        <v>52</v>
      </c>
      <c r="H15" s="18"/>
      <c r="I15" s="13">
        <v>6363.0</v>
      </c>
      <c r="J15" s="14" t="s">
        <v>53</v>
      </c>
      <c r="K15" s="8" t="s">
        <v>54</v>
      </c>
      <c r="L15" s="20"/>
      <c r="M15" s="20"/>
    </row>
    <row r="16" ht="22.5" customHeight="1">
      <c r="A16" s="7" t="s">
        <v>56</v>
      </c>
      <c r="B16" s="8">
        <v>4.0</v>
      </c>
      <c r="C16" s="8" t="s">
        <v>23</v>
      </c>
      <c r="D16" s="8" t="s">
        <v>55</v>
      </c>
      <c r="E16" s="16" t="s">
        <v>17</v>
      </c>
      <c r="F16" s="10"/>
      <c r="G16" s="19"/>
      <c r="H16" s="18"/>
      <c r="I16" s="13">
        <v>6363.0</v>
      </c>
      <c r="J16" s="14" t="s">
        <v>53</v>
      </c>
      <c r="K16" s="8" t="s">
        <v>54</v>
      </c>
      <c r="L16" s="15">
        <v>1396033.0</v>
      </c>
      <c r="M16" s="15">
        <v>228.0</v>
      </c>
    </row>
    <row r="17" ht="22.5" customHeight="1">
      <c r="A17" s="7" t="s">
        <v>57</v>
      </c>
      <c r="B17" s="8" t="s">
        <v>58</v>
      </c>
      <c r="C17" s="8" t="s">
        <v>27</v>
      </c>
      <c r="D17" s="8" t="s">
        <v>28</v>
      </c>
      <c r="E17" s="16" t="s">
        <v>17</v>
      </c>
      <c r="F17" s="10"/>
      <c r="G17" s="21" t="s">
        <v>59</v>
      </c>
      <c r="H17" s="18"/>
      <c r="I17" s="13">
        <v>11942.0</v>
      </c>
      <c r="J17" s="14" t="s">
        <v>20</v>
      </c>
      <c r="K17" s="8" t="s">
        <v>60</v>
      </c>
      <c r="L17" s="15">
        <v>2284232.0</v>
      </c>
      <c r="M17" s="15">
        <v>142.0</v>
      </c>
    </row>
    <row r="18" ht="22.5" customHeight="1">
      <c r="A18" s="7" t="s">
        <v>61</v>
      </c>
      <c r="B18" s="8" t="s">
        <v>58</v>
      </c>
      <c r="C18" s="8" t="s">
        <v>27</v>
      </c>
      <c r="D18" s="8" t="s">
        <v>28</v>
      </c>
      <c r="E18" s="16" t="s">
        <v>17</v>
      </c>
      <c r="F18" s="10"/>
      <c r="G18" s="19"/>
      <c r="H18" s="18"/>
      <c r="I18" s="13">
        <v>11942.0</v>
      </c>
      <c r="J18" s="14" t="s">
        <v>20</v>
      </c>
      <c r="K18" s="8" t="s">
        <v>60</v>
      </c>
      <c r="L18" s="15">
        <v>2042771.0</v>
      </c>
      <c r="M18" s="15">
        <v>160.0</v>
      </c>
    </row>
    <row r="19" ht="22.5" customHeight="1">
      <c r="A19" s="7" t="s">
        <v>62</v>
      </c>
      <c r="B19" s="8">
        <v>1.0</v>
      </c>
      <c r="C19" s="8" t="s">
        <v>23</v>
      </c>
      <c r="D19" s="8" t="s">
        <v>24</v>
      </c>
      <c r="E19" s="16" t="s">
        <v>17</v>
      </c>
      <c r="F19" s="8"/>
      <c r="G19" s="16" t="s">
        <v>63</v>
      </c>
      <c r="H19" s="18"/>
      <c r="I19" s="13">
        <v>2648.0</v>
      </c>
      <c r="J19" s="14" t="s">
        <v>20</v>
      </c>
      <c r="K19" s="8" t="s">
        <v>64</v>
      </c>
      <c r="L19" s="15">
        <v>1244261.0</v>
      </c>
      <c r="M19" s="15">
        <v>248.0</v>
      </c>
    </row>
    <row r="20" ht="22.5" customHeight="1">
      <c r="A20" s="7" t="s">
        <v>65</v>
      </c>
      <c r="B20" s="8" t="s">
        <v>66</v>
      </c>
      <c r="C20" s="8" t="s">
        <v>27</v>
      </c>
      <c r="D20" s="8" t="s">
        <v>67</v>
      </c>
      <c r="E20" s="16" t="s">
        <v>17</v>
      </c>
      <c r="F20" s="10"/>
      <c r="G20" s="19"/>
      <c r="H20" s="18"/>
      <c r="I20" s="13">
        <v>32810.0</v>
      </c>
      <c r="J20" s="14" t="s">
        <v>68</v>
      </c>
      <c r="K20" s="8" t="s">
        <v>69</v>
      </c>
      <c r="L20" s="15">
        <v>1751180.0</v>
      </c>
      <c r="M20" s="15">
        <v>184.0</v>
      </c>
    </row>
    <row r="21" ht="22.5" customHeight="1">
      <c r="A21" s="7" t="s">
        <v>70</v>
      </c>
      <c r="B21" s="8">
        <v>6.0</v>
      </c>
      <c r="C21" s="8" t="s">
        <v>23</v>
      </c>
      <c r="D21" s="8" t="s">
        <v>32</v>
      </c>
      <c r="E21" s="16" t="s">
        <v>17</v>
      </c>
      <c r="F21" s="8"/>
      <c r="G21" s="19"/>
      <c r="H21" s="18"/>
      <c r="I21" s="13">
        <v>1762.0</v>
      </c>
      <c r="J21" s="14" t="s">
        <v>20</v>
      </c>
      <c r="K21" s="8" t="s">
        <v>71</v>
      </c>
      <c r="L21" s="15">
        <v>5594512.0</v>
      </c>
      <c r="M21" s="15">
        <v>48.0</v>
      </c>
    </row>
    <row r="22" ht="22.5" customHeight="1">
      <c r="A22" s="7" t="s">
        <v>72</v>
      </c>
      <c r="B22" s="8">
        <v>1.0</v>
      </c>
      <c r="C22" s="8" t="s">
        <v>23</v>
      </c>
      <c r="D22" s="8" t="s">
        <v>24</v>
      </c>
      <c r="E22" s="16" t="s">
        <v>17</v>
      </c>
      <c r="F22" s="10"/>
      <c r="G22" s="19"/>
      <c r="H22" s="18"/>
      <c r="I22" s="13">
        <v>2584.0</v>
      </c>
      <c r="J22" s="14" t="s">
        <v>53</v>
      </c>
      <c r="K22" s="8" t="s">
        <v>73</v>
      </c>
      <c r="L22" s="15">
        <v>1780122.0</v>
      </c>
      <c r="M22" s="15">
        <v>180.0</v>
      </c>
    </row>
    <row r="23" ht="22.5" customHeight="1">
      <c r="A23" s="7" t="s">
        <v>74</v>
      </c>
      <c r="B23" s="8">
        <v>2.0</v>
      </c>
      <c r="C23" s="8" t="s">
        <v>23</v>
      </c>
      <c r="D23" s="8" t="s">
        <v>75</v>
      </c>
      <c r="E23" s="16" t="s">
        <v>17</v>
      </c>
      <c r="F23" s="10"/>
      <c r="G23" s="19"/>
      <c r="H23" s="18"/>
      <c r="I23" s="13">
        <v>6300.0</v>
      </c>
      <c r="J23" s="14" t="s">
        <v>53</v>
      </c>
      <c r="K23" s="8" t="s">
        <v>76</v>
      </c>
      <c r="L23" s="15">
        <v>725758.0</v>
      </c>
      <c r="M23" s="15">
        <v>342.0</v>
      </c>
    </row>
    <row r="24" ht="22.5" customHeight="1">
      <c r="A24" s="7" t="s">
        <v>77</v>
      </c>
      <c r="B24" s="8" t="s">
        <v>78</v>
      </c>
      <c r="C24" s="8" t="s">
        <v>23</v>
      </c>
      <c r="D24" s="8" t="s">
        <v>75</v>
      </c>
      <c r="E24" s="16" t="s">
        <v>17</v>
      </c>
      <c r="F24" s="10"/>
      <c r="G24" s="19"/>
      <c r="H24" s="18"/>
      <c r="I24" s="13">
        <v>2018.0</v>
      </c>
      <c r="J24" s="14" t="s">
        <v>53</v>
      </c>
      <c r="K24" s="8" t="s">
        <v>79</v>
      </c>
      <c r="L24" s="15">
        <v>3698741.0</v>
      </c>
      <c r="M24" s="15">
        <v>87.0</v>
      </c>
    </row>
    <row r="25" ht="22.5" customHeight="1">
      <c r="A25" s="7" t="s">
        <v>80</v>
      </c>
      <c r="B25" s="8" t="s">
        <v>38</v>
      </c>
      <c r="C25" s="8" t="s">
        <v>15</v>
      </c>
      <c r="D25" s="8" t="s">
        <v>39</v>
      </c>
      <c r="E25" s="16" t="s">
        <v>17</v>
      </c>
      <c r="F25" s="10"/>
      <c r="G25" s="17" t="s">
        <v>81</v>
      </c>
      <c r="H25" s="18"/>
      <c r="I25" s="13">
        <v>6580.0</v>
      </c>
      <c r="J25" s="14" t="s">
        <v>20</v>
      </c>
      <c r="K25" s="8" t="s">
        <v>82</v>
      </c>
      <c r="L25" s="15">
        <v>2.5012549E7</v>
      </c>
      <c r="M25" s="15">
        <v>3.0</v>
      </c>
    </row>
    <row r="26" ht="22.5" customHeight="1">
      <c r="A26" s="7" t="s">
        <v>80</v>
      </c>
      <c r="B26" s="8" t="s">
        <v>83</v>
      </c>
      <c r="C26" s="8" t="s">
        <v>27</v>
      </c>
      <c r="D26" s="8" t="s">
        <v>43</v>
      </c>
      <c r="E26" s="16" t="s">
        <v>17</v>
      </c>
      <c r="F26" s="10"/>
      <c r="G26" s="17" t="s">
        <v>81</v>
      </c>
      <c r="H26" s="18"/>
      <c r="I26" s="13">
        <v>14960.0</v>
      </c>
      <c r="J26" s="14" t="s">
        <v>20</v>
      </c>
      <c r="K26" s="8" t="s">
        <v>82</v>
      </c>
      <c r="L26" s="15">
        <v>2.5012549E7</v>
      </c>
      <c r="M26" s="15">
        <v>3.0</v>
      </c>
    </row>
    <row r="27" ht="22.5" customHeight="1">
      <c r="A27" s="7" t="s">
        <v>84</v>
      </c>
      <c r="B27" s="8">
        <v>7.0</v>
      </c>
      <c r="C27" s="8" t="s">
        <v>23</v>
      </c>
      <c r="D27" s="8" t="s">
        <v>85</v>
      </c>
      <c r="E27" s="16" t="s">
        <v>17</v>
      </c>
      <c r="F27" s="10"/>
      <c r="G27" s="19"/>
      <c r="H27" s="18"/>
      <c r="I27" s="13">
        <v>42260.0</v>
      </c>
      <c r="J27" s="14" t="s">
        <v>20</v>
      </c>
      <c r="K27" s="8" t="s">
        <v>86</v>
      </c>
      <c r="L27" s="15">
        <v>6082370.0</v>
      </c>
      <c r="M27" s="15">
        <v>39.0</v>
      </c>
    </row>
    <row r="28" ht="22.5" customHeight="1">
      <c r="A28" s="7" t="s">
        <v>87</v>
      </c>
      <c r="B28" s="8" t="s">
        <v>48</v>
      </c>
      <c r="C28" s="8" t="s">
        <v>23</v>
      </c>
      <c r="D28" s="8" t="s">
        <v>24</v>
      </c>
      <c r="E28" s="16" t="s">
        <v>17</v>
      </c>
      <c r="F28" s="10"/>
      <c r="G28" s="16" t="s">
        <v>88</v>
      </c>
      <c r="H28" s="18"/>
      <c r="I28" s="13">
        <v>6364.0</v>
      </c>
      <c r="J28" s="14" t="s">
        <v>20</v>
      </c>
      <c r="K28" s="8" t="s">
        <v>82</v>
      </c>
      <c r="L28" s="15">
        <v>1.6373975E7</v>
      </c>
      <c r="M28" s="15">
        <v>8.0</v>
      </c>
    </row>
    <row r="29" ht="22.5" customHeight="1">
      <c r="A29" s="7" t="s">
        <v>87</v>
      </c>
      <c r="B29" s="8" t="s">
        <v>46</v>
      </c>
      <c r="C29" s="8" t="s">
        <v>27</v>
      </c>
      <c r="D29" s="8" t="s">
        <v>28</v>
      </c>
      <c r="E29" s="16" t="s">
        <v>17</v>
      </c>
      <c r="F29" s="10"/>
      <c r="G29" s="16" t="s">
        <v>88</v>
      </c>
      <c r="H29" s="18"/>
      <c r="I29" s="13">
        <v>11942.0</v>
      </c>
      <c r="J29" s="14" t="s">
        <v>20</v>
      </c>
      <c r="K29" s="8" t="s">
        <v>82</v>
      </c>
      <c r="L29" s="15">
        <v>1.8393456E7</v>
      </c>
      <c r="M29" s="15">
        <v>6.0</v>
      </c>
    </row>
    <row r="30" ht="22.5" customHeight="1">
      <c r="A30" s="7" t="s">
        <v>89</v>
      </c>
      <c r="B30" s="8" t="s">
        <v>46</v>
      </c>
      <c r="C30" s="8" t="s">
        <v>27</v>
      </c>
      <c r="D30" s="8" t="s">
        <v>28</v>
      </c>
      <c r="E30" s="16" t="s">
        <v>17</v>
      </c>
      <c r="F30" s="10"/>
      <c r="G30" s="16" t="s">
        <v>88</v>
      </c>
      <c r="H30" s="18"/>
      <c r="I30" s="13">
        <v>11942.0</v>
      </c>
      <c r="J30" s="14" t="s">
        <v>20</v>
      </c>
      <c r="K30" s="8" t="s">
        <v>82</v>
      </c>
      <c r="L30" s="15">
        <v>5.7743486E7</v>
      </c>
      <c r="M30" s="15">
        <v>1.0</v>
      </c>
    </row>
    <row r="31" ht="22.5" customHeight="1">
      <c r="A31" s="7" t="s">
        <v>90</v>
      </c>
      <c r="B31" s="8" t="s">
        <v>83</v>
      </c>
      <c r="C31" s="8" t="s">
        <v>27</v>
      </c>
      <c r="D31" s="8" t="s">
        <v>43</v>
      </c>
      <c r="E31" s="16" t="s">
        <v>17</v>
      </c>
      <c r="F31" s="10"/>
      <c r="G31" s="16" t="s">
        <v>91</v>
      </c>
      <c r="H31" s="18"/>
      <c r="I31" s="13">
        <v>14960.0</v>
      </c>
      <c r="J31" s="14" t="s">
        <v>20</v>
      </c>
      <c r="K31" s="8" t="s">
        <v>82</v>
      </c>
      <c r="L31" s="15">
        <v>1.251497E7</v>
      </c>
      <c r="M31" s="15">
        <v>13.0</v>
      </c>
    </row>
    <row r="32" ht="22.5" customHeight="1">
      <c r="A32" s="7" t="s">
        <v>92</v>
      </c>
      <c r="B32" s="8" t="s">
        <v>93</v>
      </c>
      <c r="C32" s="8" t="s">
        <v>27</v>
      </c>
      <c r="D32" s="8" t="s">
        <v>94</v>
      </c>
      <c r="E32" s="16" t="s">
        <v>17</v>
      </c>
      <c r="F32" s="10"/>
      <c r="G32" s="19"/>
      <c r="H32" s="18"/>
      <c r="I32" s="13">
        <v>12359.0</v>
      </c>
      <c r="J32" s="14" t="s">
        <v>20</v>
      </c>
      <c r="K32" s="8" t="s">
        <v>82</v>
      </c>
      <c r="L32" s="15">
        <v>4590651.0</v>
      </c>
      <c r="M32" s="15">
        <v>64.0</v>
      </c>
    </row>
    <row r="33" ht="22.5" customHeight="1">
      <c r="A33" s="7" t="s">
        <v>95</v>
      </c>
      <c r="B33" s="8" t="s">
        <v>38</v>
      </c>
      <c r="C33" s="8" t="s">
        <v>15</v>
      </c>
      <c r="D33" s="8" t="s">
        <v>39</v>
      </c>
      <c r="E33" s="16" t="s">
        <v>17</v>
      </c>
      <c r="F33" s="10"/>
      <c r="G33" s="11" t="s">
        <v>96</v>
      </c>
      <c r="H33" s="12" t="s">
        <v>97</v>
      </c>
      <c r="I33" s="13">
        <v>7131.0</v>
      </c>
      <c r="J33" s="14" t="s">
        <v>20</v>
      </c>
      <c r="K33" s="8" t="s">
        <v>82</v>
      </c>
      <c r="L33" s="15">
        <v>8342178.0</v>
      </c>
      <c r="M33" s="15">
        <v>24.0</v>
      </c>
    </row>
    <row r="34" ht="22.5" customHeight="1">
      <c r="A34" s="7" t="s">
        <v>98</v>
      </c>
      <c r="B34" s="8" t="s">
        <v>99</v>
      </c>
      <c r="C34" s="8" t="s">
        <v>15</v>
      </c>
      <c r="D34" s="8" t="s">
        <v>100</v>
      </c>
      <c r="E34" s="16" t="s">
        <v>17</v>
      </c>
      <c r="F34" s="8"/>
      <c r="G34" s="11" t="s">
        <v>101</v>
      </c>
      <c r="H34" s="12" t="s">
        <v>102</v>
      </c>
      <c r="I34" s="13">
        <v>5652.0</v>
      </c>
      <c r="J34" s="14" t="s">
        <v>103</v>
      </c>
      <c r="K34" s="8" t="s">
        <v>104</v>
      </c>
      <c r="L34" s="15">
        <v>2952891.0</v>
      </c>
      <c r="M34" s="15">
        <v>112.0</v>
      </c>
    </row>
    <row r="35" ht="22.5" customHeight="1">
      <c r="A35" s="7" t="s">
        <v>105</v>
      </c>
      <c r="B35" s="8">
        <v>1.0</v>
      </c>
      <c r="C35" s="8" t="s">
        <v>23</v>
      </c>
      <c r="D35" s="8" t="s">
        <v>24</v>
      </c>
      <c r="E35" s="16" t="s">
        <v>17</v>
      </c>
      <c r="F35" s="8"/>
      <c r="G35" s="17" t="s">
        <v>106</v>
      </c>
      <c r="H35" s="18"/>
      <c r="I35" s="13">
        <v>1762.0</v>
      </c>
      <c r="J35" s="14" t="s">
        <v>20</v>
      </c>
      <c r="K35" s="8" t="s">
        <v>82</v>
      </c>
      <c r="L35" s="15">
        <v>1.6884912E7</v>
      </c>
      <c r="M35" s="15">
        <v>7.0</v>
      </c>
    </row>
    <row r="36" ht="22.5" customHeight="1">
      <c r="A36" s="7" t="s">
        <v>105</v>
      </c>
      <c r="B36" s="8" t="s">
        <v>26</v>
      </c>
      <c r="C36" s="8" t="s">
        <v>27</v>
      </c>
      <c r="D36" s="8" t="s">
        <v>28</v>
      </c>
      <c r="E36" s="16" t="s">
        <v>17</v>
      </c>
      <c r="F36" s="8"/>
      <c r="G36" s="17" t="s">
        <v>106</v>
      </c>
      <c r="H36" s="18"/>
      <c r="I36" s="13">
        <v>11942.0</v>
      </c>
      <c r="J36" s="14" t="s">
        <v>20</v>
      </c>
      <c r="K36" s="8" t="s">
        <v>82</v>
      </c>
      <c r="L36" s="15">
        <v>1.6884912E7</v>
      </c>
      <c r="M36" s="15">
        <v>7.0</v>
      </c>
    </row>
    <row r="37" ht="22.5" customHeight="1">
      <c r="A37" s="7" t="s">
        <v>107</v>
      </c>
      <c r="B37" s="8">
        <v>7.0</v>
      </c>
      <c r="C37" s="8" t="s">
        <v>23</v>
      </c>
      <c r="D37" s="8" t="s">
        <v>85</v>
      </c>
      <c r="E37" s="16" t="s">
        <v>17</v>
      </c>
      <c r="F37" s="10"/>
      <c r="G37" s="19"/>
      <c r="H37" s="18"/>
      <c r="I37" s="13">
        <v>6321.0</v>
      </c>
      <c r="J37" s="14" t="s">
        <v>68</v>
      </c>
      <c r="K37" s="8" t="s">
        <v>108</v>
      </c>
      <c r="L37" s="15">
        <v>3808140.0</v>
      </c>
      <c r="M37" s="15">
        <v>83.0</v>
      </c>
    </row>
    <row r="38" ht="22.5" customHeight="1">
      <c r="A38" s="7" t="s">
        <v>109</v>
      </c>
      <c r="B38" s="8" t="s">
        <v>110</v>
      </c>
      <c r="C38" s="8" t="s">
        <v>15</v>
      </c>
      <c r="D38" s="8" t="s">
        <v>111</v>
      </c>
      <c r="E38" s="16" t="s">
        <v>17</v>
      </c>
      <c r="F38" s="10"/>
      <c r="G38" s="11" t="s">
        <v>112</v>
      </c>
      <c r="H38" s="12" t="s">
        <v>113</v>
      </c>
      <c r="I38" s="13">
        <v>5652.0</v>
      </c>
      <c r="J38" s="14" t="s">
        <v>103</v>
      </c>
      <c r="K38" s="8" t="s">
        <v>114</v>
      </c>
      <c r="L38" s="15">
        <v>1152489.0</v>
      </c>
      <c r="M38" s="15">
        <v>266.0</v>
      </c>
    </row>
    <row r="39" ht="22.5" customHeight="1">
      <c r="A39" s="7" t="s">
        <v>109</v>
      </c>
      <c r="B39" s="8" t="s">
        <v>115</v>
      </c>
      <c r="C39" s="8" t="s">
        <v>15</v>
      </c>
      <c r="D39" s="8" t="s">
        <v>116</v>
      </c>
      <c r="E39" s="16" t="s">
        <v>17</v>
      </c>
      <c r="F39" s="10"/>
      <c r="G39" s="11" t="s">
        <v>112</v>
      </c>
      <c r="H39" s="12" t="s">
        <v>113</v>
      </c>
      <c r="I39" s="13">
        <v>6020.0</v>
      </c>
      <c r="J39" s="14" t="s">
        <v>103</v>
      </c>
      <c r="K39" s="8" t="s">
        <v>114</v>
      </c>
      <c r="L39" s="15">
        <v>1152489.0</v>
      </c>
      <c r="M39" s="15">
        <v>266.0</v>
      </c>
    </row>
    <row r="40" ht="22.5" customHeight="1">
      <c r="A40" s="7" t="s">
        <v>117</v>
      </c>
      <c r="B40" s="8">
        <v>1.0</v>
      </c>
      <c r="C40" s="8" t="s">
        <v>23</v>
      </c>
      <c r="D40" s="8" t="s">
        <v>24</v>
      </c>
      <c r="E40" s="16" t="s">
        <v>17</v>
      </c>
      <c r="F40" s="10"/>
      <c r="G40" s="19"/>
      <c r="H40" s="18"/>
      <c r="I40" s="13">
        <v>1762.0</v>
      </c>
      <c r="J40" s="14" t="s">
        <v>20</v>
      </c>
      <c r="K40" s="8" t="s">
        <v>118</v>
      </c>
      <c r="L40" s="15">
        <v>4774721.0</v>
      </c>
      <c r="M40" s="15">
        <v>60.0</v>
      </c>
    </row>
    <row r="41" ht="22.5" customHeight="1">
      <c r="A41" s="7" t="s">
        <v>119</v>
      </c>
      <c r="B41" s="8">
        <v>6.0</v>
      </c>
      <c r="C41" s="8" t="s">
        <v>23</v>
      </c>
      <c r="D41" s="8" t="s">
        <v>32</v>
      </c>
      <c r="E41" s="16" t="s">
        <v>17</v>
      </c>
      <c r="F41" s="10"/>
      <c r="G41" s="19"/>
      <c r="H41" s="18"/>
      <c r="I41" s="13">
        <v>6773.0</v>
      </c>
      <c r="J41" s="14" t="s">
        <v>20</v>
      </c>
      <c r="K41" s="8" t="s">
        <v>120</v>
      </c>
      <c r="L41" s="15">
        <v>5278269.0</v>
      </c>
      <c r="M41" s="15">
        <v>52.0</v>
      </c>
    </row>
    <row r="42" ht="22.5" customHeight="1">
      <c r="A42" s="7" t="s">
        <v>121</v>
      </c>
      <c r="B42" s="8" t="s">
        <v>122</v>
      </c>
      <c r="C42" s="8" t="s">
        <v>15</v>
      </c>
      <c r="D42" s="8" t="s">
        <v>123</v>
      </c>
      <c r="E42" s="16" t="s">
        <v>17</v>
      </c>
      <c r="F42" s="8"/>
      <c r="G42" s="19"/>
      <c r="H42" s="18"/>
      <c r="I42" s="13">
        <v>7519.0</v>
      </c>
      <c r="J42" s="14" t="s">
        <v>103</v>
      </c>
      <c r="K42" s="8" t="s">
        <v>124</v>
      </c>
      <c r="L42" s="15">
        <v>2176497.0</v>
      </c>
      <c r="M42" s="15">
        <v>154.0</v>
      </c>
    </row>
    <row r="43" ht="22.5" customHeight="1">
      <c r="A43" s="7" t="s">
        <v>121</v>
      </c>
      <c r="B43" s="8" t="s">
        <v>125</v>
      </c>
      <c r="C43" s="8" t="s">
        <v>27</v>
      </c>
      <c r="D43" s="8" t="s">
        <v>126</v>
      </c>
      <c r="E43" s="16" t="s">
        <v>17</v>
      </c>
      <c r="F43" s="8"/>
      <c r="G43" s="19"/>
      <c r="H43" s="18"/>
      <c r="I43" s="13">
        <v>12334.0</v>
      </c>
      <c r="J43" s="14" t="s">
        <v>103</v>
      </c>
      <c r="K43" s="8" t="s">
        <v>124</v>
      </c>
      <c r="L43" s="15">
        <v>2790876.0</v>
      </c>
      <c r="M43" s="15">
        <v>125.0</v>
      </c>
    </row>
    <row r="44" ht="22.5" customHeight="1">
      <c r="A44" s="7" t="s">
        <v>127</v>
      </c>
      <c r="B44" s="8" t="s">
        <v>48</v>
      </c>
      <c r="C44" s="8" t="s">
        <v>23</v>
      </c>
      <c r="D44" s="8" t="s">
        <v>24</v>
      </c>
      <c r="E44" s="16" t="s">
        <v>17</v>
      </c>
      <c r="F44" s="10"/>
      <c r="G44" s="19"/>
      <c r="H44" s="18"/>
      <c r="I44" s="13">
        <v>1762.0</v>
      </c>
      <c r="J44" s="14" t="s">
        <v>20</v>
      </c>
      <c r="K44" s="8" t="s">
        <v>118</v>
      </c>
      <c r="L44" s="15">
        <v>9752193.0</v>
      </c>
      <c r="M44" s="15">
        <v>22.0</v>
      </c>
    </row>
    <row r="45" ht="22.5" customHeight="1">
      <c r="A45" s="7" t="s">
        <v>127</v>
      </c>
      <c r="B45" s="8" t="s">
        <v>128</v>
      </c>
      <c r="C45" s="8" t="s">
        <v>27</v>
      </c>
      <c r="D45" s="8" t="s">
        <v>129</v>
      </c>
      <c r="E45" s="16" t="s">
        <v>17</v>
      </c>
      <c r="F45" s="10"/>
      <c r="G45" s="11" t="s">
        <v>130</v>
      </c>
      <c r="H45" s="12" t="s">
        <v>131</v>
      </c>
      <c r="I45" s="13">
        <v>42736.0</v>
      </c>
      <c r="J45" s="14" t="s">
        <v>20</v>
      </c>
      <c r="K45" s="8" t="s">
        <v>120</v>
      </c>
      <c r="L45" s="15">
        <v>6995154.0</v>
      </c>
      <c r="M45" s="15">
        <v>28.0</v>
      </c>
    </row>
    <row r="46" ht="22.5" customHeight="1">
      <c r="A46" s="7" t="s">
        <v>132</v>
      </c>
      <c r="B46" s="8" t="s">
        <v>110</v>
      </c>
      <c r="C46" s="8" t="s">
        <v>15</v>
      </c>
      <c r="D46" s="8" t="s">
        <v>111</v>
      </c>
      <c r="E46" s="16" t="s">
        <v>17</v>
      </c>
      <c r="F46" s="10"/>
      <c r="G46" s="19"/>
      <c r="H46" s="18"/>
      <c r="I46" s="13">
        <v>5652.0</v>
      </c>
      <c r="J46" s="14" t="s">
        <v>103</v>
      </c>
      <c r="K46" s="8" t="s">
        <v>104</v>
      </c>
      <c r="L46" s="15">
        <v>2632321.0</v>
      </c>
      <c r="M46" s="15">
        <v>134.0</v>
      </c>
    </row>
    <row r="47" ht="22.5" customHeight="1">
      <c r="A47" s="7" t="s">
        <v>133</v>
      </c>
      <c r="B47" s="8" t="s">
        <v>134</v>
      </c>
      <c r="C47" s="8" t="s">
        <v>15</v>
      </c>
      <c r="D47" s="8" t="s">
        <v>100</v>
      </c>
      <c r="E47" s="16" t="s">
        <v>17</v>
      </c>
      <c r="F47" s="8"/>
      <c r="G47" s="11" t="s">
        <v>135</v>
      </c>
      <c r="H47" s="12" t="s">
        <v>136</v>
      </c>
      <c r="I47" s="13">
        <v>5859.0</v>
      </c>
      <c r="J47" s="14" t="s">
        <v>103</v>
      </c>
      <c r="K47" s="8" t="s">
        <v>137</v>
      </c>
      <c r="L47" s="15">
        <v>2580130.0</v>
      </c>
      <c r="M47" s="15">
        <v>135.0</v>
      </c>
    </row>
    <row r="48" ht="22.5" customHeight="1">
      <c r="A48" s="7" t="s">
        <v>133</v>
      </c>
      <c r="B48" s="8" t="s">
        <v>128</v>
      </c>
      <c r="C48" s="8" t="s">
        <v>27</v>
      </c>
      <c r="D48" s="8" t="s">
        <v>129</v>
      </c>
      <c r="E48" s="16" t="s">
        <v>17</v>
      </c>
      <c r="F48" s="8"/>
      <c r="G48" s="11" t="s">
        <v>130</v>
      </c>
      <c r="H48" s="12" t="s">
        <v>131</v>
      </c>
      <c r="I48" s="13">
        <v>42736.0</v>
      </c>
      <c r="J48" s="14" t="s">
        <v>20</v>
      </c>
      <c r="K48" s="8" t="s">
        <v>120</v>
      </c>
      <c r="L48" s="15">
        <v>5719486.0</v>
      </c>
      <c r="M48" s="15">
        <v>46.0</v>
      </c>
    </row>
    <row r="49" ht="22.5" customHeight="1">
      <c r="A49" s="7" t="s">
        <v>138</v>
      </c>
      <c r="B49" s="8" t="s">
        <v>48</v>
      </c>
      <c r="C49" s="8" t="s">
        <v>23</v>
      </c>
      <c r="D49" s="8" t="s">
        <v>24</v>
      </c>
      <c r="E49" s="16" t="s">
        <v>17</v>
      </c>
      <c r="F49" s="8"/>
      <c r="G49" s="19"/>
      <c r="H49" s="18"/>
      <c r="I49" s="13">
        <v>1762.0</v>
      </c>
      <c r="J49" s="14" t="s">
        <v>20</v>
      </c>
      <c r="K49" s="8" t="s">
        <v>118</v>
      </c>
      <c r="L49" s="15">
        <v>8250940.0</v>
      </c>
      <c r="M49" s="15">
        <v>26.0</v>
      </c>
    </row>
    <row r="50" ht="22.5" customHeight="1">
      <c r="A50" s="7" t="s">
        <v>138</v>
      </c>
      <c r="B50" s="8">
        <v>6.0</v>
      </c>
      <c r="C50" s="8" t="s">
        <v>23</v>
      </c>
      <c r="D50" s="8" t="s">
        <v>32</v>
      </c>
      <c r="E50" s="16" t="s">
        <v>17</v>
      </c>
      <c r="F50" s="8"/>
      <c r="G50" s="19"/>
      <c r="H50" s="18"/>
      <c r="I50" s="13">
        <v>6773.0</v>
      </c>
      <c r="J50" s="14" t="s">
        <v>20</v>
      </c>
      <c r="K50" s="8" t="s">
        <v>33</v>
      </c>
      <c r="L50" s="15">
        <v>3844627.0</v>
      </c>
      <c r="M50" s="15">
        <v>81.0</v>
      </c>
    </row>
    <row r="51" ht="22.5" customHeight="1">
      <c r="A51" s="7" t="s">
        <v>138</v>
      </c>
      <c r="B51" s="8" t="s">
        <v>128</v>
      </c>
      <c r="C51" s="8" t="s">
        <v>27</v>
      </c>
      <c r="D51" s="8" t="s">
        <v>129</v>
      </c>
      <c r="E51" s="16" t="s">
        <v>17</v>
      </c>
      <c r="F51" s="8"/>
      <c r="G51" s="11" t="s">
        <v>130</v>
      </c>
      <c r="H51" s="12" t="s">
        <v>131</v>
      </c>
      <c r="I51" s="13">
        <v>42736.0</v>
      </c>
      <c r="J51" s="14" t="s">
        <v>20</v>
      </c>
      <c r="K51" s="8" t="s">
        <v>120</v>
      </c>
      <c r="L51" s="15">
        <v>3995561.0</v>
      </c>
      <c r="M51" s="15">
        <v>79.0</v>
      </c>
    </row>
    <row r="52" ht="22.5" customHeight="1">
      <c r="A52" s="7" t="s">
        <v>139</v>
      </c>
      <c r="B52" s="8" t="s">
        <v>58</v>
      </c>
      <c r="C52" s="8" t="s">
        <v>27</v>
      </c>
      <c r="D52" s="8" t="s">
        <v>140</v>
      </c>
      <c r="E52" s="16" t="s">
        <v>17</v>
      </c>
      <c r="F52" s="10"/>
      <c r="G52" s="11" t="s">
        <v>141</v>
      </c>
      <c r="H52" s="12" t="s">
        <v>142</v>
      </c>
      <c r="I52" s="13">
        <v>21807.0</v>
      </c>
      <c r="J52" s="14" t="s">
        <v>68</v>
      </c>
      <c r="K52" s="8" t="s">
        <v>143</v>
      </c>
      <c r="L52" s="15">
        <v>171518.0</v>
      </c>
      <c r="M52" s="15">
        <v>416.0</v>
      </c>
    </row>
    <row r="53" ht="22.5" customHeight="1">
      <c r="A53" s="7" t="s">
        <v>144</v>
      </c>
      <c r="B53" s="8" t="s">
        <v>145</v>
      </c>
      <c r="C53" s="8" t="s">
        <v>145</v>
      </c>
      <c r="D53" s="8" t="s">
        <v>146</v>
      </c>
      <c r="E53" s="16" t="s">
        <v>17</v>
      </c>
      <c r="F53" s="10"/>
      <c r="G53" s="19"/>
      <c r="H53" s="18"/>
      <c r="I53" s="13">
        <v>42756.0</v>
      </c>
      <c r="J53" s="14" t="s">
        <v>147</v>
      </c>
      <c r="K53" s="8" t="s">
        <v>148</v>
      </c>
      <c r="L53" s="15"/>
      <c r="M53" s="15"/>
    </row>
    <row r="54" ht="22.5" customHeight="1">
      <c r="A54" s="7" t="s">
        <v>149</v>
      </c>
      <c r="B54" s="8" t="s">
        <v>150</v>
      </c>
      <c r="C54" s="8" t="s">
        <v>15</v>
      </c>
      <c r="D54" s="8" t="s">
        <v>151</v>
      </c>
      <c r="E54" s="16" t="s">
        <v>17</v>
      </c>
      <c r="F54" s="10"/>
      <c r="G54" s="11" t="s">
        <v>152</v>
      </c>
      <c r="H54" s="12" t="s">
        <v>136</v>
      </c>
      <c r="I54" s="13">
        <v>6242.0</v>
      </c>
      <c r="J54" s="14" t="s">
        <v>68</v>
      </c>
      <c r="K54" s="8" t="s">
        <v>153</v>
      </c>
      <c r="L54" s="15">
        <v>2470238.0</v>
      </c>
      <c r="M54" s="15">
        <v>139.0</v>
      </c>
    </row>
    <row r="55" ht="22.5" customHeight="1">
      <c r="A55" s="7" t="s">
        <v>154</v>
      </c>
      <c r="B55" s="8" t="s">
        <v>122</v>
      </c>
      <c r="C55" s="8" t="s">
        <v>15</v>
      </c>
      <c r="D55" s="8" t="s">
        <v>123</v>
      </c>
      <c r="E55" s="16" t="s">
        <v>17</v>
      </c>
      <c r="F55" s="10"/>
      <c r="G55" s="16" t="s">
        <v>155</v>
      </c>
      <c r="H55" s="18"/>
      <c r="I55" s="13">
        <v>7519.0</v>
      </c>
      <c r="J55" s="14" t="s">
        <v>103</v>
      </c>
      <c r="K55" s="8" t="s">
        <v>156</v>
      </c>
      <c r="L55" s="15">
        <v>1.0108995E7</v>
      </c>
      <c r="M55" s="15">
        <v>20.0</v>
      </c>
    </row>
    <row r="56" ht="22.5" customHeight="1">
      <c r="A56" s="7" t="s">
        <v>154</v>
      </c>
      <c r="B56" s="8" t="s">
        <v>157</v>
      </c>
      <c r="C56" s="8" t="s">
        <v>23</v>
      </c>
      <c r="D56" s="8" t="s">
        <v>158</v>
      </c>
      <c r="E56" s="16" t="s">
        <v>17</v>
      </c>
      <c r="F56" s="10"/>
      <c r="G56" s="16" t="s">
        <v>155</v>
      </c>
      <c r="H56" s="18"/>
      <c r="I56" s="13">
        <v>3044.0</v>
      </c>
      <c r="J56" s="14" t="s">
        <v>103</v>
      </c>
      <c r="K56" s="8" t="s">
        <v>156</v>
      </c>
      <c r="L56" s="15">
        <v>1.0108995E7</v>
      </c>
      <c r="M56" s="15">
        <v>20.0</v>
      </c>
    </row>
    <row r="57" ht="22.5" customHeight="1">
      <c r="A57" s="7" t="s">
        <v>154</v>
      </c>
      <c r="B57" s="8" t="s">
        <v>159</v>
      </c>
      <c r="C57" s="8" t="s">
        <v>15</v>
      </c>
      <c r="D57" s="8" t="s">
        <v>100</v>
      </c>
      <c r="E57" s="16" t="s">
        <v>17</v>
      </c>
      <c r="F57" s="10"/>
      <c r="G57" s="16" t="s">
        <v>155</v>
      </c>
      <c r="H57" s="18"/>
      <c r="I57" s="13">
        <v>5652.0</v>
      </c>
      <c r="J57" s="14" t="s">
        <v>103</v>
      </c>
      <c r="K57" s="8" t="s">
        <v>156</v>
      </c>
      <c r="L57" s="15">
        <v>1.0108995E7</v>
      </c>
      <c r="M57" s="15">
        <v>20.0</v>
      </c>
    </row>
    <row r="58" ht="22.5" customHeight="1">
      <c r="A58" s="7" t="s">
        <v>160</v>
      </c>
      <c r="B58" s="8" t="s">
        <v>128</v>
      </c>
      <c r="C58" s="8" t="s">
        <v>15</v>
      </c>
      <c r="D58" s="8" t="s">
        <v>123</v>
      </c>
      <c r="E58" s="16" t="s">
        <v>17</v>
      </c>
      <c r="F58" s="10"/>
      <c r="G58" s="19"/>
      <c r="H58" s="18"/>
      <c r="I58" s="13">
        <v>2792.0</v>
      </c>
      <c r="J58" s="14" t="s">
        <v>103</v>
      </c>
      <c r="K58" s="8" t="s">
        <v>161</v>
      </c>
      <c r="L58" s="15">
        <v>676816.0</v>
      </c>
      <c r="M58" s="15">
        <v>349.0</v>
      </c>
    </row>
    <row r="59" ht="22.5" customHeight="1">
      <c r="A59" s="7" t="s">
        <v>162</v>
      </c>
      <c r="B59" s="8" t="s">
        <v>115</v>
      </c>
      <c r="C59" s="8" t="s">
        <v>15</v>
      </c>
      <c r="D59" s="8" t="s">
        <v>116</v>
      </c>
      <c r="E59" s="16" t="s">
        <v>17</v>
      </c>
      <c r="F59" s="10"/>
      <c r="G59" s="11" t="s">
        <v>163</v>
      </c>
      <c r="H59" s="12" t="s">
        <v>164</v>
      </c>
      <c r="I59" s="13">
        <v>6055.0</v>
      </c>
      <c r="J59" s="14" t="s">
        <v>103</v>
      </c>
      <c r="K59" s="8" t="s">
        <v>165</v>
      </c>
      <c r="L59" s="15">
        <v>1691045.0</v>
      </c>
      <c r="M59" s="15">
        <v>195.0</v>
      </c>
    </row>
    <row r="60" ht="22.5" customHeight="1">
      <c r="A60" s="7" t="s">
        <v>166</v>
      </c>
      <c r="B60" s="8" t="s">
        <v>134</v>
      </c>
      <c r="C60" s="8" t="s">
        <v>15</v>
      </c>
      <c r="D60" s="8" t="s">
        <v>100</v>
      </c>
      <c r="E60" s="16" t="s">
        <v>17</v>
      </c>
      <c r="F60" s="10"/>
      <c r="G60" s="11" t="s">
        <v>167</v>
      </c>
      <c r="H60" s="12" t="s">
        <v>168</v>
      </c>
      <c r="I60" s="13">
        <v>9436.0</v>
      </c>
      <c r="J60" s="14" t="s">
        <v>103</v>
      </c>
      <c r="K60" s="8" t="s">
        <v>137</v>
      </c>
      <c r="L60" s="15">
        <v>1201642.0</v>
      </c>
      <c r="M60" s="15">
        <v>255.0</v>
      </c>
    </row>
    <row r="61" ht="22.5" customHeight="1">
      <c r="A61" s="7" t="s">
        <v>169</v>
      </c>
      <c r="B61" s="8" t="s">
        <v>58</v>
      </c>
      <c r="C61" s="8" t="s">
        <v>27</v>
      </c>
      <c r="D61" s="8" t="s">
        <v>140</v>
      </c>
      <c r="E61" s="16" t="s">
        <v>17</v>
      </c>
      <c r="F61" s="10"/>
      <c r="G61" s="11" t="s">
        <v>170</v>
      </c>
      <c r="H61" s="12" t="s">
        <v>171</v>
      </c>
      <c r="I61" s="13">
        <v>20634.0</v>
      </c>
      <c r="J61" s="14" t="s">
        <v>68</v>
      </c>
      <c r="K61" s="8" t="s">
        <v>172</v>
      </c>
      <c r="L61" s="15">
        <v>473215.0</v>
      </c>
      <c r="M61" s="15">
        <v>389.0</v>
      </c>
    </row>
    <row r="62" ht="22.5" customHeight="1">
      <c r="A62" s="7" t="s">
        <v>173</v>
      </c>
      <c r="B62" s="8" t="s">
        <v>14</v>
      </c>
      <c r="C62" s="8" t="s">
        <v>15</v>
      </c>
      <c r="D62" s="8" t="s">
        <v>16</v>
      </c>
      <c r="E62" s="16" t="s">
        <v>17</v>
      </c>
      <c r="F62" s="10"/>
      <c r="G62" s="11" t="s">
        <v>18</v>
      </c>
      <c r="H62" s="12" t="s">
        <v>19</v>
      </c>
      <c r="I62" s="13">
        <v>8948.0</v>
      </c>
      <c r="J62" s="14" t="s">
        <v>103</v>
      </c>
      <c r="K62" s="8" t="s">
        <v>174</v>
      </c>
      <c r="L62" s="15">
        <v>8764921.0</v>
      </c>
      <c r="M62" s="15">
        <v>23.0</v>
      </c>
    </row>
    <row r="63" ht="22.5" customHeight="1">
      <c r="A63" s="7" t="s">
        <v>175</v>
      </c>
      <c r="B63" s="8" t="s">
        <v>115</v>
      </c>
      <c r="C63" s="8" t="s">
        <v>27</v>
      </c>
      <c r="D63" s="8" t="s">
        <v>51</v>
      </c>
      <c r="E63" s="16" t="s">
        <v>17</v>
      </c>
      <c r="F63" s="10"/>
      <c r="G63" s="11" t="s">
        <v>176</v>
      </c>
      <c r="H63" s="12" t="s">
        <v>177</v>
      </c>
      <c r="I63" s="13">
        <v>12236.0</v>
      </c>
      <c r="J63" s="14" t="s">
        <v>53</v>
      </c>
      <c r="K63" s="8" t="s">
        <v>178</v>
      </c>
      <c r="L63" s="15">
        <v>1159574.0</v>
      </c>
      <c r="M63" s="15">
        <v>263.0</v>
      </c>
    </row>
    <row r="64" ht="22.5" customHeight="1">
      <c r="A64" s="7" t="s">
        <v>179</v>
      </c>
      <c r="B64" s="8" t="s">
        <v>35</v>
      </c>
      <c r="C64" s="8" t="s">
        <v>23</v>
      </c>
      <c r="D64" s="8" t="s">
        <v>24</v>
      </c>
      <c r="E64" s="16" t="s">
        <v>17</v>
      </c>
      <c r="F64" s="10"/>
      <c r="G64" s="11" t="s">
        <v>180</v>
      </c>
      <c r="H64" s="22" t="s">
        <v>181</v>
      </c>
      <c r="I64" s="13">
        <v>7045.0</v>
      </c>
      <c r="J64" s="14" t="s">
        <v>103</v>
      </c>
      <c r="K64" s="8" t="s">
        <v>156</v>
      </c>
      <c r="L64" s="15">
        <v>6188561.0</v>
      </c>
      <c r="M64" s="15">
        <v>36.0</v>
      </c>
    </row>
    <row r="65" ht="22.5" customHeight="1">
      <c r="A65" s="7" t="s">
        <v>179</v>
      </c>
      <c r="B65" s="8" t="s">
        <v>182</v>
      </c>
      <c r="C65" s="8" t="s">
        <v>23</v>
      </c>
      <c r="D65" s="8" t="s">
        <v>158</v>
      </c>
      <c r="E65" s="16" t="s">
        <v>17</v>
      </c>
      <c r="F65" s="10"/>
      <c r="G65" s="19"/>
      <c r="H65" s="18"/>
      <c r="I65" s="13">
        <v>2931.0</v>
      </c>
      <c r="J65" s="14" t="s">
        <v>103</v>
      </c>
      <c r="K65" s="8" t="s">
        <v>156</v>
      </c>
      <c r="L65" s="15">
        <v>6188561.0</v>
      </c>
      <c r="M65" s="15">
        <v>36.0</v>
      </c>
    </row>
    <row r="66" ht="22.5" customHeight="1">
      <c r="A66" s="7" t="s">
        <v>183</v>
      </c>
      <c r="B66" s="8" t="s">
        <v>182</v>
      </c>
      <c r="C66" s="8" t="s">
        <v>23</v>
      </c>
      <c r="D66" s="8" t="s">
        <v>32</v>
      </c>
      <c r="E66" s="16" t="s">
        <v>17</v>
      </c>
      <c r="F66" s="10"/>
      <c r="G66" s="19"/>
      <c r="H66" s="18"/>
      <c r="I66" s="13">
        <v>2018.0</v>
      </c>
      <c r="J66" s="14" t="s">
        <v>20</v>
      </c>
      <c r="K66" s="8" t="s">
        <v>184</v>
      </c>
      <c r="L66" s="15">
        <v>4676646.0</v>
      </c>
      <c r="M66" s="15">
        <v>62.0</v>
      </c>
    </row>
    <row r="67" ht="22.5" customHeight="1">
      <c r="A67" s="7" t="s">
        <v>185</v>
      </c>
      <c r="B67" s="8">
        <v>6.0</v>
      </c>
      <c r="C67" s="8" t="s">
        <v>23</v>
      </c>
      <c r="D67" s="8" t="s">
        <v>32</v>
      </c>
      <c r="E67" s="16" t="s">
        <v>17</v>
      </c>
      <c r="F67" s="10"/>
      <c r="G67" s="11" t="s">
        <v>186</v>
      </c>
      <c r="H67" s="12" t="s">
        <v>187</v>
      </c>
      <c r="I67" s="13">
        <v>1762.0</v>
      </c>
      <c r="J67" s="14" t="s">
        <v>20</v>
      </c>
      <c r="K67" s="8" t="s">
        <v>188</v>
      </c>
      <c r="L67" s="15">
        <v>9991286.0</v>
      </c>
      <c r="M67" s="15">
        <v>21.0</v>
      </c>
    </row>
    <row r="68" ht="22.5" customHeight="1">
      <c r="A68" s="7" t="s">
        <v>185</v>
      </c>
      <c r="B68" s="8" t="s">
        <v>83</v>
      </c>
      <c r="C68" s="8" t="s">
        <v>27</v>
      </c>
      <c r="D68" s="8" t="s">
        <v>43</v>
      </c>
      <c r="E68" s="16" t="s">
        <v>17</v>
      </c>
      <c r="F68" s="10"/>
      <c r="G68" s="11" t="s">
        <v>186</v>
      </c>
      <c r="H68" s="12" t="s">
        <v>187</v>
      </c>
      <c r="I68" s="13">
        <v>13150.0</v>
      </c>
      <c r="J68" s="14" t="s">
        <v>20</v>
      </c>
      <c r="K68" s="8" t="s">
        <v>188</v>
      </c>
      <c r="L68" s="15">
        <v>9991286.0</v>
      </c>
      <c r="M68" s="15">
        <v>21.0</v>
      </c>
    </row>
    <row r="69" ht="22.5" customHeight="1">
      <c r="A69" s="7" t="s">
        <v>189</v>
      </c>
      <c r="B69" s="8" t="s">
        <v>31</v>
      </c>
      <c r="C69" s="8" t="s">
        <v>23</v>
      </c>
      <c r="D69" s="8" t="s">
        <v>32</v>
      </c>
      <c r="E69" s="16" t="s">
        <v>17</v>
      </c>
      <c r="F69" s="10"/>
      <c r="G69" s="19"/>
      <c r="H69" s="18"/>
      <c r="I69" s="13">
        <v>1762.0</v>
      </c>
      <c r="J69" s="14" t="s">
        <v>20</v>
      </c>
      <c r="K69" s="8" t="s">
        <v>190</v>
      </c>
      <c r="L69" s="15">
        <v>5911226.0</v>
      </c>
      <c r="M69" s="15">
        <v>43.0</v>
      </c>
    </row>
    <row r="70" ht="22.5" customHeight="1">
      <c r="A70" s="7" t="s">
        <v>189</v>
      </c>
      <c r="B70" s="8" t="s">
        <v>191</v>
      </c>
      <c r="C70" s="8" t="s">
        <v>15</v>
      </c>
      <c r="D70" s="8" t="s">
        <v>192</v>
      </c>
      <c r="E70" s="16" t="s">
        <v>17</v>
      </c>
      <c r="F70" s="10"/>
      <c r="G70" s="19"/>
      <c r="H70" s="18"/>
      <c r="I70" s="13">
        <v>4965.0</v>
      </c>
      <c r="J70" s="14" t="s">
        <v>20</v>
      </c>
      <c r="K70" s="8" t="s">
        <v>190</v>
      </c>
      <c r="L70" s="15">
        <v>5911226.0</v>
      </c>
      <c r="M70" s="15">
        <v>43.0</v>
      </c>
    </row>
    <row r="71" ht="22.5" customHeight="1">
      <c r="A71" s="7" t="s">
        <v>193</v>
      </c>
      <c r="B71" s="8">
        <v>6.0</v>
      </c>
      <c r="C71" s="8" t="s">
        <v>23</v>
      </c>
      <c r="D71" s="8" t="s">
        <v>32</v>
      </c>
      <c r="E71" s="16" t="s">
        <v>17</v>
      </c>
      <c r="F71" s="8"/>
      <c r="G71" s="19"/>
      <c r="H71" s="18"/>
      <c r="I71" s="13">
        <v>1762.0</v>
      </c>
      <c r="J71" s="14" t="s">
        <v>20</v>
      </c>
      <c r="K71" s="8" t="s">
        <v>194</v>
      </c>
      <c r="L71" s="15">
        <v>1.104892E7</v>
      </c>
      <c r="M71" s="15">
        <v>17.0</v>
      </c>
    </row>
    <row r="72" ht="22.5" customHeight="1">
      <c r="A72" s="7" t="s">
        <v>195</v>
      </c>
      <c r="B72" s="8" t="s">
        <v>14</v>
      </c>
      <c r="C72" s="8" t="s">
        <v>15</v>
      </c>
      <c r="D72" s="8" t="s">
        <v>16</v>
      </c>
      <c r="E72" s="16" t="s">
        <v>17</v>
      </c>
      <c r="F72" s="10"/>
      <c r="G72" s="19"/>
      <c r="H72" s="18"/>
      <c r="I72" s="13">
        <v>2401.0</v>
      </c>
      <c r="J72" s="14" t="s">
        <v>103</v>
      </c>
      <c r="K72" s="8" t="s">
        <v>196</v>
      </c>
      <c r="L72" s="15">
        <v>669667.0</v>
      </c>
      <c r="M72" s="15">
        <v>352.0</v>
      </c>
    </row>
    <row r="73" ht="22.5" customHeight="1">
      <c r="A73" s="7" t="s">
        <v>197</v>
      </c>
      <c r="B73" s="8" t="s">
        <v>48</v>
      </c>
      <c r="C73" s="8" t="s">
        <v>23</v>
      </c>
      <c r="D73" s="8" t="s">
        <v>24</v>
      </c>
      <c r="E73" s="16" t="s">
        <v>17</v>
      </c>
      <c r="F73" s="10"/>
      <c r="G73" s="19"/>
      <c r="H73" s="18"/>
      <c r="I73" s="13">
        <v>6757.0</v>
      </c>
      <c r="J73" s="14" t="s">
        <v>20</v>
      </c>
      <c r="K73" s="8" t="s">
        <v>184</v>
      </c>
      <c r="L73" s="15">
        <v>3952229.0</v>
      </c>
      <c r="M73" s="15">
        <v>80.0</v>
      </c>
    </row>
    <row r="74" ht="22.5" customHeight="1">
      <c r="A74" s="7" t="s">
        <v>198</v>
      </c>
      <c r="B74" s="8" t="s">
        <v>199</v>
      </c>
      <c r="C74" s="8" t="s">
        <v>15</v>
      </c>
      <c r="D74" s="8" t="s">
        <v>39</v>
      </c>
      <c r="E74" s="16" t="s">
        <v>17</v>
      </c>
      <c r="F74" s="10"/>
      <c r="G74" s="17" t="s">
        <v>200</v>
      </c>
      <c r="H74" s="18"/>
      <c r="I74" s="13">
        <v>6580.0</v>
      </c>
      <c r="J74" s="14" t="s">
        <v>20</v>
      </c>
      <c r="K74" s="8" t="s">
        <v>184</v>
      </c>
      <c r="L74" s="15">
        <v>1.3399327E7</v>
      </c>
      <c r="M74" s="15">
        <v>11.0</v>
      </c>
    </row>
    <row r="75" ht="22.5" customHeight="1">
      <c r="A75" s="7" t="s">
        <v>198</v>
      </c>
      <c r="B75" s="8" t="s">
        <v>35</v>
      </c>
      <c r="C75" s="8" t="s">
        <v>23</v>
      </c>
      <c r="D75" s="8" t="s">
        <v>24</v>
      </c>
      <c r="E75" s="16" t="s">
        <v>17</v>
      </c>
      <c r="F75" s="10"/>
      <c r="G75" s="17" t="s">
        <v>200</v>
      </c>
      <c r="H75" s="18"/>
      <c r="I75" s="13">
        <v>6757.0</v>
      </c>
      <c r="J75" s="14" t="s">
        <v>20</v>
      </c>
      <c r="K75" s="8" t="s">
        <v>184</v>
      </c>
      <c r="L75" s="15">
        <v>1.3399327E7</v>
      </c>
      <c r="M75" s="15">
        <v>11.0</v>
      </c>
    </row>
    <row r="76" ht="22.5" customHeight="1">
      <c r="A76" s="7" t="s">
        <v>198</v>
      </c>
      <c r="B76" s="8" t="s">
        <v>201</v>
      </c>
      <c r="C76" s="8" t="s">
        <v>27</v>
      </c>
      <c r="D76" s="8" t="s">
        <v>28</v>
      </c>
      <c r="E76" s="16" t="s">
        <v>17</v>
      </c>
      <c r="F76" s="10"/>
      <c r="G76" s="17" t="s">
        <v>200</v>
      </c>
      <c r="H76" s="18"/>
      <c r="I76" s="13">
        <v>11942.0</v>
      </c>
      <c r="J76" s="14" t="s">
        <v>20</v>
      </c>
      <c r="K76" s="8" t="s">
        <v>184</v>
      </c>
      <c r="L76" s="15">
        <v>1.3399327E7</v>
      </c>
      <c r="M76" s="15">
        <v>11.0</v>
      </c>
    </row>
    <row r="77" ht="22.5" customHeight="1">
      <c r="A77" s="7" t="s">
        <v>198</v>
      </c>
      <c r="B77" s="8" t="s">
        <v>202</v>
      </c>
      <c r="C77" s="8" t="s">
        <v>27</v>
      </c>
      <c r="D77" s="8" t="s">
        <v>28</v>
      </c>
      <c r="E77" s="16" t="s">
        <v>17</v>
      </c>
      <c r="F77" s="10"/>
      <c r="G77" s="17" t="s">
        <v>200</v>
      </c>
      <c r="H77" s="18"/>
      <c r="I77" s="13">
        <v>11942.0</v>
      </c>
      <c r="J77" s="14" t="s">
        <v>20</v>
      </c>
      <c r="K77" s="8" t="s">
        <v>184</v>
      </c>
      <c r="L77" s="15">
        <v>1.3399327E7</v>
      </c>
      <c r="M77" s="15">
        <v>11.0</v>
      </c>
    </row>
    <row r="78" ht="22.5" customHeight="1">
      <c r="A78" s="7" t="s">
        <v>203</v>
      </c>
      <c r="B78" s="8" t="s">
        <v>122</v>
      </c>
      <c r="C78" s="8" t="s">
        <v>15</v>
      </c>
      <c r="D78" s="8" t="s">
        <v>123</v>
      </c>
      <c r="E78" s="16" t="s">
        <v>17</v>
      </c>
      <c r="F78" s="10"/>
      <c r="G78" s="19"/>
      <c r="H78" s="18"/>
      <c r="I78" s="13">
        <v>2792.0</v>
      </c>
      <c r="J78" s="14" t="s">
        <v>103</v>
      </c>
      <c r="K78" s="8" t="s">
        <v>204</v>
      </c>
      <c r="L78" s="15">
        <v>2819621.0</v>
      </c>
      <c r="M78" s="15">
        <v>123.0</v>
      </c>
    </row>
    <row r="79" ht="22.5" customHeight="1">
      <c r="A79" s="7" t="s">
        <v>203</v>
      </c>
      <c r="B79" s="8" t="s">
        <v>125</v>
      </c>
      <c r="C79" s="8" t="s">
        <v>27</v>
      </c>
      <c r="D79" s="8" t="s">
        <v>126</v>
      </c>
      <c r="E79" s="16" t="s">
        <v>17</v>
      </c>
      <c r="F79" s="10"/>
      <c r="G79" s="19"/>
      <c r="H79" s="18"/>
      <c r="I79" s="13">
        <v>12334.0</v>
      </c>
      <c r="J79" s="14" t="s">
        <v>103</v>
      </c>
      <c r="K79" s="8" t="s">
        <v>205</v>
      </c>
      <c r="L79" s="15">
        <v>2029121.0</v>
      </c>
      <c r="M79" s="15">
        <v>161.0</v>
      </c>
    </row>
    <row r="80" ht="22.5" customHeight="1">
      <c r="A80" s="7" t="s">
        <v>203</v>
      </c>
      <c r="B80" s="8" t="s">
        <v>78</v>
      </c>
      <c r="C80" s="8" t="s">
        <v>23</v>
      </c>
      <c r="D80" s="8" t="s">
        <v>206</v>
      </c>
      <c r="E80" s="16" t="s">
        <v>17</v>
      </c>
      <c r="F80" s="10"/>
      <c r="G80" s="19"/>
      <c r="H80" s="18"/>
      <c r="I80" s="13">
        <v>7541.0</v>
      </c>
      <c r="J80" s="14" t="s">
        <v>103</v>
      </c>
      <c r="K80" s="8" t="s">
        <v>207</v>
      </c>
      <c r="L80" s="15">
        <v>1880019.0</v>
      </c>
      <c r="M80" s="15">
        <v>173.0</v>
      </c>
    </row>
    <row r="81" ht="22.5" customHeight="1">
      <c r="A81" s="7" t="s">
        <v>208</v>
      </c>
      <c r="B81" s="8" t="s">
        <v>209</v>
      </c>
      <c r="C81" s="8" t="s">
        <v>210</v>
      </c>
      <c r="D81" s="8" t="s">
        <v>211</v>
      </c>
      <c r="E81" s="16" t="s">
        <v>17</v>
      </c>
      <c r="F81" s="10"/>
      <c r="G81" s="17" t="s">
        <v>212</v>
      </c>
      <c r="H81" s="18"/>
      <c r="I81" s="13">
        <v>6458.0</v>
      </c>
      <c r="J81" s="14" t="s">
        <v>103</v>
      </c>
      <c r="K81" s="8" t="s">
        <v>213</v>
      </c>
      <c r="L81" s="15">
        <v>3254148.0</v>
      </c>
      <c r="M81" s="15">
        <v>98.0</v>
      </c>
    </row>
    <row r="82" ht="22.5" customHeight="1">
      <c r="A82" s="7" t="s">
        <v>214</v>
      </c>
      <c r="B82" s="8" t="s">
        <v>215</v>
      </c>
      <c r="C82" s="8" t="s">
        <v>27</v>
      </c>
      <c r="D82" s="8" t="s">
        <v>216</v>
      </c>
      <c r="E82" s="16" t="s">
        <v>17</v>
      </c>
      <c r="F82" s="8"/>
      <c r="G82" s="19"/>
      <c r="H82" s="18"/>
      <c r="I82" s="13">
        <v>12285.0</v>
      </c>
      <c r="J82" s="14" t="s">
        <v>68</v>
      </c>
      <c r="K82" s="8" t="s">
        <v>69</v>
      </c>
      <c r="L82" s="15">
        <v>6032857.0</v>
      </c>
      <c r="M82" s="15">
        <v>40.0</v>
      </c>
    </row>
    <row r="83" ht="22.5" customHeight="1">
      <c r="A83" s="7" t="s">
        <v>214</v>
      </c>
      <c r="B83" s="8">
        <v>7.0</v>
      </c>
      <c r="C83" s="8" t="s">
        <v>23</v>
      </c>
      <c r="D83" s="8" t="s">
        <v>85</v>
      </c>
      <c r="E83" s="16" t="s">
        <v>17</v>
      </c>
      <c r="F83" s="8"/>
      <c r="G83" s="19"/>
      <c r="H83" s="18"/>
      <c r="I83" s="13">
        <v>6154.0</v>
      </c>
      <c r="J83" s="14" t="s">
        <v>68</v>
      </c>
      <c r="K83" s="8" t="s">
        <v>69</v>
      </c>
      <c r="L83" s="15">
        <v>6032857.0</v>
      </c>
      <c r="M83" s="15">
        <v>40.0</v>
      </c>
    </row>
    <row r="84" ht="22.5" customHeight="1">
      <c r="A84" s="7" t="s">
        <v>217</v>
      </c>
      <c r="B84" s="23">
        <v>46085.0</v>
      </c>
      <c r="C84" s="8" t="s">
        <v>23</v>
      </c>
      <c r="D84" s="8" t="s">
        <v>158</v>
      </c>
      <c r="E84" s="16" t="s">
        <v>17</v>
      </c>
      <c r="F84" s="10"/>
      <c r="G84" s="17" t="s">
        <v>218</v>
      </c>
      <c r="H84" s="18"/>
      <c r="I84" s="13">
        <v>7541.0</v>
      </c>
      <c r="J84" s="14" t="s">
        <v>103</v>
      </c>
      <c r="K84" s="8" t="s">
        <v>219</v>
      </c>
      <c r="L84" s="15">
        <v>5144720.0</v>
      </c>
      <c r="M84" s="15">
        <v>55.0</v>
      </c>
    </row>
    <row r="85" ht="22.5" customHeight="1">
      <c r="A85" s="7" t="s">
        <v>220</v>
      </c>
      <c r="B85" s="8" t="s">
        <v>14</v>
      </c>
      <c r="C85" s="8" t="s">
        <v>15</v>
      </c>
      <c r="D85" s="8" t="s">
        <v>16</v>
      </c>
      <c r="E85" s="16" t="s">
        <v>17</v>
      </c>
      <c r="F85" s="10"/>
      <c r="G85" s="17" t="s">
        <v>221</v>
      </c>
      <c r="H85" s="18"/>
      <c r="I85" s="13">
        <v>10423.0</v>
      </c>
      <c r="J85" s="14" t="s">
        <v>103</v>
      </c>
      <c r="K85" s="8" t="s">
        <v>222</v>
      </c>
      <c r="L85" s="15">
        <v>2931695.0</v>
      </c>
      <c r="M85" s="15">
        <v>113.0</v>
      </c>
    </row>
    <row r="86" ht="22.5" customHeight="1">
      <c r="A86" s="7" t="s">
        <v>220</v>
      </c>
      <c r="B86" s="8" t="s">
        <v>223</v>
      </c>
      <c r="C86" s="8" t="s">
        <v>15</v>
      </c>
      <c r="D86" s="8" t="s">
        <v>224</v>
      </c>
      <c r="E86" s="16" t="s">
        <v>17</v>
      </c>
      <c r="F86" s="10"/>
      <c r="G86" s="17" t="s">
        <v>221</v>
      </c>
      <c r="H86" s="18"/>
      <c r="I86" s="13">
        <v>5652.0</v>
      </c>
      <c r="J86" s="14" t="s">
        <v>103</v>
      </c>
      <c r="K86" s="8" t="s">
        <v>225</v>
      </c>
      <c r="L86" s="15">
        <v>4955471.0</v>
      </c>
      <c r="M86" s="15">
        <v>58.0</v>
      </c>
    </row>
    <row r="87" ht="22.5" customHeight="1">
      <c r="A87" s="7" t="s">
        <v>226</v>
      </c>
      <c r="B87" s="8" t="s">
        <v>145</v>
      </c>
      <c r="C87" s="8" t="s">
        <v>145</v>
      </c>
      <c r="D87" s="8" t="s">
        <v>146</v>
      </c>
      <c r="E87" s="16" t="s">
        <v>17</v>
      </c>
      <c r="F87" s="10"/>
      <c r="G87" s="19"/>
      <c r="H87" s="18"/>
      <c r="I87" s="13" t="s">
        <v>227</v>
      </c>
      <c r="J87" s="14" t="s">
        <v>147</v>
      </c>
      <c r="K87" s="8" t="s">
        <v>226</v>
      </c>
      <c r="L87" s="15"/>
      <c r="M87" s="15"/>
    </row>
    <row r="88" ht="22.5" customHeight="1">
      <c r="A88" s="7" t="s">
        <v>228</v>
      </c>
      <c r="B88" s="8">
        <v>1.0</v>
      </c>
      <c r="C88" s="8" t="s">
        <v>23</v>
      </c>
      <c r="D88" s="8" t="s">
        <v>24</v>
      </c>
      <c r="E88" s="16" t="s">
        <v>17</v>
      </c>
      <c r="F88" s="10"/>
      <c r="G88" s="19"/>
      <c r="H88" s="18"/>
      <c r="I88" s="13">
        <v>2263.0</v>
      </c>
      <c r="J88" s="14" t="s">
        <v>20</v>
      </c>
      <c r="K88" s="8" t="s">
        <v>64</v>
      </c>
      <c r="L88" s="15">
        <v>1462682.0</v>
      </c>
      <c r="M88" s="15">
        <v>217.0</v>
      </c>
    </row>
    <row r="89" ht="22.5" customHeight="1">
      <c r="A89" s="7" t="s">
        <v>229</v>
      </c>
      <c r="B89" s="8">
        <v>6.0</v>
      </c>
      <c r="C89" s="8" t="s">
        <v>23</v>
      </c>
      <c r="D89" s="8" t="s">
        <v>230</v>
      </c>
      <c r="E89" s="16" t="s">
        <v>17</v>
      </c>
      <c r="F89" s="10"/>
      <c r="G89" s="19"/>
      <c r="H89" s="18"/>
      <c r="I89" s="13">
        <v>6947.0</v>
      </c>
      <c r="J89" s="14" t="s">
        <v>53</v>
      </c>
      <c r="K89" s="8" t="s">
        <v>231</v>
      </c>
      <c r="L89" s="15">
        <v>935029.0</v>
      </c>
      <c r="M89" s="15">
        <v>307.0</v>
      </c>
    </row>
    <row r="90" ht="22.5" customHeight="1">
      <c r="A90" s="7" t="s">
        <v>232</v>
      </c>
      <c r="B90" s="23">
        <v>46058.0</v>
      </c>
      <c r="C90" s="8" t="s">
        <v>23</v>
      </c>
      <c r="D90" s="8" t="s">
        <v>75</v>
      </c>
      <c r="E90" s="16" t="s">
        <v>17</v>
      </c>
      <c r="F90" s="10"/>
      <c r="G90" s="19"/>
      <c r="H90" s="18"/>
      <c r="I90" s="13">
        <v>6272.0</v>
      </c>
      <c r="J90" s="14" t="s">
        <v>53</v>
      </c>
      <c r="K90" s="8" t="s">
        <v>233</v>
      </c>
      <c r="L90" s="15">
        <v>1694993.0</v>
      </c>
      <c r="M90" s="15">
        <v>194.0</v>
      </c>
    </row>
    <row r="91" ht="22.5" customHeight="1">
      <c r="A91" s="7" t="s">
        <v>234</v>
      </c>
      <c r="B91" s="23">
        <v>46056.0</v>
      </c>
      <c r="C91" s="8" t="s">
        <v>23</v>
      </c>
      <c r="D91" s="8" t="s">
        <v>158</v>
      </c>
      <c r="E91" s="16" t="s">
        <v>17</v>
      </c>
      <c r="F91" s="10"/>
      <c r="G91" s="19"/>
      <c r="H91" s="18"/>
      <c r="I91" s="13">
        <v>7589.0</v>
      </c>
      <c r="J91" s="14" t="s">
        <v>103</v>
      </c>
      <c r="K91" s="8" t="s">
        <v>235</v>
      </c>
      <c r="L91" s="15">
        <v>1168932.0</v>
      </c>
      <c r="M91" s="15">
        <v>261.0</v>
      </c>
    </row>
    <row r="92" ht="22.5" customHeight="1">
      <c r="A92" s="7" t="s">
        <v>236</v>
      </c>
      <c r="B92" s="8" t="s">
        <v>237</v>
      </c>
      <c r="C92" s="8" t="s">
        <v>27</v>
      </c>
      <c r="D92" s="8" t="s">
        <v>238</v>
      </c>
      <c r="E92" s="16" t="s">
        <v>17</v>
      </c>
      <c r="F92" s="10"/>
      <c r="G92" s="11" t="s">
        <v>239</v>
      </c>
      <c r="H92" s="12" t="s">
        <v>240</v>
      </c>
      <c r="I92" s="13">
        <v>17865.0</v>
      </c>
      <c r="J92" s="14" t="s">
        <v>103</v>
      </c>
      <c r="K92" s="8" t="s">
        <v>241</v>
      </c>
      <c r="L92" s="15">
        <v>2166608.0</v>
      </c>
      <c r="M92" s="15">
        <v>155.0</v>
      </c>
    </row>
    <row r="93" ht="22.5" customHeight="1">
      <c r="A93" s="7" t="s">
        <v>242</v>
      </c>
      <c r="B93" s="8" t="s">
        <v>58</v>
      </c>
      <c r="C93" s="8" t="s">
        <v>27</v>
      </c>
      <c r="D93" s="8" t="s">
        <v>140</v>
      </c>
      <c r="E93" s="16" t="s">
        <v>17</v>
      </c>
      <c r="F93" s="10"/>
      <c r="G93" s="17" t="s">
        <v>243</v>
      </c>
      <c r="H93" s="18"/>
      <c r="I93" s="13">
        <v>21201.0</v>
      </c>
      <c r="J93" s="14" t="s">
        <v>68</v>
      </c>
      <c r="K93" s="8" t="s">
        <v>244</v>
      </c>
      <c r="L93" s="15">
        <v>961694.0</v>
      </c>
      <c r="M93" s="15">
        <v>302.0</v>
      </c>
    </row>
    <row r="94" ht="22.5" customHeight="1">
      <c r="A94" s="7" t="s">
        <v>245</v>
      </c>
      <c r="B94" s="23">
        <v>46058.0</v>
      </c>
      <c r="C94" s="8" t="s">
        <v>23</v>
      </c>
      <c r="D94" s="8" t="s">
        <v>206</v>
      </c>
      <c r="E94" s="16" t="s">
        <v>17</v>
      </c>
      <c r="F94" s="10"/>
      <c r="G94" s="19"/>
      <c r="H94" s="18"/>
      <c r="I94" s="13">
        <v>7541.0</v>
      </c>
      <c r="J94" s="14" t="s">
        <v>103</v>
      </c>
      <c r="K94" s="8" t="s">
        <v>204</v>
      </c>
      <c r="L94" s="15">
        <v>3662300.0</v>
      </c>
      <c r="M94" s="15">
        <v>88.0</v>
      </c>
    </row>
    <row r="95" ht="22.5" customHeight="1">
      <c r="A95" s="7" t="s">
        <v>246</v>
      </c>
      <c r="B95" s="8" t="s">
        <v>247</v>
      </c>
      <c r="C95" s="8" t="s">
        <v>15</v>
      </c>
      <c r="D95" s="8" t="s">
        <v>248</v>
      </c>
      <c r="E95" s="16" t="s">
        <v>17</v>
      </c>
      <c r="F95" s="8"/>
      <c r="G95" s="19"/>
      <c r="H95" s="18"/>
      <c r="I95" s="13" t="s">
        <v>249</v>
      </c>
      <c r="J95" s="14" t="s">
        <v>103</v>
      </c>
      <c r="K95" s="8" t="s">
        <v>174</v>
      </c>
      <c r="L95" s="15">
        <v>1658300.0</v>
      </c>
      <c r="M95" s="15">
        <v>200.0</v>
      </c>
    </row>
    <row r="96" ht="22.5" customHeight="1">
      <c r="A96" s="7" t="s">
        <v>250</v>
      </c>
      <c r="B96" s="8">
        <v>7.0</v>
      </c>
      <c r="C96" s="8" t="s">
        <v>23</v>
      </c>
      <c r="D96" s="8" t="s">
        <v>85</v>
      </c>
      <c r="E96" s="16" t="s">
        <v>17</v>
      </c>
      <c r="F96" s="10"/>
      <c r="G96" s="19"/>
      <c r="H96" s="18"/>
      <c r="I96" s="13">
        <v>10248.0</v>
      </c>
      <c r="J96" s="14" t="s">
        <v>68</v>
      </c>
      <c r="K96" s="8" t="s">
        <v>251</v>
      </c>
      <c r="L96" s="15">
        <v>1.4592853E7</v>
      </c>
      <c r="M96" s="15">
        <v>10.0</v>
      </c>
    </row>
    <row r="97" ht="22.5" customHeight="1">
      <c r="A97" s="7" t="s">
        <v>252</v>
      </c>
      <c r="B97" s="8">
        <v>4.0</v>
      </c>
      <c r="C97" s="8" t="s">
        <v>23</v>
      </c>
      <c r="D97" s="8" t="s">
        <v>55</v>
      </c>
      <c r="E97" s="16" t="s">
        <v>17</v>
      </c>
      <c r="F97" s="8"/>
      <c r="G97" s="19"/>
      <c r="H97" s="18"/>
      <c r="I97" s="13">
        <v>6363.0</v>
      </c>
      <c r="J97" s="14" t="s">
        <v>53</v>
      </c>
      <c r="K97" s="8" t="s">
        <v>253</v>
      </c>
      <c r="L97" s="15">
        <v>1885625.0</v>
      </c>
      <c r="M97" s="15">
        <v>172.0</v>
      </c>
    </row>
    <row r="98" ht="22.5" customHeight="1">
      <c r="A98" s="7" t="s">
        <v>254</v>
      </c>
      <c r="B98" s="8" t="s">
        <v>255</v>
      </c>
      <c r="C98" s="8" t="s">
        <v>27</v>
      </c>
      <c r="D98" s="8" t="s">
        <v>94</v>
      </c>
      <c r="E98" s="16" t="s">
        <v>17</v>
      </c>
      <c r="F98" s="10"/>
      <c r="G98" s="19"/>
      <c r="H98" s="18"/>
      <c r="I98" s="13">
        <v>13515.0</v>
      </c>
      <c r="J98" s="14" t="s">
        <v>68</v>
      </c>
      <c r="K98" s="8" t="s">
        <v>256</v>
      </c>
      <c r="L98" s="15">
        <v>5697461.0</v>
      </c>
      <c r="M98" s="15">
        <v>47.0</v>
      </c>
    </row>
    <row r="99" ht="22.5" customHeight="1">
      <c r="A99" s="7" t="s">
        <v>257</v>
      </c>
      <c r="B99" s="8" t="s">
        <v>258</v>
      </c>
      <c r="C99" s="8" t="s">
        <v>15</v>
      </c>
      <c r="D99" s="8" t="s">
        <v>259</v>
      </c>
      <c r="E99" s="16" t="s">
        <v>17</v>
      </c>
      <c r="F99" s="8"/>
      <c r="G99" s="17" t="s">
        <v>260</v>
      </c>
      <c r="H99" s="7"/>
      <c r="I99" s="13" t="s">
        <v>261</v>
      </c>
      <c r="J99" s="14" t="s">
        <v>103</v>
      </c>
      <c r="K99" s="8" t="s">
        <v>262</v>
      </c>
      <c r="L99" s="15">
        <v>1288429.0</v>
      </c>
      <c r="M99" s="15">
        <v>244.0</v>
      </c>
    </row>
    <row r="100" ht="22.5" customHeight="1">
      <c r="A100" s="7" t="s">
        <v>257</v>
      </c>
      <c r="B100" s="8" t="s">
        <v>237</v>
      </c>
      <c r="C100" s="8" t="s">
        <v>27</v>
      </c>
      <c r="D100" s="8" t="s">
        <v>238</v>
      </c>
      <c r="E100" s="16" t="s">
        <v>17</v>
      </c>
      <c r="F100" s="8"/>
      <c r="G100" s="17" t="s">
        <v>260</v>
      </c>
      <c r="H100" s="18"/>
      <c r="I100" s="13">
        <v>13249.0</v>
      </c>
      <c r="J100" s="14" t="s">
        <v>103</v>
      </c>
      <c r="K100" s="8" t="s">
        <v>262</v>
      </c>
      <c r="L100" s="15">
        <v>1288429.0</v>
      </c>
      <c r="M100" s="15">
        <v>244.0</v>
      </c>
    </row>
    <row r="101" ht="22.5" customHeight="1">
      <c r="A101" s="7" t="s">
        <v>263</v>
      </c>
      <c r="B101" s="8" t="s">
        <v>264</v>
      </c>
      <c r="C101" s="8" t="s">
        <v>23</v>
      </c>
      <c r="D101" s="8" t="s">
        <v>158</v>
      </c>
      <c r="E101" s="16" t="s">
        <v>17</v>
      </c>
      <c r="F101" s="8"/>
      <c r="G101" s="17" t="s">
        <v>260</v>
      </c>
      <c r="H101" s="18"/>
      <c r="I101" s="13">
        <v>7541.0</v>
      </c>
      <c r="J101" s="14" t="s">
        <v>103</v>
      </c>
      <c r="K101" s="8" t="s">
        <v>219</v>
      </c>
      <c r="L101" s="15">
        <v>3463808.0</v>
      </c>
      <c r="M101" s="15">
        <v>94.0</v>
      </c>
    </row>
    <row r="102" ht="22.5" customHeight="1">
      <c r="A102" s="7" t="s">
        <v>263</v>
      </c>
      <c r="B102" s="8" t="s">
        <v>258</v>
      </c>
      <c r="C102" s="8" t="s">
        <v>15</v>
      </c>
      <c r="D102" s="8" t="s">
        <v>259</v>
      </c>
      <c r="E102" s="16" t="s">
        <v>17</v>
      </c>
      <c r="F102" s="8"/>
      <c r="G102" s="17" t="s">
        <v>260</v>
      </c>
      <c r="H102" s="7"/>
      <c r="I102" s="13">
        <v>10501.0</v>
      </c>
      <c r="J102" s="14" t="s">
        <v>103</v>
      </c>
      <c r="K102" s="8" t="s">
        <v>219</v>
      </c>
      <c r="L102" s="15">
        <v>3463808.0</v>
      </c>
      <c r="M102" s="15">
        <v>94.0</v>
      </c>
    </row>
    <row r="103" ht="22.5" customHeight="1">
      <c r="A103" s="7" t="s">
        <v>265</v>
      </c>
      <c r="B103" s="23">
        <v>46056.0</v>
      </c>
      <c r="C103" s="8" t="s">
        <v>23</v>
      </c>
      <c r="D103" s="8" t="s">
        <v>24</v>
      </c>
      <c r="E103" s="16" t="s">
        <v>17</v>
      </c>
      <c r="F103" s="8"/>
      <c r="G103" s="19"/>
      <c r="H103" s="18"/>
      <c r="I103" s="13">
        <v>6757.0</v>
      </c>
      <c r="J103" s="14" t="s">
        <v>20</v>
      </c>
      <c r="K103" s="8" t="s">
        <v>184</v>
      </c>
      <c r="L103" s="15">
        <v>1.9221396E7</v>
      </c>
      <c r="M103" s="15">
        <v>5.0</v>
      </c>
    </row>
    <row r="104" ht="22.5" customHeight="1">
      <c r="A104" s="7" t="s">
        <v>265</v>
      </c>
      <c r="B104" s="8" t="s">
        <v>237</v>
      </c>
      <c r="C104" s="8" t="s">
        <v>27</v>
      </c>
      <c r="D104" s="8" t="s">
        <v>28</v>
      </c>
      <c r="E104" s="16" t="s">
        <v>17</v>
      </c>
      <c r="F104" s="8"/>
      <c r="G104" s="19"/>
      <c r="H104" s="18"/>
      <c r="I104" s="13">
        <v>12086.0</v>
      </c>
      <c r="J104" s="14" t="s">
        <v>20</v>
      </c>
      <c r="K104" s="8" t="s">
        <v>184</v>
      </c>
      <c r="L104" s="15">
        <v>1.9221396E7</v>
      </c>
      <c r="M104" s="15">
        <v>5.0</v>
      </c>
    </row>
    <row r="105" ht="22.5" customHeight="1">
      <c r="A105" s="7" t="s">
        <v>265</v>
      </c>
      <c r="B105" s="23">
        <v>46117.0</v>
      </c>
      <c r="C105" s="8" t="s">
        <v>23</v>
      </c>
      <c r="D105" s="8" t="s">
        <v>32</v>
      </c>
      <c r="E105" s="16" t="s">
        <v>17</v>
      </c>
      <c r="F105" s="8"/>
      <c r="G105" s="19"/>
      <c r="H105" s="18"/>
      <c r="I105" s="13">
        <v>1843.0</v>
      </c>
      <c r="J105" s="14" t="s">
        <v>20</v>
      </c>
      <c r="K105" s="8" t="s">
        <v>184</v>
      </c>
      <c r="L105" s="15">
        <v>1.9221396E7</v>
      </c>
      <c r="M105" s="15">
        <v>5.0</v>
      </c>
    </row>
    <row r="106" ht="22.5" customHeight="1">
      <c r="A106" s="7" t="s">
        <v>265</v>
      </c>
      <c r="B106" s="8" t="s">
        <v>266</v>
      </c>
      <c r="C106" s="8" t="s">
        <v>15</v>
      </c>
      <c r="D106" s="8" t="s">
        <v>192</v>
      </c>
      <c r="E106" s="16" t="s">
        <v>17</v>
      </c>
      <c r="F106" s="8"/>
      <c r="G106" s="19"/>
      <c r="H106" s="18"/>
      <c r="I106" s="13">
        <v>11472.0</v>
      </c>
      <c r="J106" s="14" t="s">
        <v>20</v>
      </c>
      <c r="K106" s="8" t="s">
        <v>184</v>
      </c>
      <c r="L106" s="15">
        <v>1.9221396E7</v>
      </c>
      <c r="M106" s="15">
        <v>5.0</v>
      </c>
    </row>
    <row r="107" ht="22.5" customHeight="1">
      <c r="A107" s="7" t="s">
        <v>267</v>
      </c>
      <c r="B107" s="8" t="s">
        <v>268</v>
      </c>
      <c r="C107" s="8" t="s">
        <v>23</v>
      </c>
      <c r="D107" s="8" t="s">
        <v>269</v>
      </c>
      <c r="E107" s="16" t="s">
        <v>17</v>
      </c>
      <c r="F107" s="8"/>
      <c r="G107" s="17" t="s">
        <v>270</v>
      </c>
      <c r="H107" s="7"/>
      <c r="I107" s="13">
        <v>1762.0</v>
      </c>
      <c r="J107" s="14" t="s">
        <v>20</v>
      </c>
      <c r="K107" s="8" t="s">
        <v>82</v>
      </c>
      <c r="L107" s="15">
        <v>3.3496874E7</v>
      </c>
      <c r="M107" s="15">
        <v>2.0</v>
      </c>
    </row>
    <row r="108" ht="22.5" customHeight="1">
      <c r="A108" s="7" t="s">
        <v>267</v>
      </c>
      <c r="B108" s="8">
        <v>7.0</v>
      </c>
      <c r="C108" s="8" t="s">
        <v>23</v>
      </c>
      <c r="D108" s="8" t="s">
        <v>85</v>
      </c>
      <c r="E108" s="16" t="s">
        <v>17</v>
      </c>
      <c r="F108" s="10"/>
      <c r="G108" s="17" t="s">
        <v>271</v>
      </c>
      <c r="H108" s="18"/>
      <c r="I108" s="13">
        <v>5652.0</v>
      </c>
      <c r="J108" s="14" t="s">
        <v>20</v>
      </c>
      <c r="K108" s="8" t="s">
        <v>82</v>
      </c>
      <c r="L108" s="15">
        <v>3.3496874E7</v>
      </c>
      <c r="M108" s="15">
        <v>2.0</v>
      </c>
    </row>
    <row r="109" ht="22.5" customHeight="1">
      <c r="A109" s="7" t="s">
        <v>267</v>
      </c>
      <c r="B109" s="8" t="s">
        <v>31</v>
      </c>
      <c r="C109" s="8" t="s">
        <v>23</v>
      </c>
      <c r="D109" s="8" t="s">
        <v>32</v>
      </c>
      <c r="E109" s="16" t="s">
        <v>17</v>
      </c>
      <c r="F109" s="10"/>
      <c r="G109" s="17" t="s">
        <v>29</v>
      </c>
      <c r="H109" s="18"/>
      <c r="I109" s="13">
        <v>6773.0</v>
      </c>
      <c r="J109" s="14" t="s">
        <v>20</v>
      </c>
      <c r="K109" s="8" t="s">
        <v>82</v>
      </c>
      <c r="L109" s="15">
        <v>3.3496874E7</v>
      </c>
      <c r="M109" s="15">
        <v>2.0</v>
      </c>
    </row>
    <row r="110" ht="22.5" customHeight="1">
      <c r="A110" s="7" t="s">
        <v>272</v>
      </c>
      <c r="B110" s="8" t="s">
        <v>14</v>
      </c>
      <c r="C110" s="8" t="s">
        <v>15</v>
      </c>
      <c r="D110" s="8" t="s">
        <v>16</v>
      </c>
      <c r="E110" s="16" t="s">
        <v>17</v>
      </c>
      <c r="F110" s="10"/>
      <c r="G110" s="11" t="s">
        <v>273</v>
      </c>
      <c r="H110" s="12" t="s">
        <v>274</v>
      </c>
      <c r="I110" s="13">
        <v>8948.0</v>
      </c>
      <c r="J110" s="14" t="s">
        <v>103</v>
      </c>
      <c r="K110" s="8" t="s">
        <v>174</v>
      </c>
      <c r="L110" s="15">
        <v>1565677.0</v>
      </c>
      <c r="M110" s="15">
        <v>205.0</v>
      </c>
    </row>
    <row r="111" ht="22.5" customHeight="1">
      <c r="A111" s="7" t="s">
        <v>275</v>
      </c>
      <c r="B111" s="8" t="s">
        <v>145</v>
      </c>
      <c r="C111" s="8" t="s">
        <v>145</v>
      </c>
      <c r="D111" s="8" t="s">
        <v>146</v>
      </c>
      <c r="E111" s="16" t="s">
        <v>17</v>
      </c>
      <c r="F111" s="10"/>
      <c r="G111" s="17" t="s">
        <v>276</v>
      </c>
      <c r="H111" s="18"/>
      <c r="I111" s="13" t="s">
        <v>227</v>
      </c>
      <c r="J111" s="14" t="s">
        <v>147</v>
      </c>
      <c r="K111" s="8" t="s">
        <v>275</v>
      </c>
      <c r="L111" s="15"/>
      <c r="M111" s="15"/>
    </row>
    <row r="112" ht="22.5" customHeight="1">
      <c r="A112" s="7" t="s">
        <v>277</v>
      </c>
      <c r="B112" s="8" t="s">
        <v>215</v>
      </c>
      <c r="C112" s="8" t="s">
        <v>27</v>
      </c>
      <c r="D112" s="8" t="s">
        <v>216</v>
      </c>
      <c r="E112" s="16" t="s">
        <v>17</v>
      </c>
      <c r="F112" s="10"/>
      <c r="G112" s="24" t="s">
        <v>278</v>
      </c>
      <c r="H112" s="12" t="s">
        <v>279</v>
      </c>
      <c r="I112" s="13">
        <v>12285.0</v>
      </c>
      <c r="J112" s="14" t="s">
        <v>103</v>
      </c>
      <c r="K112" s="8" t="s">
        <v>280</v>
      </c>
      <c r="L112" s="15">
        <v>2256401.0</v>
      </c>
      <c r="M112" s="15">
        <v>144.0</v>
      </c>
    </row>
    <row r="113" ht="22.5" customHeight="1">
      <c r="A113" s="7" t="s">
        <v>281</v>
      </c>
      <c r="B113" s="8">
        <v>5.0</v>
      </c>
      <c r="C113" s="8" t="s">
        <v>23</v>
      </c>
      <c r="D113" s="8" t="s">
        <v>282</v>
      </c>
      <c r="E113" s="16" t="s">
        <v>17</v>
      </c>
      <c r="F113" s="10"/>
      <c r="G113" s="11" t="s">
        <v>283</v>
      </c>
      <c r="H113" s="12" t="s">
        <v>284</v>
      </c>
      <c r="I113" s="13">
        <v>15111.0</v>
      </c>
      <c r="J113" s="14" t="s">
        <v>53</v>
      </c>
      <c r="K113" s="8" t="s">
        <v>285</v>
      </c>
      <c r="L113" s="15">
        <v>829717.0</v>
      </c>
      <c r="M113" s="15">
        <v>325.0</v>
      </c>
    </row>
    <row r="114" ht="22.5" customHeight="1">
      <c r="A114" s="7" t="s">
        <v>281</v>
      </c>
      <c r="B114" s="23">
        <v>46058.0</v>
      </c>
      <c r="C114" s="8" t="s">
        <v>23</v>
      </c>
      <c r="D114" s="8" t="s">
        <v>75</v>
      </c>
      <c r="E114" s="16" t="s">
        <v>17</v>
      </c>
      <c r="F114" s="10"/>
      <c r="G114" s="17" t="s">
        <v>286</v>
      </c>
      <c r="H114" s="18"/>
      <c r="I114" s="13">
        <v>6272.0</v>
      </c>
      <c r="J114" s="14" t="s">
        <v>53</v>
      </c>
      <c r="K114" s="8" t="s">
        <v>287</v>
      </c>
      <c r="L114" s="15">
        <v>1241021.0</v>
      </c>
      <c r="M114" s="15">
        <v>249.0</v>
      </c>
    </row>
    <row r="115" ht="22.5" customHeight="1">
      <c r="A115" s="7" t="s">
        <v>288</v>
      </c>
      <c r="B115" s="8" t="s">
        <v>58</v>
      </c>
      <c r="C115" s="8" t="s">
        <v>27</v>
      </c>
      <c r="D115" s="8" t="s">
        <v>140</v>
      </c>
      <c r="E115" s="16" t="s">
        <v>17</v>
      </c>
      <c r="F115" s="10"/>
      <c r="G115" s="17" t="s">
        <v>289</v>
      </c>
      <c r="H115" s="18"/>
      <c r="I115" s="13">
        <v>20634.0</v>
      </c>
      <c r="J115" s="14" t="s">
        <v>68</v>
      </c>
      <c r="K115" s="8" t="s">
        <v>290</v>
      </c>
      <c r="L115" s="15">
        <v>975786.0</v>
      </c>
      <c r="M115" s="15">
        <v>297.0</v>
      </c>
    </row>
    <row r="116" ht="22.5" customHeight="1">
      <c r="A116" s="7" t="s">
        <v>291</v>
      </c>
      <c r="B116" s="8">
        <v>6.0</v>
      </c>
      <c r="C116" s="8" t="s">
        <v>23</v>
      </c>
      <c r="D116" s="8" t="s">
        <v>230</v>
      </c>
      <c r="E116" s="16" t="s">
        <v>17</v>
      </c>
      <c r="F116" s="10"/>
      <c r="G116" s="19"/>
      <c r="H116" s="18"/>
      <c r="I116" s="13">
        <v>6947.0</v>
      </c>
      <c r="J116" s="14" t="s">
        <v>53</v>
      </c>
      <c r="K116" s="8" t="s">
        <v>231</v>
      </c>
      <c r="L116" s="15">
        <v>1940171.0</v>
      </c>
      <c r="M116" s="15">
        <v>167.0</v>
      </c>
    </row>
    <row r="117" ht="22.5" customHeight="1">
      <c r="A117" s="7" t="s">
        <v>292</v>
      </c>
      <c r="B117" s="8" t="s">
        <v>58</v>
      </c>
      <c r="C117" s="8" t="s">
        <v>27</v>
      </c>
      <c r="D117" s="8" t="s">
        <v>28</v>
      </c>
      <c r="E117" s="16" t="s">
        <v>17</v>
      </c>
      <c r="F117" s="10"/>
      <c r="G117" s="16" t="s">
        <v>63</v>
      </c>
      <c r="H117" s="18"/>
      <c r="I117" s="13">
        <v>11942.0</v>
      </c>
      <c r="J117" s="14" t="s">
        <v>20</v>
      </c>
      <c r="K117" s="8" t="s">
        <v>64</v>
      </c>
      <c r="L117" s="15">
        <v>1818236.0</v>
      </c>
      <c r="M117" s="15">
        <v>174.0</v>
      </c>
    </row>
    <row r="118" ht="22.5" customHeight="1">
      <c r="A118" s="7" t="s">
        <v>293</v>
      </c>
      <c r="B118" s="8">
        <v>7.0</v>
      </c>
      <c r="C118" s="8" t="s">
        <v>23</v>
      </c>
      <c r="D118" s="8" t="s">
        <v>85</v>
      </c>
      <c r="E118" s="16" t="s">
        <v>17</v>
      </c>
      <c r="F118" s="10"/>
      <c r="G118" s="19"/>
      <c r="H118" s="18"/>
      <c r="I118" s="13">
        <v>6321.0</v>
      </c>
      <c r="J118" s="14" t="s">
        <v>68</v>
      </c>
      <c r="K118" s="8" t="s">
        <v>294</v>
      </c>
      <c r="L118" s="15">
        <v>1.5086001E7</v>
      </c>
      <c r="M118" s="15">
        <v>9.0</v>
      </c>
    </row>
    <row r="119" ht="22.5" customHeight="1">
      <c r="A119" s="7" t="s">
        <v>293</v>
      </c>
      <c r="B119" s="8" t="s">
        <v>255</v>
      </c>
      <c r="C119" s="8" t="s">
        <v>27</v>
      </c>
      <c r="D119" s="8" t="s">
        <v>94</v>
      </c>
      <c r="E119" s="16" t="s">
        <v>17</v>
      </c>
      <c r="F119" s="10"/>
      <c r="G119" s="19"/>
      <c r="H119" s="18"/>
      <c r="I119" s="13">
        <v>12285.0</v>
      </c>
      <c r="J119" s="14" t="s">
        <v>68</v>
      </c>
      <c r="K119" s="8" t="s">
        <v>294</v>
      </c>
      <c r="L119" s="15">
        <v>1.5086001E7</v>
      </c>
      <c r="M119" s="15">
        <v>9.0</v>
      </c>
    </row>
    <row r="120" ht="22.5" customHeight="1">
      <c r="A120" s="7" t="s">
        <v>295</v>
      </c>
      <c r="B120" s="8" t="s">
        <v>296</v>
      </c>
      <c r="C120" s="8" t="s">
        <v>210</v>
      </c>
      <c r="D120" s="8" t="s">
        <v>297</v>
      </c>
      <c r="E120" s="16" t="s">
        <v>17</v>
      </c>
      <c r="F120" s="10"/>
      <c r="G120" s="19"/>
      <c r="H120" s="18"/>
      <c r="I120" s="13">
        <v>32488.0</v>
      </c>
      <c r="J120" s="14" t="s">
        <v>68</v>
      </c>
      <c r="K120" s="8" t="s">
        <v>298</v>
      </c>
      <c r="L120" s="15">
        <v>6137267.0</v>
      </c>
      <c r="M120" s="15">
        <v>38.0</v>
      </c>
    </row>
    <row r="121" ht="22.5" customHeight="1">
      <c r="A121" s="7" t="s">
        <v>299</v>
      </c>
      <c r="B121" s="8" t="s">
        <v>300</v>
      </c>
      <c r="C121" s="8" t="s">
        <v>27</v>
      </c>
      <c r="D121" s="8" t="s">
        <v>94</v>
      </c>
      <c r="E121" s="16" t="s">
        <v>17</v>
      </c>
      <c r="F121" s="10"/>
      <c r="G121" s="19"/>
      <c r="H121" s="18"/>
      <c r="I121" s="13">
        <v>18608.0</v>
      </c>
      <c r="J121" s="14" t="s">
        <v>68</v>
      </c>
      <c r="K121" s="8" t="s">
        <v>298</v>
      </c>
      <c r="L121" s="15">
        <v>3998340.0</v>
      </c>
      <c r="M121" s="15">
        <v>77.0</v>
      </c>
    </row>
    <row r="122" ht="22.5" customHeight="1">
      <c r="A122" s="7" t="s">
        <v>301</v>
      </c>
      <c r="B122" s="8" t="s">
        <v>202</v>
      </c>
      <c r="C122" s="8" t="s">
        <v>27</v>
      </c>
      <c r="D122" s="8" t="s">
        <v>297</v>
      </c>
      <c r="E122" s="16" t="s">
        <v>17</v>
      </c>
      <c r="F122" s="10"/>
      <c r="G122" s="19"/>
      <c r="H122" s="18"/>
      <c r="I122" s="13">
        <v>32488.0</v>
      </c>
      <c r="J122" s="14" t="s">
        <v>68</v>
      </c>
      <c r="K122" s="8" t="s">
        <v>302</v>
      </c>
      <c r="L122" s="15">
        <v>1053098.0</v>
      </c>
      <c r="M122" s="15">
        <v>285.0</v>
      </c>
    </row>
    <row r="123" ht="22.5" customHeight="1">
      <c r="A123" s="7" t="s">
        <v>303</v>
      </c>
      <c r="B123" s="8" t="s">
        <v>304</v>
      </c>
      <c r="C123" s="8" t="s">
        <v>27</v>
      </c>
      <c r="D123" s="8" t="s">
        <v>305</v>
      </c>
      <c r="E123" s="16" t="s">
        <v>17</v>
      </c>
      <c r="F123" s="10"/>
      <c r="G123" s="11" t="s">
        <v>306</v>
      </c>
      <c r="H123" s="25" t="s">
        <v>307</v>
      </c>
      <c r="I123" s="13">
        <v>12086.0</v>
      </c>
      <c r="J123" s="14" t="s">
        <v>103</v>
      </c>
      <c r="K123" s="8" t="s">
        <v>156</v>
      </c>
      <c r="L123" s="15">
        <v>8252709.0</v>
      </c>
      <c r="M123" s="15">
        <v>25.0</v>
      </c>
    </row>
    <row r="124" ht="22.5" customHeight="1">
      <c r="A124" s="7" t="s">
        <v>303</v>
      </c>
      <c r="B124" s="8" t="s">
        <v>134</v>
      </c>
      <c r="C124" s="8" t="s">
        <v>15</v>
      </c>
      <c r="D124" s="8" t="s">
        <v>100</v>
      </c>
      <c r="E124" s="16" t="s">
        <v>17</v>
      </c>
      <c r="F124" s="10"/>
      <c r="G124" s="11" t="s">
        <v>306</v>
      </c>
      <c r="H124" s="22" t="s">
        <v>308</v>
      </c>
      <c r="I124" s="13">
        <v>8929.0</v>
      </c>
      <c r="J124" s="14" t="s">
        <v>103</v>
      </c>
      <c r="K124" s="8" t="s">
        <v>156</v>
      </c>
      <c r="L124" s="15">
        <v>8252709.0</v>
      </c>
      <c r="M124" s="15">
        <v>25.0</v>
      </c>
    </row>
    <row r="125" ht="22.5" customHeight="1">
      <c r="A125" s="7" t="s">
        <v>309</v>
      </c>
      <c r="B125" s="8">
        <v>7.0</v>
      </c>
      <c r="C125" s="8" t="s">
        <v>23</v>
      </c>
      <c r="D125" s="8" t="s">
        <v>85</v>
      </c>
      <c r="E125" s="16" t="s">
        <v>17</v>
      </c>
      <c r="F125" s="10"/>
      <c r="G125" s="19"/>
      <c r="H125" s="18"/>
      <c r="I125" s="13">
        <v>6321.0</v>
      </c>
      <c r="J125" s="14" t="s">
        <v>68</v>
      </c>
      <c r="K125" s="8" t="s">
        <v>310</v>
      </c>
      <c r="L125" s="15">
        <v>6592444.0</v>
      </c>
      <c r="M125" s="15">
        <v>30.0</v>
      </c>
    </row>
    <row r="126" ht="22.5" customHeight="1">
      <c r="A126" s="7" t="s">
        <v>311</v>
      </c>
      <c r="B126" s="8" t="s">
        <v>312</v>
      </c>
      <c r="C126" s="8" t="s">
        <v>27</v>
      </c>
      <c r="D126" s="8" t="s">
        <v>94</v>
      </c>
      <c r="E126" s="16" t="s">
        <v>17</v>
      </c>
      <c r="F126" s="10"/>
      <c r="G126" s="19"/>
      <c r="H126" s="18"/>
      <c r="I126" s="13">
        <v>13515.0</v>
      </c>
      <c r="J126" s="14" t="s">
        <v>68</v>
      </c>
      <c r="K126" s="8" t="s">
        <v>302</v>
      </c>
      <c r="L126" s="15">
        <v>4982622.0</v>
      </c>
      <c r="M126" s="15">
        <v>56.0</v>
      </c>
    </row>
    <row r="127" ht="22.5" customHeight="1">
      <c r="A127" s="7" t="s">
        <v>313</v>
      </c>
      <c r="B127" s="8" t="s">
        <v>314</v>
      </c>
      <c r="C127" s="8" t="s">
        <v>15</v>
      </c>
      <c r="D127" s="8" t="s">
        <v>123</v>
      </c>
      <c r="E127" s="16" t="s">
        <v>17</v>
      </c>
      <c r="F127" s="8"/>
      <c r="G127" s="19"/>
      <c r="H127" s="18"/>
      <c r="I127" s="13">
        <v>2792.0</v>
      </c>
      <c r="J127" s="14" t="s">
        <v>103</v>
      </c>
      <c r="K127" s="8" t="s">
        <v>161</v>
      </c>
      <c r="L127" s="15">
        <v>4222570.0</v>
      </c>
      <c r="M127" s="15">
        <v>69.0</v>
      </c>
    </row>
    <row r="128" ht="22.5" customHeight="1">
      <c r="A128" s="7" t="s">
        <v>315</v>
      </c>
      <c r="B128" s="8" t="s">
        <v>50</v>
      </c>
      <c r="C128" s="8" t="s">
        <v>27</v>
      </c>
      <c r="D128" s="8" t="s">
        <v>51</v>
      </c>
      <c r="E128" s="16" t="s">
        <v>17</v>
      </c>
      <c r="F128" s="8"/>
      <c r="G128" s="11" t="s">
        <v>316</v>
      </c>
      <c r="H128" s="12" t="s">
        <v>317</v>
      </c>
      <c r="I128" s="13">
        <v>12236.0</v>
      </c>
      <c r="J128" s="14" t="s">
        <v>53</v>
      </c>
      <c r="K128" s="8" t="s">
        <v>318</v>
      </c>
      <c r="L128" s="15">
        <v>1152463.0</v>
      </c>
      <c r="M128" s="15">
        <v>267.0</v>
      </c>
    </row>
    <row r="129" ht="22.5" customHeight="1">
      <c r="A129" s="7" t="s">
        <v>319</v>
      </c>
      <c r="B129" s="8" t="s">
        <v>320</v>
      </c>
      <c r="C129" s="8" t="s">
        <v>210</v>
      </c>
      <c r="D129" s="8" t="s">
        <v>67</v>
      </c>
      <c r="E129" s="16" t="s">
        <v>17</v>
      </c>
      <c r="F129" s="10"/>
      <c r="G129" s="19"/>
      <c r="H129" s="18"/>
      <c r="I129" s="13">
        <v>32810.0</v>
      </c>
      <c r="J129" s="14" t="s">
        <v>20</v>
      </c>
      <c r="K129" s="8" t="s">
        <v>120</v>
      </c>
      <c r="L129" s="15">
        <v>3781248.0</v>
      </c>
      <c r="M129" s="15">
        <v>84.0</v>
      </c>
    </row>
    <row r="130" ht="22.5" customHeight="1">
      <c r="A130" s="7" t="s">
        <v>321</v>
      </c>
      <c r="B130" s="8">
        <v>6.0</v>
      </c>
      <c r="C130" s="8" t="s">
        <v>23</v>
      </c>
      <c r="D130" s="8" t="s">
        <v>32</v>
      </c>
      <c r="E130" s="16" t="s">
        <v>17</v>
      </c>
      <c r="F130" s="10"/>
      <c r="G130" s="19"/>
      <c r="H130" s="18"/>
      <c r="I130" s="13">
        <v>6773.0</v>
      </c>
      <c r="J130" s="14" t="s">
        <v>20</v>
      </c>
      <c r="K130" s="8" t="s">
        <v>82</v>
      </c>
      <c r="L130" s="15">
        <v>1.2536617E7</v>
      </c>
      <c r="M130" s="15">
        <v>12.0</v>
      </c>
    </row>
    <row r="131" ht="22.5" customHeight="1">
      <c r="A131" s="7" t="s">
        <v>322</v>
      </c>
      <c r="B131" s="8" t="s">
        <v>323</v>
      </c>
      <c r="C131" s="8" t="s">
        <v>15</v>
      </c>
      <c r="D131" s="8" t="s">
        <v>39</v>
      </c>
      <c r="E131" s="16" t="s">
        <v>17</v>
      </c>
      <c r="F131" s="8"/>
      <c r="G131" s="17" t="s">
        <v>324</v>
      </c>
      <c r="H131" s="18"/>
      <c r="I131" s="13">
        <v>7184.0</v>
      </c>
      <c r="J131" s="14" t="s">
        <v>20</v>
      </c>
      <c r="K131" s="8" t="s">
        <v>82</v>
      </c>
      <c r="L131" s="15">
        <v>1.1961525E7</v>
      </c>
      <c r="M131" s="15">
        <v>14.0</v>
      </c>
    </row>
    <row r="132" ht="22.5" customHeight="1">
      <c r="A132" s="7" t="s">
        <v>322</v>
      </c>
      <c r="B132" s="8" t="s">
        <v>31</v>
      </c>
      <c r="C132" s="8" t="s">
        <v>23</v>
      </c>
      <c r="D132" s="8" t="s">
        <v>32</v>
      </c>
      <c r="E132" s="16" t="s">
        <v>17</v>
      </c>
      <c r="F132" s="8"/>
      <c r="G132" s="17" t="s">
        <v>324</v>
      </c>
      <c r="H132" s="18"/>
      <c r="I132" s="13">
        <v>6773.0</v>
      </c>
      <c r="J132" s="14" t="s">
        <v>20</v>
      </c>
      <c r="K132" s="8" t="s">
        <v>82</v>
      </c>
      <c r="L132" s="15">
        <v>1.1961525E7</v>
      </c>
      <c r="M132" s="15">
        <v>14.0</v>
      </c>
    </row>
    <row r="133" ht="22.5" customHeight="1">
      <c r="A133" s="7" t="s">
        <v>325</v>
      </c>
      <c r="B133" s="8" t="s">
        <v>14</v>
      </c>
      <c r="C133" s="8" t="s">
        <v>15</v>
      </c>
      <c r="D133" s="8" t="s">
        <v>16</v>
      </c>
      <c r="E133" s="16" t="s">
        <v>17</v>
      </c>
      <c r="F133" s="10"/>
      <c r="G133" s="19"/>
      <c r="H133" s="18"/>
      <c r="I133" s="13">
        <v>2401.0</v>
      </c>
      <c r="J133" s="14" t="s">
        <v>103</v>
      </c>
      <c r="K133" s="8" t="s">
        <v>326</v>
      </c>
      <c r="L133" s="15">
        <v>568134.0</v>
      </c>
      <c r="M133" s="15">
        <v>366.0</v>
      </c>
    </row>
    <row r="134" ht="22.5" customHeight="1">
      <c r="A134" s="7" t="s">
        <v>327</v>
      </c>
      <c r="B134" s="8" t="s">
        <v>328</v>
      </c>
      <c r="C134" s="8" t="s">
        <v>15</v>
      </c>
      <c r="D134" s="8" t="s">
        <v>248</v>
      </c>
      <c r="E134" s="16" t="s">
        <v>17</v>
      </c>
      <c r="F134" s="10"/>
      <c r="G134" s="19"/>
      <c r="H134" s="18"/>
      <c r="I134" s="13" t="s">
        <v>249</v>
      </c>
      <c r="J134" s="14" t="s">
        <v>103</v>
      </c>
      <c r="K134" s="8" t="s">
        <v>174</v>
      </c>
      <c r="L134" s="15">
        <v>2841630.0</v>
      </c>
      <c r="M134" s="15">
        <v>121.0</v>
      </c>
    </row>
    <row r="135" ht="22.5" customHeight="1">
      <c r="A135" s="7" t="s">
        <v>329</v>
      </c>
      <c r="B135" s="8" t="s">
        <v>14</v>
      </c>
      <c r="C135" s="8" t="s">
        <v>15</v>
      </c>
      <c r="D135" s="8" t="s">
        <v>16</v>
      </c>
      <c r="E135" s="16" t="s">
        <v>17</v>
      </c>
      <c r="F135" s="10"/>
      <c r="G135" s="19"/>
      <c r="H135" s="18"/>
      <c r="I135" s="13">
        <v>8948.0</v>
      </c>
      <c r="J135" s="14" t="s">
        <v>103</v>
      </c>
      <c r="K135" s="8" t="s">
        <v>174</v>
      </c>
      <c r="L135" s="15">
        <v>4080474.0</v>
      </c>
      <c r="M135" s="15">
        <v>73.0</v>
      </c>
    </row>
    <row r="136" ht="22.5" customHeight="1">
      <c r="A136" s="7" t="s">
        <v>329</v>
      </c>
      <c r="B136" s="8" t="s">
        <v>215</v>
      </c>
      <c r="C136" s="8" t="s">
        <v>27</v>
      </c>
      <c r="D136" s="8" t="s">
        <v>216</v>
      </c>
      <c r="E136" s="16" t="s">
        <v>17</v>
      </c>
      <c r="F136" s="10"/>
      <c r="G136" s="19"/>
      <c r="H136" s="18"/>
      <c r="I136" s="13">
        <v>13697.0</v>
      </c>
      <c r="J136" s="14" t="s">
        <v>103</v>
      </c>
      <c r="K136" s="8" t="s">
        <v>174</v>
      </c>
      <c r="L136" s="15">
        <v>4080474.0</v>
      </c>
      <c r="M136" s="15">
        <v>73.0</v>
      </c>
    </row>
    <row r="137" ht="22.5" customHeight="1">
      <c r="A137" s="7" t="s">
        <v>330</v>
      </c>
      <c r="B137" s="8" t="s">
        <v>66</v>
      </c>
      <c r="C137" s="8" t="s">
        <v>15</v>
      </c>
      <c r="D137" s="8" t="s">
        <v>331</v>
      </c>
      <c r="E137" s="16" t="s">
        <v>17</v>
      </c>
      <c r="F137" s="10"/>
      <c r="G137" s="19"/>
      <c r="H137" s="18"/>
      <c r="I137" s="13">
        <v>2466.0</v>
      </c>
      <c r="J137" s="14" t="s">
        <v>68</v>
      </c>
      <c r="K137" s="8" t="s">
        <v>332</v>
      </c>
      <c r="L137" s="15">
        <v>842211.0</v>
      </c>
      <c r="M137" s="15">
        <v>322.0</v>
      </c>
    </row>
    <row r="138" ht="22.5" customHeight="1">
      <c r="A138" s="7" t="s">
        <v>333</v>
      </c>
      <c r="B138" s="8">
        <v>4.0</v>
      </c>
      <c r="C138" s="8" t="s">
        <v>23</v>
      </c>
      <c r="D138" s="8" t="s">
        <v>55</v>
      </c>
      <c r="E138" s="16" t="s">
        <v>17</v>
      </c>
      <c r="F138" s="10"/>
      <c r="G138" s="11" t="s">
        <v>334</v>
      </c>
      <c r="H138" s="12" t="s">
        <v>335</v>
      </c>
      <c r="I138" s="13">
        <v>6680.0</v>
      </c>
      <c r="J138" s="14" t="s">
        <v>53</v>
      </c>
      <c r="K138" s="8" t="s">
        <v>178</v>
      </c>
      <c r="L138" s="15">
        <v>1457518.0</v>
      </c>
      <c r="M138" s="15">
        <v>218.0</v>
      </c>
    </row>
    <row r="139" ht="22.5" customHeight="1">
      <c r="A139" s="7" t="s">
        <v>336</v>
      </c>
      <c r="B139" s="8" t="s">
        <v>14</v>
      </c>
      <c r="C139" s="8" t="s">
        <v>15</v>
      </c>
      <c r="D139" s="8" t="s">
        <v>16</v>
      </c>
      <c r="E139" s="16" t="s">
        <v>17</v>
      </c>
      <c r="F139" s="10"/>
      <c r="G139" s="19"/>
      <c r="H139" s="18"/>
      <c r="I139" s="13">
        <v>10423.0</v>
      </c>
      <c r="J139" s="14" t="s">
        <v>103</v>
      </c>
      <c r="K139" s="8" t="s">
        <v>222</v>
      </c>
      <c r="L139" s="15">
        <v>5230944.0</v>
      </c>
      <c r="M139" s="15">
        <v>54.0</v>
      </c>
    </row>
    <row r="140" ht="22.5" customHeight="1">
      <c r="A140" s="7" t="s">
        <v>336</v>
      </c>
      <c r="B140" s="8" t="s">
        <v>66</v>
      </c>
      <c r="C140" s="8" t="s">
        <v>15</v>
      </c>
      <c r="D140" s="8" t="s">
        <v>331</v>
      </c>
      <c r="E140" s="16" t="s">
        <v>17</v>
      </c>
      <c r="F140" s="10"/>
      <c r="G140" s="19"/>
      <c r="H140" s="18"/>
      <c r="I140" s="13" t="s">
        <v>337</v>
      </c>
      <c r="J140" s="14" t="s">
        <v>103</v>
      </c>
      <c r="K140" s="8" t="s">
        <v>222</v>
      </c>
      <c r="L140" s="15">
        <v>5230944.0</v>
      </c>
      <c r="M140" s="15">
        <v>54.0</v>
      </c>
    </row>
    <row r="141" ht="22.5" customHeight="1">
      <c r="A141" s="7" t="s">
        <v>338</v>
      </c>
      <c r="B141" s="8" t="s">
        <v>145</v>
      </c>
      <c r="C141" s="8" t="s">
        <v>145</v>
      </c>
      <c r="D141" s="8" t="s">
        <v>146</v>
      </c>
      <c r="E141" s="16" t="s">
        <v>17</v>
      </c>
      <c r="F141" s="10"/>
      <c r="G141" s="19"/>
      <c r="H141" s="18"/>
      <c r="I141" s="13" t="s">
        <v>227</v>
      </c>
      <c r="J141" s="14" t="s">
        <v>147</v>
      </c>
      <c r="K141" s="8" t="s">
        <v>338</v>
      </c>
      <c r="L141" s="15"/>
      <c r="M141" s="15"/>
    </row>
    <row r="142" ht="22.5" customHeight="1">
      <c r="A142" s="7" t="s">
        <v>339</v>
      </c>
      <c r="B142" s="8" t="s">
        <v>340</v>
      </c>
      <c r="C142" s="8" t="s">
        <v>27</v>
      </c>
      <c r="D142" s="8" t="s">
        <v>94</v>
      </c>
      <c r="E142" s="16" t="s">
        <v>17</v>
      </c>
      <c r="F142" s="10"/>
      <c r="G142" s="19"/>
      <c r="H142" s="18"/>
      <c r="I142" s="13">
        <v>12285.0</v>
      </c>
      <c r="J142" s="14" t="s">
        <v>68</v>
      </c>
      <c r="K142" s="8" t="s">
        <v>108</v>
      </c>
      <c r="L142" s="15">
        <v>1439334.0</v>
      </c>
      <c r="M142" s="15">
        <v>223.0</v>
      </c>
    </row>
    <row r="143" ht="22.5" customHeight="1">
      <c r="A143" s="7" t="s">
        <v>341</v>
      </c>
      <c r="B143" s="8" t="s">
        <v>58</v>
      </c>
      <c r="C143" s="8" t="s">
        <v>27</v>
      </c>
      <c r="D143" s="8" t="s">
        <v>238</v>
      </c>
      <c r="E143" s="16" t="s">
        <v>17</v>
      </c>
      <c r="F143" s="10"/>
      <c r="G143" s="19"/>
      <c r="H143" s="18"/>
      <c r="I143" s="13">
        <v>5747.0</v>
      </c>
      <c r="J143" s="14" t="s">
        <v>68</v>
      </c>
      <c r="K143" s="8" t="s">
        <v>342</v>
      </c>
      <c r="L143" s="15">
        <v>1286722.0</v>
      </c>
      <c r="M143" s="15">
        <v>245.0</v>
      </c>
    </row>
    <row r="144" ht="22.5" customHeight="1">
      <c r="A144" s="7" t="s">
        <v>343</v>
      </c>
      <c r="B144" s="8" t="s">
        <v>268</v>
      </c>
      <c r="C144" s="8" t="s">
        <v>15</v>
      </c>
      <c r="D144" s="8" t="s">
        <v>259</v>
      </c>
      <c r="E144" s="16" t="s">
        <v>17</v>
      </c>
      <c r="F144" s="8"/>
      <c r="G144" s="17" t="s">
        <v>344</v>
      </c>
      <c r="H144" s="7"/>
      <c r="I144" s="13">
        <v>1921.0</v>
      </c>
      <c r="J144" s="14" t="s">
        <v>103</v>
      </c>
      <c r="K144" s="8" t="s">
        <v>219</v>
      </c>
      <c r="L144" s="15">
        <v>362630.0</v>
      </c>
      <c r="M144" s="15">
        <v>405.0</v>
      </c>
    </row>
    <row r="145" ht="22.5" customHeight="1">
      <c r="A145" s="7" t="s">
        <v>345</v>
      </c>
      <c r="B145" s="8">
        <v>6.0</v>
      </c>
      <c r="C145" s="8" t="s">
        <v>23</v>
      </c>
      <c r="D145" s="8" t="s">
        <v>230</v>
      </c>
      <c r="E145" s="16" t="s">
        <v>17</v>
      </c>
      <c r="F145" s="10"/>
      <c r="G145" s="19"/>
      <c r="H145" s="18"/>
      <c r="I145" s="13">
        <v>7456.0</v>
      </c>
      <c r="J145" s="14" t="s">
        <v>53</v>
      </c>
      <c r="K145" s="8" t="s">
        <v>345</v>
      </c>
      <c r="L145" s="15">
        <v>2775161.0</v>
      </c>
      <c r="M145" s="15">
        <v>128.0</v>
      </c>
    </row>
    <row r="146" ht="22.5" customHeight="1">
      <c r="A146" s="7" t="s">
        <v>346</v>
      </c>
      <c r="B146" s="8">
        <v>6.0</v>
      </c>
      <c r="C146" s="8" t="s">
        <v>23</v>
      </c>
      <c r="D146" s="8" t="s">
        <v>230</v>
      </c>
      <c r="E146" s="16" t="s">
        <v>17</v>
      </c>
      <c r="F146" s="10"/>
      <c r="G146" s="19"/>
      <c r="H146" s="18"/>
      <c r="I146" s="13">
        <v>7660.0</v>
      </c>
      <c r="J146" s="14" t="s">
        <v>53</v>
      </c>
      <c r="K146" s="8" t="s">
        <v>347</v>
      </c>
      <c r="L146" s="15">
        <v>1136845.0</v>
      </c>
      <c r="M146" s="15">
        <v>270.0</v>
      </c>
    </row>
    <row r="147" ht="22.5" customHeight="1">
      <c r="A147" s="7" t="s">
        <v>348</v>
      </c>
      <c r="B147" s="23">
        <v>46058.0</v>
      </c>
      <c r="C147" s="8" t="s">
        <v>23</v>
      </c>
      <c r="D147" s="8" t="s">
        <v>75</v>
      </c>
      <c r="E147" s="16" t="s">
        <v>17</v>
      </c>
      <c r="F147" s="10"/>
      <c r="G147" s="19"/>
      <c r="H147" s="18"/>
      <c r="I147" s="13">
        <v>6272.0</v>
      </c>
      <c r="J147" s="14" t="s">
        <v>53</v>
      </c>
      <c r="K147" s="8" t="s">
        <v>349</v>
      </c>
      <c r="L147" s="15">
        <v>1514724.0</v>
      </c>
      <c r="M147" s="15">
        <v>212.0</v>
      </c>
    </row>
    <row r="148" ht="22.5" customHeight="1">
      <c r="A148" s="7" t="s">
        <v>350</v>
      </c>
      <c r="B148" s="8" t="s">
        <v>351</v>
      </c>
      <c r="C148" s="8" t="s">
        <v>15</v>
      </c>
      <c r="D148" s="8" t="s">
        <v>352</v>
      </c>
      <c r="E148" s="16" t="s">
        <v>17</v>
      </c>
      <c r="F148" s="8"/>
      <c r="G148" s="17"/>
      <c r="H148" s="7"/>
      <c r="I148" s="13">
        <v>1921.0</v>
      </c>
      <c r="J148" s="14" t="s">
        <v>103</v>
      </c>
      <c r="K148" s="8" t="s">
        <v>204</v>
      </c>
      <c r="L148" s="15">
        <v>2183676.0</v>
      </c>
      <c r="M148" s="15">
        <v>153.0</v>
      </c>
    </row>
    <row r="149" ht="22.5" customHeight="1">
      <c r="A149" s="7" t="s">
        <v>353</v>
      </c>
      <c r="B149" s="8" t="s">
        <v>354</v>
      </c>
      <c r="C149" s="8" t="s">
        <v>27</v>
      </c>
      <c r="D149" s="8" t="s">
        <v>94</v>
      </c>
      <c r="E149" s="16" t="s">
        <v>17</v>
      </c>
      <c r="F149" s="10"/>
      <c r="G149" s="19"/>
      <c r="H149" s="18"/>
      <c r="I149" s="13">
        <v>12285.0</v>
      </c>
      <c r="J149" s="14" t="s">
        <v>68</v>
      </c>
      <c r="K149" s="8" t="s">
        <v>69</v>
      </c>
      <c r="L149" s="15">
        <v>4178609.0</v>
      </c>
      <c r="M149" s="15">
        <v>70.0</v>
      </c>
    </row>
    <row r="150" ht="22.5" customHeight="1">
      <c r="A150" s="7" t="s">
        <v>355</v>
      </c>
      <c r="B150" s="8" t="s">
        <v>356</v>
      </c>
      <c r="C150" s="8" t="s">
        <v>357</v>
      </c>
      <c r="D150" s="8" t="s">
        <v>358</v>
      </c>
      <c r="E150" s="16" t="s">
        <v>17</v>
      </c>
      <c r="F150" s="10"/>
      <c r="G150" s="19"/>
      <c r="H150" s="18"/>
      <c r="I150" s="13">
        <v>6165.0</v>
      </c>
      <c r="J150" s="14" t="s">
        <v>68</v>
      </c>
      <c r="K150" s="8" t="s">
        <v>69</v>
      </c>
      <c r="L150" s="15">
        <v>3124138.0</v>
      </c>
      <c r="M150" s="15">
        <v>103.0</v>
      </c>
    </row>
    <row r="151" ht="22.5" customHeight="1">
      <c r="A151" s="7" t="s">
        <v>359</v>
      </c>
      <c r="B151" s="8" t="s">
        <v>360</v>
      </c>
      <c r="C151" s="8" t="s">
        <v>27</v>
      </c>
      <c r="D151" s="8" t="s">
        <v>140</v>
      </c>
      <c r="E151" s="16" t="s">
        <v>17</v>
      </c>
      <c r="F151" s="8"/>
      <c r="G151" s="17" t="s">
        <v>361</v>
      </c>
      <c r="H151" s="7"/>
      <c r="I151" s="13">
        <v>20634.0</v>
      </c>
      <c r="J151" s="14" t="s">
        <v>68</v>
      </c>
      <c r="K151" s="8" t="s">
        <v>362</v>
      </c>
      <c r="L151" s="15">
        <v>139507.0</v>
      </c>
      <c r="M151" s="15">
        <v>420.0</v>
      </c>
    </row>
    <row r="152" ht="22.5" customHeight="1">
      <c r="A152" s="7" t="s">
        <v>363</v>
      </c>
      <c r="B152" s="8" t="s">
        <v>66</v>
      </c>
      <c r="C152" s="8" t="s">
        <v>27</v>
      </c>
      <c r="D152" s="8" t="s">
        <v>67</v>
      </c>
      <c r="E152" s="16" t="s">
        <v>17</v>
      </c>
      <c r="F152" s="10"/>
      <c r="G152" s="19"/>
      <c r="H152" s="18"/>
      <c r="I152" s="13">
        <v>32810.0</v>
      </c>
      <c r="J152" s="14" t="s">
        <v>20</v>
      </c>
      <c r="K152" s="8" t="s">
        <v>363</v>
      </c>
      <c r="L152" s="15">
        <v>1885823.0</v>
      </c>
      <c r="M152" s="15">
        <v>171.0</v>
      </c>
    </row>
    <row r="153" ht="22.5" customHeight="1">
      <c r="A153" s="7" t="s">
        <v>364</v>
      </c>
      <c r="B153" s="8" t="s">
        <v>122</v>
      </c>
      <c r="C153" s="8" t="s">
        <v>15</v>
      </c>
      <c r="D153" s="8" t="s">
        <v>123</v>
      </c>
      <c r="E153" s="16" t="s">
        <v>17</v>
      </c>
      <c r="F153" s="10"/>
      <c r="G153" s="19"/>
      <c r="H153" s="18"/>
      <c r="I153" s="13">
        <v>2792.0</v>
      </c>
      <c r="J153" s="14" t="s">
        <v>103</v>
      </c>
      <c r="K153" s="8" t="s">
        <v>364</v>
      </c>
      <c r="L153" s="15">
        <v>2810621.0</v>
      </c>
      <c r="M153" s="15">
        <v>124.0</v>
      </c>
    </row>
    <row r="154" ht="22.5" customHeight="1">
      <c r="A154" s="7" t="s">
        <v>365</v>
      </c>
      <c r="B154" s="26" t="s">
        <v>78</v>
      </c>
      <c r="C154" s="8" t="s">
        <v>23</v>
      </c>
      <c r="D154" s="8" t="s">
        <v>75</v>
      </c>
      <c r="E154" s="16" t="s">
        <v>17</v>
      </c>
      <c r="F154" s="10"/>
      <c r="G154" s="19"/>
      <c r="H154" s="18"/>
      <c r="I154" s="13">
        <v>1792.0</v>
      </c>
      <c r="J154" s="14" t="s">
        <v>53</v>
      </c>
      <c r="K154" s="8" t="s">
        <v>231</v>
      </c>
      <c r="L154" s="15">
        <v>1368041.0</v>
      </c>
      <c r="M154" s="15">
        <v>232.0</v>
      </c>
    </row>
    <row r="155" ht="22.5" customHeight="1">
      <c r="A155" s="7" t="s">
        <v>366</v>
      </c>
      <c r="B155" s="8" t="s">
        <v>199</v>
      </c>
      <c r="C155" s="8" t="s">
        <v>15</v>
      </c>
      <c r="D155" s="8" t="s">
        <v>39</v>
      </c>
      <c r="E155" s="16" t="s">
        <v>17</v>
      </c>
      <c r="F155" s="10"/>
      <c r="G155" s="17" t="s">
        <v>367</v>
      </c>
      <c r="H155" s="18"/>
      <c r="I155" s="13">
        <v>6838.0</v>
      </c>
      <c r="J155" s="14" t="s">
        <v>20</v>
      </c>
      <c r="K155" s="8" t="s">
        <v>368</v>
      </c>
      <c r="L155" s="15">
        <v>6519960.0</v>
      </c>
      <c r="M155" s="15">
        <v>31.0</v>
      </c>
    </row>
    <row r="156" ht="22.5" customHeight="1">
      <c r="A156" s="7" t="s">
        <v>366</v>
      </c>
      <c r="B156" s="8">
        <v>1.0</v>
      </c>
      <c r="C156" s="8" t="s">
        <v>23</v>
      </c>
      <c r="D156" s="8" t="s">
        <v>24</v>
      </c>
      <c r="E156" s="16" t="s">
        <v>17</v>
      </c>
      <c r="F156" s="10"/>
      <c r="G156" s="17" t="s">
        <v>367</v>
      </c>
      <c r="H156" s="18"/>
      <c r="I156" s="13">
        <v>39888.0</v>
      </c>
      <c r="J156" s="14" t="s">
        <v>20</v>
      </c>
      <c r="K156" s="8" t="s">
        <v>368</v>
      </c>
      <c r="L156" s="15">
        <v>6519960.0</v>
      </c>
      <c r="M156" s="15">
        <v>31.0</v>
      </c>
    </row>
    <row r="157" ht="22.5" customHeight="1">
      <c r="A157" s="7" t="s">
        <v>369</v>
      </c>
      <c r="B157" s="8">
        <v>6.0</v>
      </c>
      <c r="C157" s="8" t="s">
        <v>23</v>
      </c>
      <c r="D157" s="8" t="s">
        <v>32</v>
      </c>
      <c r="E157" s="16" t="s">
        <v>17</v>
      </c>
      <c r="F157" s="8"/>
      <c r="G157" s="19"/>
      <c r="H157" s="18"/>
      <c r="I157" s="13">
        <v>1762.0</v>
      </c>
      <c r="J157" s="14" t="s">
        <v>20</v>
      </c>
      <c r="K157" s="8" t="s">
        <v>370</v>
      </c>
      <c r="L157" s="15">
        <v>3212098.0</v>
      </c>
      <c r="M157" s="15">
        <v>101.0</v>
      </c>
    </row>
    <row r="158" ht="22.5" customHeight="1">
      <c r="A158" s="7" t="s">
        <v>371</v>
      </c>
      <c r="B158" s="8" t="s">
        <v>145</v>
      </c>
      <c r="C158" s="8" t="s">
        <v>145</v>
      </c>
      <c r="D158" s="8" t="s">
        <v>146</v>
      </c>
      <c r="E158" s="16" t="s">
        <v>17</v>
      </c>
      <c r="F158" s="10"/>
      <c r="G158" s="19"/>
      <c r="H158" s="18"/>
      <c r="I158" s="13" t="s">
        <v>372</v>
      </c>
      <c r="J158" s="14" t="s">
        <v>147</v>
      </c>
      <c r="K158" s="8" t="s">
        <v>371</v>
      </c>
      <c r="L158" s="15"/>
      <c r="M158" s="15"/>
    </row>
    <row r="159" ht="22.5" customHeight="1">
      <c r="A159" s="7" t="s">
        <v>373</v>
      </c>
      <c r="B159" s="8" t="s">
        <v>374</v>
      </c>
      <c r="C159" s="8" t="s">
        <v>210</v>
      </c>
      <c r="D159" s="8" t="s">
        <v>297</v>
      </c>
      <c r="E159" s="16" t="s">
        <v>17</v>
      </c>
      <c r="F159" s="10"/>
      <c r="G159" s="19"/>
      <c r="H159" s="18"/>
      <c r="I159" s="13">
        <v>32488.0</v>
      </c>
      <c r="J159" s="14" t="s">
        <v>68</v>
      </c>
      <c r="K159" s="8" t="s">
        <v>298</v>
      </c>
      <c r="L159" s="15">
        <v>6496357.0</v>
      </c>
      <c r="M159" s="15">
        <v>32.0</v>
      </c>
    </row>
    <row r="160" ht="22.5" customHeight="1">
      <c r="A160" s="7" t="s">
        <v>375</v>
      </c>
      <c r="B160" s="8" t="s">
        <v>268</v>
      </c>
      <c r="C160" s="8" t="s">
        <v>23</v>
      </c>
      <c r="D160" s="8" t="s">
        <v>269</v>
      </c>
      <c r="E160" s="16" t="s">
        <v>17</v>
      </c>
      <c r="F160" s="8"/>
      <c r="G160" s="17" t="s">
        <v>376</v>
      </c>
      <c r="H160" s="7"/>
      <c r="I160" s="13">
        <v>1762.0</v>
      </c>
      <c r="J160" s="14" t="s">
        <v>20</v>
      </c>
      <c r="K160" s="8" t="s">
        <v>377</v>
      </c>
      <c r="L160" s="15">
        <v>5.7743486E7</v>
      </c>
      <c r="M160" s="15">
        <v>1.0</v>
      </c>
    </row>
    <row r="161" ht="22.5" customHeight="1">
      <c r="A161" s="7" t="s">
        <v>375</v>
      </c>
      <c r="B161" s="8" t="s">
        <v>38</v>
      </c>
      <c r="C161" s="8" t="s">
        <v>15</v>
      </c>
      <c r="D161" s="8" t="s">
        <v>39</v>
      </c>
      <c r="E161" s="16" t="s">
        <v>17</v>
      </c>
      <c r="F161" s="10"/>
      <c r="G161" s="17" t="s">
        <v>376</v>
      </c>
      <c r="H161" s="18"/>
      <c r="I161" s="13">
        <v>6580.0</v>
      </c>
      <c r="J161" s="14" t="s">
        <v>20</v>
      </c>
      <c r="K161" s="8" t="s">
        <v>377</v>
      </c>
      <c r="L161" s="15">
        <v>5.7743486E7</v>
      </c>
      <c r="M161" s="15">
        <v>1.0</v>
      </c>
    </row>
    <row r="162" ht="22.5" customHeight="1">
      <c r="A162" s="7" t="s">
        <v>375</v>
      </c>
      <c r="B162" s="26" t="s">
        <v>48</v>
      </c>
      <c r="C162" s="8" t="s">
        <v>23</v>
      </c>
      <c r="D162" s="8" t="s">
        <v>24</v>
      </c>
      <c r="E162" s="16" t="s">
        <v>17</v>
      </c>
      <c r="F162" s="10"/>
      <c r="G162" s="17" t="s">
        <v>376</v>
      </c>
      <c r="H162" s="18"/>
      <c r="I162" s="13">
        <v>6364.0</v>
      </c>
      <c r="J162" s="14" t="s">
        <v>20</v>
      </c>
      <c r="K162" s="8" t="s">
        <v>377</v>
      </c>
      <c r="L162" s="15">
        <v>5.7743486E7</v>
      </c>
      <c r="M162" s="15">
        <v>1.0</v>
      </c>
    </row>
    <row r="163" ht="22.5" customHeight="1">
      <c r="A163" s="7" t="s">
        <v>375</v>
      </c>
      <c r="B163" s="8">
        <v>7.0</v>
      </c>
      <c r="C163" s="8" t="s">
        <v>23</v>
      </c>
      <c r="D163" s="8" t="s">
        <v>85</v>
      </c>
      <c r="E163" s="16" t="s">
        <v>17</v>
      </c>
      <c r="F163" s="10"/>
      <c r="G163" s="17" t="s">
        <v>376</v>
      </c>
      <c r="H163" s="18"/>
      <c r="I163" s="13">
        <v>9935.0</v>
      </c>
      <c r="J163" s="14" t="s">
        <v>20</v>
      </c>
      <c r="K163" s="8" t="s">
        <v>377</v>
      </c>
      <c r="L163" s="15">
        <v>5.7743486E7</v>
      </c>
      <c r="M163" s="15">
        <v>1.0</v>
      </c>
    </row>
    <row r="164" ht="22.5" customHeight="1">
      <c r="A164" s="7" t="s">
        <v>148</v>
      </c>
      <c r="B164" s="8" t="s">
        <v>145</v>
      </c>
      <c r="C164" s="8" t="s">
        <v>145</v>
      </c>
      <c r="D164" s="8" t="s">
        <v>146</v>
      </c>
      <c r="E164" s="16" t="s">
        <v>17</v>
      </c>
      <c r="F164" s="10"/>
      <c r="G164" s="19"/>
      <c r="H164" s="18"/>
      <c r="I164" s="13" t="s">
        <v>378</v>
      </c>
      <c r="J164" s="14" t="s">
        <v>147</v>
      </c>
      <c r="K164" s="8" t="s">
        <v>148</v>
      </c>
      <c r="L164" s="15"/>
      <c r="M164" s="15"/>
    </row>
    <row r="165" ht="22.5" customHeight="1">
      <c r="A165" s="7" t="s">
        <v>379</v>
      </c>
      <c r="B165" s="8" t="s">
        <v>380</v>
      </c>
      <c r="C165" s="8" t="s">
        <v>27</v>
      </c>
      <c r="D165" s="8" t="s">
        <v>51</v>
      </c>
      <c r="E165" s="16" t="s">
        <v>17</v>
      </c>
      <c r="F165" s="10"/>
      <c r="G165" s="11" t="s">
        <v>381</v>
      </c>
      <c r="H165" s="12" t="s">
        <v>382</v>
      </c>
      <c r="I165" s="13">
        <v>12236.0</v>
      </c>
      <c r="J165" s="14" t="s">
        <v>53</v>
      </c>
      <c r="K165" s="8" t="s">
        <v>383</v>
      </c>
      <c r="L165" s="15">
        <v>1331993.0</v>
      </c>
      <c r="M165" s="15">
        <v>237.0</v>
      </c>
    </row>
    <row r="166" ht="22.5" customHeight="1">
      <c r="A166" s="7" t="s">
        <v>384</v>
      </c>
      <c r="B166" s="8" t="s">
        <v>201</v>
      </c>
      <c r="C166" s="8" t="s">
        <v>27</v>
      </c>
      <c r="D166" s="8" t="s">
        <v>238</v>
      </c>
      <c r="E166" s="16" t="s">
        <v>17</v>
      </c>
      <c r="F166" s="10"/>
      <c r="G166" s="17" t="s">
        <v>218</v>
      </c>
      <c r="H166" s="18"/>
      <c r="I166" s="13">
        <v>13249.0</v>
      </c>
      <c r="J166" s="14" t="s">
        <v>103</v>
      </c>
      <c r="K166" s="8" t="s">
        <v>262</v>
      </c>
      <c r="L166" s="15">
        <v>2844307.0</v>
      </c>
      <c r="M166" s="15">
        <v>120.0</v>
      </c>
    </row>
    <row r="167" ht="22.5" customHeight="1">
      <c r="A167" s="7" t="s">
        <v>385</v>
      </c>
      <c r="B167" s="8" t="s">
        <v>386</v>
      </c>
      <c r="C167" s="8" t="s">
        <v>27</v>
      </c>
      <c r="D167" s="8" t="s">
        <v>387</v>
      </c>
      <c r="E167" s="16" t="s">
        <v>17</v>
      </c>
      <c r="F167" s="10"/>
      <c r="G167" s="17" t="s">
        <v>388</v>
      </c>
      <c r="H167" s="18"/>
      <c r="I167" s="13">
        <v>11942.0</v>
      </c>
      <c r="J167" s="14" t="s">
        <v>20</v>
      </c>
      <c r="K167" s="8" t="s">
        <v>188</v>
      </c>
      <c r="L167" s="15">
        <v>1.0872225E7</v>
      </c>
      <c r="M167" s="15">
        <v>18.0</v>
      </c>
    </row>
    <row r="168" ht="22.5" customHeight="1">
      <c r="A168" s="7" t="s">
        <v>389</v>
      </c>
      <c r="B168" s="8">
        <v>6.0</v>
      </c>
      <c r="C168" s="8" t="s">
        <v>23</v>
      </c>
      <c r="D168" s="8" t="s">
        <v>230</v>
      </c>
      <c r="E168" s="16" t="s">
        <v>17</v>
      </c>
      <c r="F168" s="10"/>
      <c r="G168" s="19"/>
      <c r="H168" s="18"/>
      <c r="I168" s="13">
        <v>7603.0</v>
      </c>
      <c r="J168" s="14" t="s">
        <v>53</v>
      </c>
      <c r="K168" s="8" t="s">
        <v>390</v>
      </c>
      <c r="L168" s="15">
        <v>693959.0</v>
      </c>
      <c r="M168" s="15">
        <v>346.0</v>
      </c>
    </row>
    <row r="169" ht="22.5" customHeight="1">
      <c r="A169" s="7" t="s">
        <v>391</v>
      </c>
      <c r="B169" s="8" t="s">
        <v>392</v>
      </c>
      <c r="C169" s="8" t="s">
        <v>15</v>
      </c>
      <c r="D169" s="8" t="s">
        <v>248</v>
      </c>
      <c r="E169" s="16" t="s">
        <v>17</v>
      </c>
      <c r="F169" s="8"/>
      <c r="G169" s="19"/>
      <c r="H169" s="18"/>
      <c r="I169" s="13">
        <v>6358.0</v>
      </c>
      <c r="J169" s="14" t="s">
        <v>68</v>
      </c>
      <c r="K169" s="8" t="s">
        <v>393</v>
      </c>
      <c r="L169" s="15">
        <v>561288.0</v>
      </c>
      <c r="M169" s="15">
        <v>370.0</v>
      </c>
    </row>
    <row r="170" ht="22.5" customHeight="1">
      <c r="A170" s="7" t="s">
        <v>394</v>
      </c>
      <c r="B170" s="8">
        <v>1.0</v>
      </c>
      <c r="C170" s="8" t="s">
        <v>23</v>
      </c>
      <c r="D170" s="8" t="s">
        <v>24</v>
      </c>
      <c r="E170" s="16" t="s">
        <v>17</v>
      </c>
      <c r="F170" s="10"/>
      <c r="G170" s="17" t="s">
        <v>200</v>
      </c>
      <c r="H170" s="18"/>
      <c r="I170" s="13">
        <v>6757.0</v>
      </c>
      <c r="J170" s="14" t="s">
        <v>20</v>
      </c>
      <c r="K170" s="8" t="s">
        <v>184</v>
      </c>
      <c r="L170" s="15">
        <v>3730170.0</v>
      </c>
      <c r="M170" s="15">
        <v>85.0</v>
      </c>
    </row>
    <row r="171" ht="22.5" customHeight="1">
      <c r="A171" s="7" t="s">
        <v>395</v>
      </c>
      <c r="B171" s="8">
        <v>3.0</v>
      </c>
      <c r="C171" s="8" t="s">
        <v>23</v>
      </c>
      <c r="D171" s="8" t="s">
        <v>36</v>
      </c>
      <c r="E171" s="16" t="s">
        <v>17</v>
      </c>
      <c r="F171" s="8"/>
      <c r="G171" s="11" t="s">
        <v>396</v>
      </c>
      <c r="H171" s="12" t="s">
        <v>397</v>
      </c>
      <c r="I171" s="13">
        <v>24971.0</v>
      </c>
      <c r="J171" s="14" t="s">
        <v>20</v>
      </c>
      <c r="K171" s="8" t="s">
        <v>30</v>
      </c>
      <c r="L171" s="15">
        <v>649115.0</v>
      </c>
      <c r="M171" s="15">
        <v>355.0</v>
      </c>
    </row>
    <row r="172" ht="22.5" customHeight="1">
      <c r="A172" s="7" t="s">
        <v>398</v>
      </c>
      <c r="B172" s="8" t="s">
        <v>237</v>
      </c>
      <c r="C172" s="8" t="s">
        <v>27</v>
      </c>
      <c r="D172" s="8" t="s">
        <v>28</v>
      </c>
      <c r="E172" s="16" t="s">
        <v>399</v>
      </c>
      <c r="F172" s="8"/>
      <c r="G172" s="17" t="s">
        <v>400</v>
      </c>
      <c r="H172" s="18"/>
      <c r="I172" s="13">
        <v>11942.0</v>
      </c>
      <c r="J172" s="14" t="s">
        <v>20</v>
      </c>
      <c r="K172" s="8" t="s">
        <v>60</v>
      </c>
      <c r="L172" s="15">
        <v>5272833.0</v>
      </c>
      <c r="M172" s="15">
        <v>53.0</v>
      </c>
    </row>
    <row r="173" ht="22.5" customHeight="1">
      <c r="A173" s="7" t="s">
        <v>401</v>
      </c>
      <c r="B173" s="8">
        <v>6.0</v>
      </c>
      <c r="C173" s="8" t="s">
        <v>23</v>
      </c>
      <c r="D173" s="8" t="s">
        <v>32</v>
      </c>
      <c r="E173" s="16" t="s">
        <v>402</v>
      </c>
      <c r="F173" s="10"/>
      <c r="G173" s="19"/>
      <c r="H173" s="18"/>
      <c r="I173" s="13">
        <v>1762.0</v>
      </c>
      <c r="J173" s="14" t="s">
        <v>20</v>
      </c>
      <c r="K173" s="8" t="s">
        <v>403</v>
      </c>
      <c r="L173" s="15">
        <v>4617397.0</v>
      </c>
      <c r="M173" s="15">
        <v>63.0</v>
      </c>
    </row>
    <row r="174" ht="22.5" customHeight="1">
      <c r="A174" s="7" t="s">
        <v>404</v>
      </c>
      <c r="B174" s="8" t="s">
        <v>405</v>
      </c>
      <c r="C174" s="8" t="s">
        <v>27</v>
      </c>
      <c r="D174" s="8" t="s">
        <v>406</v>
      </c>
      <c r="E174" s="16" t="s">
        <v>402</v>
      </c>
      <c r="F174" s="10"/>
      <c r="G174" s="19"/>
      <c r="H174" s="18"/>
      <c r="I174" s="13">
        <v>11942.0</v>
      </c>
      <c r="J174" s="14" t="s">
        <v>20</v>
      </c>
      <c r="K174" s="8" t="s">
        <v>82</v>
      </c>
      <c r="L174" s="15">
        <v>5542652.0</v>
      </c>
      <c r="M174" s="15">
        <v>49.0</v>
      </c>
    </row>
    <row r="175" ht="22.5" customHeight="1">
      <c r="A175" s="7" t="s">
        <v>214</v>
      </c>
      <c r="B175" s="8" t="s">
        <v>93</v>
      </c>
      <c r="C175" s="8" t="s">
        <v>27</v>
      </c>
      <c r="D175" s="8" t="s">
        <v>94</v>
      </c>
      <c r="E175" s="16" t="s">
        <v>407</v>
      </c>
      <c r="F175" s="8"/>
      <c r="G175" s="19"/>
      <c r="H175" s="18"/>
      <c r="I175" s="13">
        <v>14485.0</v>
      </c>
      <c r="J175" s="14" t="s">
        <v>68</v>
      </c>
      <c r="K175" s="8" t="s">
        <v>69</v>
      </c>
      <c r="L175" s="15">
        <v>6032857.0</v>
      </c>
      <c r="M175" s="15">
        <v>40.0</v>
      </c>
    </row>
    <row r="176" ht="22.5" customHeight="1">
      <c r="A176" s="7" t="s">
        <v>408</v>
      </c>
      <c r="B176" s="8" t="s">
        <v>14</v>
      </c>
      <c r="C176" s="8" t="s">
        <v>15</v>
      </c>
      <c r="D176" s="8" t="s">
        <v>16</v>
      </c>
      <c r="E176" s="16" t="s">
        <v>409</v>
      </c>
      <c r="F176" s="8"/>
      <c r="G176" s="19"/>
      <c r="H176" s="18"/>
      <c r="I176" s="13">
        <v>10423.0</v>
      </c>
      <c r="J176" s="14" t="s">
        <v>103</v>
      </c>
      <c r="K176" s="8" t="s">
        <v>222</v>
      </c>
      <c r="L176" s="15">
        <v>981068.0</v>
      </c>
      <c r="M176" s="15">
        <v>296.0</v>
      </c>
    </row>
    <row r="177" ht="22.5" customHeight="1">
      <c r="A177" s="7" t="s">
        <v>133</v>
      </c>
      <c r="B177" s="8" t="s">
        <v>31</v>
      </c>
      <c r="C177" s="8" t="s">
        <v>23</v>
      </c>
      <c r="D177" s="8" t="s">
        <v>32</v>
      </c>
      <c r="E177" s="16" t="s">
        <v>410</v>
      </c>
      <c r="F177" s="8"/>
      <c r="G177" s="17"/>
      <c r="H177" s="18"/>
      <c r="I177" s="13">
        <v>6773.0</v>
      </c>
      <c r="J177" s="14" t="s">
        <v>20</v>
      </c>
      <c r="K177" s="8" t="s">
        <v>120</v>
      </c>
      <c r="L177" s="15">
        <v>1.1068503E7</v>
      </c>
      <c r="M177" s="15">
        <v>16.0</v>
      </c>
    </row>
    <row r="178" ht="22.5" customHeight="1">
      <c r="A178" s="7" t="s">
        <v>411</v>
      </c>
      <c r="B178" s="23">
        <v>46056.0</v>
      </c>
      <c r="C178" s="8" t="s">
        <v>23</v>
      </c>
      <c r="D178" s="8" t="s">
        <v>158</v>
      </c>
      <c r="E178" s="16" t="s">
        <v>412</v>
      </c>
      <c r="F178" s="10"/>
      <c r="G178" s="11" t="s">
        <v>413</v>
      </c>
      <c r="H178" s="12" t="s">
        <v>414</v>
      </c>
      <c r="I178" s="13">
        <v>3044.0</v>
      </c>
      <c r="J178" s="14" t="s">
        <v>103</v>
      </c>
      <c r="K178" s="8" t="s">
        <v>156</v>
      </c>
      <c r="L178" s="15">
        <v>1922028.0</v>
      </c>
      <c r="M178" s="15">
        <v>170.0</v>
      </c>
    </row>
    <row r="179" ht="22.5" customHeight="1">
      <c r="A179" s="7" t="s">
        <v>369</v>
      </c>
      <c r="B179" s="8" t="s">
        <v>405</v>
      </c>
      <c r="C179" s="8" t="s">
        <v>27</v>
      </c>
      <c r="D179" s="8" t="s">
        <v>28</v>
      </c>
      <c r="E179" s="16" t="s">
        <v>412</v>
      </c>
      <c r="F179" s="8"/>
      <c r="G179" s="19"/>
      <c r="H179" s="18"/>
      <c r="I179" s="13">
        <v>11942.0</v>
      </c>
      <c r="J179" s="14" t="s">
        <v>20</v>
      </c>
      <c r="K179" s="8" t="s">
        <v>415</v>
      </c>
      <c r="L179" s="15">
        <v>3300868.0</v>
      </c>
      <c r="M179" s="15">
        <v>97.0</v>
      </c>
    </row>
    <row r="180" ht="22.5" customHeight="1">
      <c r="A180" s="7" t="s">
        <v>416</v>
      </c>
      <c r="B180" s="8" t="s">
        <v>323</v>
      </c>
      <c r="C180" s="8" t="s">
        <v>15</v>
      </c>
      <c r="D180" s="8" t="s">
        <v>39</v>
      </c>
      <c r="E180" s="16" t="s">
        <v>417</v>
      </c>
      <c r="F180" s="10"/>
      <c r="G180" s="17" t="s">
        <v>418</v>
      </c>
      <c r="H180" s="18"/>
      <c r="I180" s="13">
        <v>7131.0</v>
      </c>
      <c r="J180" s="14" t="s">
        <v>20</v>
      </c>
      <c r="K180" s="8" t="s">
        <v>82</v>
      </c>
      <c r="L180" s="15">
        <v>6609897.0</v>
      </c>
      <c r="M180" s="15">
        <v>29.0</v>
      </c>
    </row>
    <row r="181" ht="22.5" customHeight="1">
      <c r="A181" s="7" t="s">
        <v>419</v>
      </c>
      <c r="B181" s="8">
        <v>1.0</v>
      </c>
      <c r="C181" s="8" t="s">
        <v>23</v>
      </c>
      <c r="D181" s="8" t="s">
        <v>24</v>
      </c>
      <c r="E181" s="16" t="s">
        <v>417</v>
      </c>
      <c r="F181" s="8"/>
      <c r="G181" s="17" t="s">
        <v>396</v>
      </c>
      <c r="H181" s="12" t="s">
        <v>420</v>
      </c>
      <c r="I181" s="13">
        <v>1762.0</v>
      </c>
      <c r="J181" s="14" t="s">
        <v>20</v>
      </c>
      <c r="K181" s="8" t="s">
        <v>421</v>
      </c>
      <c r="L181" s="15">
        <v>2561284.0</v>
      </c>
      <c r="M181" s="15">
        <v>136.0</v>
      </c>
    </row>
    <row r="182" ht="22.5" customHeight="1">
      <c r="A182" s="7" t="s">
        <v>162</v>
      </c>
      <c r="B182" s="8" t="s">
        <v>300</v>
      </c>
      <c r="C182" s="8" t="s">
        <v>27</v>
      </c>
      <c r="D182" s="8" t="s">
        <v>126</v>
      </c>
      <c r="E182" s="16" t="s">
        <v>422</v>
      </c>
      <c r="F182" s="10"/>
      <c r="G182" s="17"/>
      <c r="H182" s="18"/>
      <c r="I182" s="13">
        <v>7015.0</v>
      </c>
      <c r="J182" s="14" t="s">
        <v>103</v>
      </c>
      <c r="K182" s="8" t="s">
        <v>161</v>
      </c>
      <c r="L182" s="15">
        <v>254506.0</v>
      </c>
      <c r="M182" s="15">
        <v>414.0</v>
      </c>
    </row>
    <row r="183" ht="22.5" customHeight="1">
      <c r="A183" s="7" t="s">
        <v>162</v>
      </c>
      <c r="B183" s="8" t="s">
        <v>110</v>
      </c>
      <c r="C183" s="8" t="s">
        <v>15</v>
      </c>
      <c r="D183" s="8" t="s">
        <v>111</v>
      </c>
      <c r="E183" s="16" t="s">
        <v>422</v>
      </c>
      <c r="F183" s="10"/>
      <c r="G183" s="17"/>
      <c r="H183" s="18"/>
      <c r="I183" s="13">
        <v>5652.0</v>
      </c>
      <c r="J183" s="14" t="s">
        <v>103</v>
      </c>
      <c r="K183" s="8" t="s">
        <v>165</v>
      </c>
      <c r="L183" s="15">
        <v>1564961.0</v>
      </c>
      <c r="M183" s="15">
        <v>206.0</v>
      </c>
    </row>
    <row r="184" ht="22.5" customHeight="1">
      <c r="A184" s="7" t="s">
        <v>315</v>
      </c>
      <c r="B184" s="8">
        <v>4.0</v>
      </c>
      <c r="C184" s="8" t="s">
        <v>23</v>
      </c>
      <c r="D184" s="8" t="s">
        <v>55</v>
      </c>
      <c r="E184" s="16" t="s">
        <v>422</v>
      </c>
      <c r="F184" s="8"/>
      <c r="G184" s="17"/>
      <c r="H184" s="18"/>
      <c r="I184" s="13">
        <v>6363.0</v>
      </c>
      <c r="J184" s="14" t="s">
        <v>53</v>
      </c>
      <c r="K184" s="8" t="s">
        <v>423</v>
      </c>
      <c r="L184" s="15">
        <v>1670156.0</v>
      </c>
      <c r="M184" s="15">
        <v>197.0</v>
      </c>
    </row>
    <row r="185" ht="22.5" customHeight="1">
      <c r="A185" s="7" t="s">
        <v>424</v>
      </c>
      <c r="B185" s="8">
        <v>4.0</v>
      </c>
      <c r="C185" s="8" t="s">
        <v>23</v>
      </c>
      <c r="D185" s="8" t="s">
        <v>55</v>
      </c>
      <c r="E185" s="16" t="s">
        <v>422</v>
      </c>
      <c r="F185" s="10"/>
      <c r="G185" s="17"/>
      <c r="H185" s="18"/>
      <c r="I185" s="13">
        <v>6680.0</v>
      </c>
      <c r="J185" s="14" t="s">
        <v>53</v>
      </c>
      <c r="K185" s="8" t="s">
        <v>178</v>
      </c>
      <c r="L185" s="15">
        <v>1083618.0</v>
      </c>
      <c r="M185" s="15">
        <v>278.0</v>
      </c>
    </row>
    <row r="186" ht="22.5" customHeight="1">
      <c r="A186" s="7" t="s">
        <v>425</v>
      </c>
      <c r="B186" s="8">
        <v>1.0</v>
      </c>
      <c r="C186" s="8" t="s">
        <v>23</v>
      </c>
      <c r="D186" s="8" t="s">
        <v>24</v>
      </c>
      <c r="E186" s="16" t="s">
        <v>422</v>
      </c>
      <c r="F186" s="8" t="s">
        <v>426</v>
      </c>
      <c r="G186" s="19"/>
      <c r="H186" s="18"/>
      <c r="I186" s="13">
        <v>1762.0</v>
      </c>
      <c r="J186" s="14" t="s">
        <v>20</v>
      </c>
      <c r="K186" s="8" t="s">
        <v>118</v>
      </c>
      <c r="L186" s="15">
        <v>2777091.0</v>
      </c>
      <c r="M186" s="15">
        <v>127.0</v>
      </c>
    </row>
    <row r="187" ht="22.5" customHeight="1">
      <c r="A187" s="7" t="s">
        <v>425</v>
      </c>
      <c r="B187" s="8" t="s">
        <v>427</v>
      </c>
      <c r="C187" s="8" t="s">
        <v>27</v>
      </c>
      <c r="D187" s="8" t="s">
        <v>28</v>
      </c>
      <c r="E187" s="16" t="s">
        <v>422</v>
      </c>
      <c r="F187" s="8" t="s">
        <v>426</v>
      </c>
      <c r="G187" s="19"/>
      <c r="H187" s="18"/>
      <c r="I187" s="13">
        <v>11942.0</v>
      </c>
      <c r="J187" s="14" t="s">
        <v>20</v>
      </c>
      <c r="K187" s="8" t="s">
        <v>118</v>
      </c>
      <c r="L187" s="15">
        <v>1075955.0</v>
      </c>
      <c r="M187" s="15">
        <v>281.0</v>
      </c>
    </row>
    <row r="188" ht="22.5" customHeight="1">
      <c r="A188" s="7" t="s">
        <v>425</v>
      </c>
      <c r="B188" s="8">
        <v>6.0</v>
      </c>
      <c r="C188" s="8" t="s">
        <v>23</v>
      </c>
      <c r="D188" s="8" t="s">
        <v>32</v>
      </c>
      <c r="E188" s="16" t="s">
        <v>422</v>
      </c>
      <c r="F188" s="8" t="s">
        <v>426</v>
      </c>
      <c r="G188" s="19"/>
      <c r="H188" s="18"/>
      <c r="I188" s="13">
        <v>6773.0</v>
      </c>
      <c r="J188" s="14" t="s">
        <v>20</v>
      </c>
      <c r="K188" s="8" t="s">
        <v>33</v>
      </c>
      <c r="L188" s="15">
        <v>2475803.0</v>
      </c>
      <c r="M188" s="15">
        <v>138.0</v>
      </c>
    </row>
    <row r="189" ht="22.5" customHeight="1">
      <c r="A189" s="7" t="s">
        <v>428</v>
      </c>
      <c r="B189" s="8">
        <v>7.0</v>
      </c>
      <c r="C189" s="8" t="s">
        <v>23</v>
      </c>
      <c r="D189" s="8" t="s">
        <v>85</v>
      </c>
      <c r="E189" s="16" t="s">
        <v>422</v>
      </c>
      <c r="F189" s="8" t="s">
        <v>426</v>
      </c>
      <c r="G189" s="19"/>
      <c r="H189" s="18"/>
      <c r="I189" s="13">
        <v>6321.0</v>
      </c>
      <c r="J189" s="14" t="s">
        <v>68</v>
      </c>
      <c r="K189" s="8" t="s">
        <v>310</v>
      </c>
      <c r="L189" s="15">
        <v>6368620.0</v>
      </c>
      <c r="M189" s="15">
        <v>34.0</v>
      </c>
    </row>
    <row r="190" ht="22.5" customHeight="1">
      <c r="A190" s="7" t="s">
        <v>429</v>
      </c>
      <c r="B190" s="8" t="s">
        <v>58</v>
      </c>
      <c r="C190" s="8" t="s">
        <v>27</v>
      </c>
      <c r="D190" s="8" t="s">
        <v>238</v>
      </c>
      <c r="E190" s="16" t="s">
        <v>422</v>
      </c>
      <c r="F190" s="10"/>
      <c r="G190" s="19"/>
      <c r="H190" s="18"/>
      <c r="I190" s="13">
        <v>5747.0</v>
      </c>
      <c r="J190" s="14" t="s">
        <v>68</v>
      </c>
      <c r="K190" s="8" t="s">
        <v>143</v>
      </c>
      <c r="L190" s="15">
        <v>361203.0</v>
      </c>
      <c r="M190" s="15">
        <v>406.0</v>
      </c>
    </row>
    <row r="191" ht="22.5" customHeight="1">
      <c r="A191" s="7" t="s">
        <v>429</v>
      </c>
      <c r="B191" s="8" t="s">
        <v>191</v>
      </c>
      <c r="C191" s="8" t="s">
        <v>15</v>
      </c>
      <c r="D191" s="8" t="s">
        <v>248</v>
      </c>
      <c r="E191" s="16" t="s">
        <v>422</v>
      </c>
      <c r="F191" s="10"/>
      <c r="G191" s="19"/>
      <c r="H191" s="18"/>
      <c r="I191" s="13">
        <v>6358.0</v>
      </c>
      <c r="J191" s="14" t="s">
        <v>68</v>
      </c>
      <c r="K191" s="8" t="s">
        <v>342</v>
      </c>
      <c r="L191" s="15">
        <v>599302.0</v>
      </c>
      <c r="M191" s="15">
        <v>358.0</v>
      </c>
    </row>
    <row r="192" ht="22.5" customHeight="1">
      <c r="A192" s="7" t="s">
        <v>430</v>
      </c>
      <c r="B192" s="8">
        <v>6.0</v>
      </c>
      <c r="C192" s="8" t="s">
        <v>23</v>
      </c>
      <c r="D192" s="8" t="s">
        <v>32</v>
      </c>
      <c r="E192" s="16" t="s">
        <v>422</v>
      </c>
      <c r="F192" s="8" t="s">
        <v>426</v>
      </c>
      <c r="G192" s="19"/>
      <c r="H192" s="18"/>
      <c r="I192" s="13">
        <v>6773.0</v>
      </c>
      <c r="J192" s="14" t="s">
        <v>20</v>
      </c>
      <c r="K192" s="8" t="s">
        <v>33</v>
      </c>
      <c r="L192" s="15">
        <v>2019446.0</v>
      </c>
      <c r="M192" s="15">
        <v>163.0</v>
      </c>
    </row>
    <row r="193" ht="22.5" customHeight="1">
      <c r="A193" s="7" t="s">
        <v>431</v>
      </c>
      <c r="B193" s="23">
        <v>46056.0</v>
      </c>
      <c r="C193" s="8" t="s">
        <v>23</v>
      </c>
      <c r="D193" s="8" t="s">
        <v>36</v>
      </c>
      <c r="E193" s="16" t="s">
        <v>422</v>
      </c>
      <c r="F193" s="8" t="s">
        <v>426</v>
      </c>
      <c r="G193" s="19"/>
      <c r="H193" s="18"/>
      <c r="I193" s="13">
        <v>1789.0</v>
      </c>
      <c r="J193" s="14" t="s">
        <v>20</v>
      </c>
      <c r="K193" s="8" t="s">
        <v>30</v>
      </c>
      <c r="L193" s="15">
        <v>1541225.0</v>
      </c>
      <c r="M193" s="15">
        <v>208.0</v>
      </c>
    </row>
    <row r="194" ht="22.5" customHeight="1">
      <c r="A194" s="7" t="s">
        <v>432</v>
      </c>
      <c r="B194" s="8">
        <v>7.0</v>
      </c>
      <c r="C194" s="8" t="s">
        <v>23</v>
      </c>
      <c r="D194" s="8" t="s">
        <v>85</v>
      </c>
      <c r="E194" s="16" t="s">
        <v>422</v>
      </c>
      <c r="F194" s="10"/>
      <c r="G194" s="19"/>
      <c r="H194" s="18"/>
      <c r="I194" s="13">
        <v>9418.0</v>
      </c>
      <c r="J194" s="14" t="s">
        <v>68</v>
      </c>
      <c r="K194" s="8" t="s">
        <v>310</v>
      </c>
      <c r="L194" s="15">
        <v>2137552.0</v>
      </c>
      <c r="M194" s="15">
        <v>157.0</v>
      </c>
    </row>
    <row r="195" ht="22.5" customHeight="1">
      <c r="A195" s="7" t="s">
        <v>432</v>
      </c>
      <c r="B195" s="8" t="s">
        <v>58</v>
      </c>
      <c r="C195" s="8" t="s">
        <v>27</v>
      </c>
      <c r="D195" s="8" t="s">
        <v>238</v>
      </c>
      <c r="E195" s="16" t="s">
        <v>422</v>
      </c>
      <c r="F195" s="10"/>
      <c r="G195" s="19"/>
      <c r="H195" s="18"/>
      <c r="I195" s="13">
        <v>5747.0</v>
      </c>
      <c r="J195" s="14" t="s">
        <v>68</v>
      </c>
      <c r="K195" s="8" t="s">
        <v>342</v>
      </c>
      <c r="L195" s="15">
        <v>457497.0</v>
      </c>
      <c r="M195" s="15">
        <v>394.0</v>
      </c>
    </row>
    <row r="196" ht="22.5" customHeight="1">
      <c r="A196" s="7" t="s">
        <v>432</v>
      </c>
      <c r="B196" s="8" t="s">
        <v>191</v>
      </c>
      <c r="C196" s="8" t="s">
        <v>15</v>
      </c>
      <c r="D196" s="8" t="s">
        <v>248</v>
      </c>
      <c r="E196" s="16" t="s">
        <v>422</v>
      </c>
      <c r="F196" s="10"/>
      <c r="G196" s="19"/>
      <c r="H196" s="18"/>
      <c r="I196" s="13">
        <v>6358.0</v>
      </c>
      <c r="J196" s="14" t="s">
        <v>68</v>
      </c>
      <c r="K196" s="8" t="s">
        <v>342</v>
      </c>
      <c r="L196" s="15">
        <v>469638.0</v>
      </c>
      <c r="M196" s="15">
        <v>390.0</v>
      </c>
    </row>
    <row r="197" ht="22.5" customHeight="1">
      <c r="A197" s="7" t="s">
        <v>433</v>
      </c>
      <c r="B197" s="8" t="s">
        <v>434</v>
      </c>
      <c r="C197" s="8" t="s">
        <v>27</v>
      </c>
      <c r="D197" s="8" t="s">
        <v>28</v>
      </c>
      <c r="E197" s="16" t="s">
        <v>422</v>
      </c>
      <c r="F197" s="8" t="s">
        <v>426</v>
      </c>
      <c r="G197" s="19"/>
      <c r="H197" s="18"/>
      <c r="I197" s="13">
        <v>11942.0</v>
      </c>
      <c r="J197" s="14" t="s">
        <v>20</v>
      </c>
      <c r="K197" s="8" t="s">
        <v>30</v>
      </c>
      <c r="L197" s="15">
        <v>1446836.0</v>
      </c>
      <c r="M197" s="15">
        <v>220.0</v>
      </c>
    </row>
    <row r="198" ht="22.5" customHeight="1">
      <c r="A198" s="7" t="s">
        <v>433</v>
      </c>
      <c r="B198" s="26" t="s">
        <v>35</v>
      </c>
      <c r="C198" s="8" t="s">
        <v>23</v>
      </c>
      <c r="D198" s="8" t="s">
        <v>36</v>
      </c>
      <c r="E198" s="16" t="s">
        <v>422</v>
      </c>
      <c r="F198" s="8" t="s">
        <v>426</v>
      </c>
      <c r="G198" s="19"/>
      <c r="H198" s="18"/>
      <c r="I198" s="13">
        <v>1789.0</v>
      </c>
      <c r="J198" s="14" t="s">
        <v>20</v>
      </c>
      <c r="K198" s="8" t="s">
        <v>30</v>
      </c>
      <c r="L198" s="15">
        <v>1936567.0</v>
      </c>
      <c r="M198" s="15">
        <v>168.0</v>
      </c>
    </row>
    <row r="199" ht="22.5" customHeight="1">
      <c r="A199" s="7" t="s">
        <v>433</v>
      </c>
      <c r="B199" s="8">
        <v>6.0</v>
      </c>
      <c r="C199" s="8" t="s">
        <v>23</v>
      </c>
      <c r="D199" s="8" t="s">
        <v>32</v>
      </c>
      <c r="E199" s="16" t="s">
        <v>422</v>
      </c>
      <c r="F199" s="8" t="s">
        <v>426</v>
      </c>
      <c r="G199" s="19"/>
      <c r="H199" s="18"/>
      <c r="I199" s="13">
        <v>6773.0</v>
      </c>
      <c r="J199" s="14" t="s">
        <v>20</v>
      </c>
      <c r="K199" s="8" t="s">
        <v>33</v>
      </c>
      <c r="L199" s="15">
        <v>2733594.0</v>
      </c>
      <c r="M199" s="15">
        <v>129.0</v>
      </c>
    </row>
    <row r="200" ht="22.5" customHeight="1">
      <c r="A200" s="7" t="s">
        <v>435</v>
      </c>
      <c r="B200" s="8">
        <v>1.0</v>
      </c>
      <c r="C200" s="8" t="s">
        <v>23</v>
      </c>
      <c r="D200" s="8" t="s">
        <v>24</v>
      </c>
      <c r="E200" s="16" t="s">
        <v>422</v>
      </c>
      <c r="F200" s="8" t="s">
        <v>426</v>
      </c>
      <c r="G200" s="19"/>
      <c r="H200" s="18"/>
      <c r="I200" s="13">
        <v>1762.0</v>
      </c>
      <c r="J200" s="14" t="s">
        <v>20</v>
      </c>
      <c r="K200" s="8" t="s">
        <v>436</v>
      </c>
      <c r="L200" s="15">
        <v>3326487.0</v>
      </c>
      <c r="M200" s="15">
        <v>95.0</v>
      </c>
    </row>
    <row r="201" ht="22.5" customHeight="1">
      <c r="A201" s="7" t="s">
        <v>437</v>
      </c>
      <c r="B201" s="8" t="s">
        <v>191</v>
      </c>
      <c r="C201" s="8" t="s">
        <v>15</v>
      </c>
      <c r="D201" s="8" t="s">
        <v>248</v>
      </c>
      <c r="E201" s="16" t="s">
        <v>422</v>
      </c>
      <c r="F201" s="8" t="s">
        <v>426</v>
      </c>
      <c r="G201" s="19"/>
      <c r="H201" s="18"/>
      <c r="I201" s="13">
        <v>6759.0</v>
      </c>
      <c r="J201" s="14" t="s">
        <v>68</v>
      </c>
      <c r="K201" s="8" t="s">
        <v>342</v>
      </c>
      <c r="L201" s="15">
        <v>464940.0</v>
      </c>
      <c r="M201" s="15">
        <v>393.0</v>
      </c>
    </row>
    <row r="202" ht="22.5" customHeight="1">
      <c r="A202" s="7" t="s">
        <v>22</v>
      </c>
      <c r="B202" s="8" t="s">
        <v>35</v>
      </c>
      <c r="C202" s="8" t="s">
        <v>23</v>
      </c>
      <c r="D202" s="8" t="s">
        <v>36</v>
      </c>
      <c r="E202" s="16" t="s">
        <v>422</v>
      </c>
      <c r="F202" s="8" t="s">
        <v>426</v>
      </c>
      <c r="G202" s="17"/>
      <c r="H202" s="18"/>
      <c r="I202" s="13">
        <v>1789.0</v>
      </c>
      <c r="J202" s="14" t="s">
        <v>20</v>
      </c>
      <c r="K202" s="8" t="s">
        <v>30</v>
      </c>
      <c r="L202" s="15">
        <v>2978249.0</v>
      </c>
      <c r="M202" s="15">
        <v>111.0</v>
      </c>
    </row>
    <row r="203" ht="22.5" customHeight="1">
      <c r="A203" s="7" t="s">
        <v>34</v>
      </c>
      <c r="B203" s="8" t="s">
        <v>427</v>
      </c>
      <c r="C203" s="8" t="s">
        <v>27</v>
      </c>
      <c r="D203" s="8" t="s">
        <v>28</v>
      </c>
      <c r="E203" s="16" t="s">
        <v>422</v>
      </c>
      <c r="F203" s="10"/>
      <c r="G203" s="19"/>
      <c r="H203" s="18"/>
      <c r="I203" s="13">
        <v>11942.0</v>
      </c>
      <c r="J203" s="14" t="s">
        <v>20</v>
      </c>
      <c r="K203" s="8" t="s">
        <v>30</v>
      </c>
      <c r="L203" s="15">
        <v>1153046.0</v>
      </c>
      <c r="M203" s="15">
        <v>264.0</v>
      </c>
    </row>
    <row r="204" ht="22.5" customHeight="1">
      <c r="A204" s="7" t="s">
        <v>438</v>
      </c>
      <c r="B204" s="8" t="s">
        <v>182</v>
      </c>
      <c r="C204" s="8" t="s">
        <v>23</v>
      </c>
      <c r="D204" s="8" t="s">
        <v>55</v>
      </c>
      <c r="E204" s="16" t="s">
        <v>422</v>
      </c>
      <c r="F204" s="10"/>
      <c r="G204" s="19"/>
      <c r="H204" s="18"/>
      <c r="I204" s="13">
        <v>6773.0</v>
      </c>
      <c r="J204" s="14" t="s">
        <v>53</v>
      </c>
      <c r="K204" s="8" t="s">
        <v>79</v>
      </c>
      <c r="L204" s="15">
        <v>817671.0</v>
      </c>
      <c r="M204" s="15">
        <v>326.0</v>
      </c>
    </row>
    <row r="205" ht="22.5" customHeight="1">
      <c r="A205" s="7" t="s">
        <v>37</v>
      </c>
      <c r="B205" s="8" t="s">
        <v>31</v>
      </c>
      <c r="C205" s="8" t="s">
        <v>23</v>
      </c>
      <c r="D205" s="8" t="s">
        <v>32</v>
      </c>
      <c r="E205" s="16" t="s">
        <v>422</v>
      </c>
      <c r="F205" s="8" t="s">
        <v>439</v>
      </c>
      <c r="G205" s="17"/>
      <c r="H205" s="18"/>
      <c r="I205" s="13">
        <v>1762.0</v>
      </c>
      <c r="J205" s="14" t="s">
        <v>20</v>
      </c>
      <c r="K205" s="8" t="s">
        <v>40</v>
      </c>
      <c r="L205" s="15">
        <v>2.2811597E7</v>
      </c>
      <c r="M205" s="15">
        <v>4.0</v>
      </c>
    </row>
    <row r="206" ht="22.5" customHeight="1">
      <c r="A206" s="7" t="s">
        <v>440</v>
      </c>
      <c r="B206" s="8">
        <v>1.0</v>
      </c>
      <c r="C206" s="8" t="s">
        <v>23</v>
      </c>
      <c r="D206" s="8" t="s">
        <v>24</v>
      </c>
      <c r="E206" s="16" t="s">
        <v>422</v>
      </c>
      <c r="F206" s="8" t="s">
        <v>426</v>
      </c>
      <c r="G206" s="19"/>
      <c r="H206" s="18"/>
      <c r="I206" s="13">
        <v>1762.0</v>
      </c>
      <c r="J206" s="14" t="s">
        <v>20</v>
      </c>
      <c r="K206" s="8" t="s">
        <v>421</v>
      </c>
      <c r="L206" s="15">
        <v>2114398.0</v>
      </c>
      <c r="M206" s="15">
        <v>158.0</v>
      </c>
    </row>
    <row r="207" ht="22.5" customHeight="1">
      <c r="A207" s="7" t="s">
        <v>440</v>
      </c>
      <c r="B207" s="8" t="s">
        <v>26</v>
      </c>
      <c r="C207" s="8" t="s">
        <v>27</v>
      </c>
      <c r="D207" s="8" t="s">
        <v>441</v>
      </c>
      <c r="E207" s="16" t="s">
        <v>422</v>
      </c>
      <c r="F207" s="8" t="s">
        <v>426</v>
      </c>
      <c r="G207" s="19"/>
      <c r="H207" s="18"/>
      <c r="I207" s="13">
        <v>11942.0</v>
      </c>
      <c r="J207" s="14" t="s">
        <v>20</v>
      </c>
      <c r="K207" s="8" t="s">
        <v>30</v>
      </c>
      <c r="L207" s="15">
        <v>4958581.0</v>
      </c>
      <c r="M207" s="15">
        <v>57.0</v>
      </c>
    </row>
    <row r="208" ht="22.5" customHeight="1">
      <c r="A208" s="7" t="s">
        <v>440</v>
      </c>
      <c r="B208" s="8">
        <v>3.0</v>
      </c>
      <c r="C208" s="8" t="s">
        <v>23</v>
      </c>
      <c r="D208" s="8" t="s">
        <v>36</v>
      </c>
      <c r="E208" s="16" t="s">
        <v>422</v>
      </c>
      <c r="F208" s="8" t="s">
        <v>426</v>
      </c>
      <c r="G208" s="19"/>
      <c r="H208" s="18"/>
      <c r="I208" s="13">
        <v>1789.0</v>
      </c>
      <c r="J208" s="14" t="s">
        <v>20</v>
      </c>
      <c r="K208" s="8" t="s">
        <v>30</v>
      </c>
      <c r="L208" s="15">
        <v>571427.0</v>
      </c>
      <c r="M208" s="15">
        <v>364.0</v>
      </c>
    </row>
    <row r="209" ht="22.5" customHeight="1">
      <c r="A209" s="7" t="s">
        <v>442</v>
      </c>
      <c r="B209" s="8">
        <v>4.0</v>
      </c>
      <c r="C209" s="8" t="s">
        <v>23</v>
      </c>
      <c r="D209" s="8" t="s">
        <v>55</v>
      </c>
      <c r="E209" s="16" t="s">
        <v>422</v>
      </c>
      <c r="F209" s="8" t="s">
        <v>426</v>
      </c>
      <c r="G209" s="19"/>
      <c r="H209" s="18"/>
      <c r="I209" s="13">
        <v>6363.0</v>
      </c>
      <c r="J209" s="14" t="s">
        <v>53</v>
      </c>
      <c r="K209" s="8" t="s">
        <v>79</v>
      </c>
      <c r="L209" s="15">
        <v>2087669.0</v>
      </c>
      <c r="M209" s="15">
        <v>159.0</v>
      </c>
    </row>
    <row r="210" ht="22.5" customHeight="1">
      <c r="A210" s="7" t="s">
        <v>442</v>
      </c>
      <c r="B210" s="8" t="s">
        <v>78</v>
      </c>
      <c r="C210" s="8" t="s">
        <v>23</v>
      </c>
      <c r="D210" s="8" t="s">
        <v>75</v>
      </c>
      <c r="E210" s="16" t="s">
        <v>422</v>
      </c>
      <c r="F210" s="8" t="s">
        <v>426</v>
      </c>
      <c r="G210" s="19"/>
      <c r="H210" s="18"/>
      <c r="I210" s="13">
        <v>2018.0</v>
      </c>
      <c r="J210" s="14" t="s">
        <v>53</v>
      </c>
      <c r="K210" s="8" t="s">
        <v>79</v>
      </c>
      <c r="L210" s="15">
        <v>2087669.0</v>
      </c>
      <c r="M210" s="15">
        <v>159.0</v>
      </c>
    </row>
    <row r="211" ht="22.5" customHeight="1">
      <c r="A211" s="7" t="s">
        <v>443</v>
      </c>
      <c r="B211" s="8" t="s">
        <v>125</v>
      </c>
      <c r="C211" s="8" t="s">
        <v>27</v>
      </c>
      <c r="D211" s="8" t="s">
        <v>126</v>
      </c>
      <c r="E211" s="16" t="s">
        <v>422</v>
      </c>
      <c r="F211" s="10"/>
      <c r="G211" s="19"/>
      <c r="H211" s="18"/>
      <c r="I211" s="13">
        <v>12334.0</v>
      </c>
      <c r="J211" s="14" t="s">
        <v>103</v>
      </c>
      <c r="K211" s="8" t="s">
        <v>444</v>
      </c>
      <c r="L211" s="15">
        <v>1383267.0</v>
      </c>
      <c r="M211" s="15">
        <v>231.0</v>
      </c>
    </row>
    <row r="212" ht="22.5" customHeight="1">
      <c r="A212" s="7" t="s">
        <v>445</v>
      </c>
      <c r="B212" s="8" t="s">
        <v>115</v>
      </c>
      <c r="C212" s="8" t="s">
        <v>27</v>
      </c>
      <c r="D212" s="8" t="s">
        <v>51</v>
      </c>
      <c r="E212" s="16" t="s">
        <v>422</v>
      </c>
      <c r="F212" s="8" t="s">
        <v>426</v>
      </c>
      <c r="G212" s="19"/>
      <c r="H212" s="18"/>
      <c r="I212" s="13">
        <v>12236.0</v>
      </c>
      <c r="J212" s="14" t="s">
        <v>20</v>
      </c>
      <c r="K212" s="8" t="s">
        <v>30</v>
      </c>
      <c r="L212" s="15">
        <v>556909.0</v>
      </c>
      <c r="M212" s="15">
        <v>373.0</v>
      </c>
    </row>
    <row r="213" ht="22.5" customHeight="1">
      <c r="A213" s="7" t="s">
        <v>445</v>
      </c>
      <c r="B213" s="8" t="s">
        <v>446</v>
      </c>
      <c r="C213" s="8" t="s">
        <v>27</v>
      </c>
      <c r="D213" s="8" t="s">
        <v>28</v>
      </c>
      <c r="E213" s="16" t="s">
        <v>422</v>
      </c>
      <c r="F213" s="8" t="s">
        <v>426</v>
      </c>
      <c r="G213" s="19"/>
      <c r="H213" s="18"/>
      <c r="I213" s="13">
        <v>11942.0</v>
      </c>
      <c r="J213" s="14" t="s">
        <v>20</v>
      </c>
      <c r="K213" s="8" t="s">
        <v>60</v>
      </c>
      <c r="L213" s="15">
        <v>564295.0</v>
      </c>
      <c r="M213" s="15">
        <v>369.0</v>
      </c>
    </row>
    <row r="214" ht="22.5" customHeight="1">
      <c r="A214" s="7" t="s">
        <v>447</v>
      </c>
      <c r="B214" s="8">
        <v>1.0</v>
      </c>
      <c r="C214" s="8" t="s">
        <v>23</v>
      </c>
      <c r="D214" s="8" t="s">
        <v>24</v>
      </c>
      <c r="E214" s="16" t="s">
        <v>422</v>
      </c>
      <c r="F214" s="8" t="s">
        <v>426</v>
      </c>
      <c r="G214" s="19"/>
      <c r="H214" s="18"/>
      <c r="I214" s="13">
        <v>1778.0</v>
      </c>
      <c r="J214" s="14" t="s">
        <v>20</v>
      </c>
      <c r="K214" s="8" t="s">
        <v>60</v>
      </c>
      <c r="L214" s="15">
        <v>2238202.0</v>
      </c>
      <c r="M214" s="15">
        <v>148.0</v>
      </c>
    </row>
    <row r="215" ht="22.5" customHeight="1">
      <c r="A215" s="7" t="s">
        <v>448</v>
      </c>
      <c r="B215" s="8" t="s">
        <v>446</v>
      </c>
      <c r="C215" s="8" t="s">
        <v>27</v>
      </c>
      <c r="D215" s="8" t="s">
        <v>28</v>
      </c>
      <c r="E215" s="16" t="s">
        <v>422</v>
      </c>
      <c r="F215" s="10"/>
      <c r="G215" s="19"/>
      <c r="H215" s="18"/>
      <c r="I215" s="13">
        <v>11942.0</v>
      </c>
      <c r="J215" s="14" t="s">
        <v>20</v>
      </c>
      <c r="K215" s="8" t="s">
        <v>60</v>
      </c>
      <c r="L215" s="15">
        <v>890476.0</v>
      </c>
      <c r="M215" s="15">
        <v>316.0</v>
      </c>
    </row>
    <row r="216" ht="22.5" customHeight="1">
      <c r="A216" s="7" t="s">
        <v>449</v>
      </c>
      <c r="B216" s="8" t="s">
        <v>115</v>
      </c>
      <c r="C216" s="8" t="s">
        <v>27</v>
      </c>
      <c r="D216" s="8" t="s">
        <v>51</v>
      </c>
      <c r="E216" s="16" t="s">
        <v>422</v>
      </c>
      <c r="F216" s="8" t="s">
        <v>426</v>
      </c>
      <c r="G216" s="19"/>
      <c r="H216" s="18"/>
      <c r="I216" s="13">
        <v>12236.0</v>
      </c>
      <c r="J216" s="14" t="s">
        <v>53</v>
      </c>
      <c r="K216" s="8" t="s">
        <v>54</v>
      </c>
      <c r="L216" s="15">
        <v>1446880.0</v>
      </c>
      <c r="M216" s="15">
        <v>219.0</v>
      </c>
    </row>
    <row r="217" ht="22.5" customHeight="1">
      <c r="A217" s="7" t="s">
        <v>449</v>
      </c>
      <c r="B217" s="8">
        <v>4.0</v>
      </c>
      <c r="C217" s="8" t="s">
        <v>23</v>
      </c>
      <c r="D217" s="8" t="s">
        <v>55</v>
      </c>
      <c r="E217" s="16" t="s">
        <v>422</v>
      </c>
      <c r="F217" s="8" t="s">
        <v>426</v>
      </c>
      <c r="G217" s="19"/>
      <c r="H217" s="18"/>
      <c r="I217" s="13">
        <v>6363.0</v>
      </c>
      <c r="J217" s="14" t="s">
        <v>53</v>
      </c>
      <c r="K217" s="8" t="s">
        <v>54</v>
      </c>
      <c r="L217" s="15">
        <v>1709423.0</v>
      </c>
      <c r="M217" s="15">
        <v>191.0</v>
      </c>
    </row>
    <row r="218" ht="22.5" customHeight="1">
      <c r="A218" s="7" t="s">
        <v>398</v>
      </c>
      <c r="B218" s="8">
        <v>1.0</v>
      </c>
      <c r="C218" s="8" t="s">
        <v>23</v>
      </c>
      <c r="D218" s="8" t="s">
        <v>24</v>
      </c>
      <c r="E218" s="16" t="s">
        <v>422</v>
      </c>
      <c r="F218" s="8" t="s">
        <v>426</v>
      </c>
      <c r="G218" s="17"/>
      <c r="H218" s="18"/>
      <c r="I218" s="13">
        <v>2296.0</v>
      </c>
      <c r="J218" s="14" t="s">
        <v>20</v>
      </c>
      <c r="K218" s="8" t="s">
        <v>60</v>
      </c>
      <c r="L218" s="15">
        <v>5272833.0</v>
      </c>
      <c r="M218" s="15">
        <v>53.0</v>
      </c>
    </row>
    <row r="219" ht="22.5" customHeight="1">
      <c r="A219" s="7" t="s">
        <v>450</v>
      </c>
      <c r="B219" s="8" t="s">
        <v>300</v>
      </c>
      <c r="C219" s="8" t="s">
        <v>27</v>
      </c>
      <c r="D219" s="8" t="s">
        <v>94</v>
      </c>
      <c r="E219" s="16" t="s">
        <v>422</v>
      </c>
      <c r="F219" s="10"/>
      <c r="G219" s="19"/>
      <c r="H219" s="18"/>
      <c r="I219" s="13">
        <v>13629.0</v>
      </c>
      <c r="J219" s="14" t="s">
        <v>68</v>
      </c>
      <c r="K219" s="8" t="s">
        <v>298</v>
      </c>
      <c r="L219" s="15">
        <v>1712282.0</v>
      </c>
      <c r="M219" s="15">
        <v>189.0</v>
      </c>
    </row>
    <row r="220" ht="22.5" customHeight="1">
      <c r="A220" s="7" t="s">
        <v>56</v>
      </c>
      <c r="B220" s="8" t="s">
        <v>115</v>
      </c>
      <c r="C220" s="8" t="s">
        <v>27</v>
      </c>
      <c r="D220" s="8" t="s">
        <v>51</v>
      </c>
      <c r="E220" s="16" t="s">
        <v>422</v>
      </c>
      <c r="F220" s="10"/>
      <c r="G220" s="19"/>
      <c r="H220" s="18"/>
      <c r="I220" s="13">
        <v>12236.0</v>
      </c>
      <c r="J220" s="14" t="s">
        <v>53</v>
      </c>
      <c r="K220" s="8" t="s">
        <v>54</v>
      </c>
      <c r="L220" s="15">
        <v>1009389.0</v>
      </c>
      <c r="M220" s="15">
        <v>288.0</v>
      </c>
    </row>
    <row r="221" ht="22.5" customHeight="1">
      <c r="A221" s="7" t="s">
        <v>451</v>
      </c>
      <c r="B221" s="8" t="s">
        <v>78</v>
      </c>
      <c r="C221" s="8" t="s">
        <v>23</v>
      </c>
      <c r="D221" s="8" t="s">
        <v>75</v>
      </c>
      <c r="E221" s="16" t="s">
        <v>422</v>
      </c>
      <c r="F221" s="10"/>
      <c r="G221" s="19"/>
      <c r="H221" s="18"/>
      <c r="I221" s="13">
        <v>1792.0</v>
      </c>
      <c r="J221" s="14" t="s">
        <v>53</v>
      </c>
      <c r="K221" s="8" t="s">
        <v>452</v>
      </c>
      <c r="L221" s="15">
        <v>1045557.0</v>
      </c>
      <c r="M221" s="15">
        <v>286.0</v>
      </c>
    </row>
    <row r="222" ht="22.5" customHeight="1">
      <c r="A222" s="7" t="s">
        <v>453</v>
      </c>
      <c r="B222" s="8" t="s">
        <v>115</v>
      </c>
      <c r="C222" s="8" t="s">
        <v>27</v>
      </c>
      <c r="D222" s="8" t="s">
        <v>51</v>
      </c>
      <c r="E222" s="16" t="s">
        <v>422</v>
      </c>
      <c r="F222" s="10"/>
      <c r="G222" s="19"/>
      <c r="H222" s="18"/>
      <c r="I222" s="13">
        <v>12236.0</v>
      </c>
      <c r="J222" s="14" t="s">
        <v>53</v>
      </c>
      <c r="K222" s="8" t="s">
        <v>383</v>
      </c>
      <c r="L222" s="15">
        <v>790023.0</v>
      </c>
      <c r="M222" s="15">
        <v>330.0</v>
      </c>
    </row>
    <row r="223" ht="22.5" customHeight="1">
      <c r="A223" s="7" t="s">
        <v>454</v>
      </c>
      <c r="B223" s="8">
        <v>4.0</v>
      </c>
      <c r="C223" s="8" t="s">
        <v>23</v>
      </c>
      <c r="D223" s="8" t="s">
        <v>55</v>
      </c>
      <c r="E223" s="16" t="s">
        <v>422</v>
      </c>
      <c r="F223" s="10"/>
      <c r="G223" s="19"/>
      <c r="H223" s="18"/>
      <c r="I223" s="13">
        <v>6363.0</v>
      </c>
      <c r="J223" s="14" t="s">
        <v>53</v>
      </c>
      <c r="K223" s="8" t="s">
        <v>455</v>
      </c>
      <c r="L223" s="15">
        <v>1059310.0</v>
      </c>
      <c r="M223" s="15">
        <v>284.0</v>
      </c>
    </row>
    <row r="224" ht="22.5" customHeight="1">
      <c r="A224" s="7" t="s">
        <v>456</v>
      </c>
      <c r="B224" s="8" t="s">
        <v>300</v>
      </c>
      <c r="C224" s="8" t="s">
        <v>27</v>
      </c>
      <c r="D224" s="8" t="s">
        <v>126</v>
      </c>
      <c r="E224" s="16" t="s">
        <v>422</v>
      </c>
      <c r="F224" s="8" t="s">
        <v>426</v>
      </c>
      <c r="G224" s="19"/>
      <c r="H224" s="18"/>
      <c r="I224" s="13">
        <v>7015.0</v>
      </c>
      <c r="J224" s="14" t="s">
        <v>103</v>
      </c>
      <c r="K224" s="8" t="s">
        <v>114</v>
      </c>
      <c r="L224" s="15">
        <v>736233.0</v>
      </c>
      <c r="M224" s="15">
        <v>340.0</v>
      </c>
    </row>
    <row r="225" ht="22.5" customHeight="1">
      <c r="A225" s="7" t="s">
        <v>456</v>
      </c>
      <c r="B225" s="8" t="s">
        <v>110</v>
      </c>
      <c r="C225" s="8" t="s">
        <v>15</v>
      </c>
      <c r="D225" s="8" t="s">
        <v>111</v>
      </c>
      <c r="E225" s="16" t="s">
        <v>422</v>
      </c>
      <c r="F225" s="8" t="s">
        <v>426</v>
      </c>
      <c r="G225" s="19"/>
      <c r="H225" s="18"/>
      <c r="I225" s="13">
        <v>5652.0</v>
      </c>
      <c r="J225" s="14" t="s">
        <v>103</v>
      </c>
      <c r="K225" s="8" t="s">
        <v>165</v>
      </c>
      <c r="L225" s="15">
        <v>1145261.0</v>
      </c>
      <c r="M225" s="15">
        <v>269.0</v>
      </c>
    </row>
    <row r="226" ht="22.5" customHeight="1">
      <c r="A226" s="7" t="s">
        <v>456</v>
      </c>
      <c r="B226" s="8" t="s">
        <v>115</v>
      </c>
      <c r="C226" s="8" t="s">
        <v>15</v>
      </c>
      <c r="D226" s="8" t="s">
        <v>116</v>
      </c>
      <c r="E226" s="16" t="s">
        <v>422</v>
      </c>
      <c r="F226" s="8" t="s">
        <v>426</v>
      </c>
      <c r="G226" s="19"/>
      <c r="H226" s="18"/>
      <c r="I226" s="13">
        <v>6020.0</v>
      </c>
      <c r="J226" s="14" t="s">
        <v>103</v>
      </c>
      <c r="K226" s="8" t="s">
        <v>165</v>
      </c>
      <c r="L226" s="15">
        <v>1393300.0</v>
      </c>
      <c r="M226" s="15">
        <v>229.0</v>
      </c>
    </row>
    <row r="227" ht="22.5" customHeight="1">
      <c r="A227" s="7" t="s">
        <v>457</v>
      </c>
      <c r="B227" s="8">
        <v>1.0</v>
      </c>
      <c r="C227" s="8" t="s">
        <v>23</v>
      </c>
      <c r="D227" s="8" t="s">
        <v>24</v>
      </c>
      <c r="E227" s="16" t="s">
        <v>422</v>
      </c>
      <c r="F227" s="10"/>
      <c r="G227" s="19"/>
      <c r="H227" s="18"/>
      <c r="I227" s="13">
        <v>6757.0</v>
      </c>
      <c r="J227" s="14" t="s">
        <v>20</v>
      </c>
      <c r="K227" s="8" t="s">
        <v>44</v>
      </c>
      <c r="L227" s="15">
        <v>1786568.0</v>
      </c>
      <c r="M227" s="15">
        <v>178.0</v>
      </c>
    </row>
    <row r="228" ht="22.5" customHeight="1">
      <c r="A228" s="7" t="s">
        <v>61</v>
      </c>
      <c r="B228" s="8">
        <v>1.0</v>
      </c>
      <c r="C228" s="8" t="s">
        <v>23</v>
      </c>
      <c r="D228" s="8" t="s">
        <v>24</v>
      </c>
      <c r="E228" s="16" t="s">
        <v>422</v>
      </c>
      <c r="F228" s="8"/>
      <c r="G228" s="19"/>
      <c r="H228" s="18"/>
      <c r="I228" s="13">
        <v>2342.0</v>
      </c>
      <c r="J228" s="14" t="s">
        <v>20</v>
      </c>
      <c r="K228" s="8" t="s">
        <v>60</v>
      </c>
      <c r="L228" s="15">
        <v>2242135.0</v>
      </c>
      <c r="M228" s="15">
        <v>147.0</v>
      </c>
    </row>
    <row r="229" ht="22.5" customHeight="1">
      <c r="A229" s="7" t="s">
        <v>458</v>
      </c>
      <c r="B229" s="8" t="s">
        <v>115</v>
      </c>
      <c r="C229" s="8" t="s">
        <v>27</v>
      </c>
      <c r="D229" s="8" t="s">
        <v>51</v>
      </c>
      <c r="E229" s="16" t="s">
        <v>422</v>
      </c>
      <c r="F229" s="8" t="s">
        <v>426</v>
      </c>
      <c r="G229" s="19"/>
      <c r="H229" s="18"/>
      <c r="I229" s="13">
        <v>12236.0</v>
      </c>
      <c r="J229" s="14" t="s">
        <v>53</v>
      </c>
      <c r="K229" s="8" t="s">
        <v>318</v>
      </c>
      <c r="L229" s="15">
        <v>845033.0</v>
      </c>
      <c r="M229" s="15">
        <v>321.0</v>
      </c>
    </row>
    <row r="230" ht="22.5" customHeight="1">
      <c r="A230" s="7" t="s">
        <v>459</v>
      </c>
      <c r="B230" s="8">
        <v>4.0</v>
      </c>
      <c r="C230" s="8" t="s">
        <v>23</v>
      </c>
      <c r="D230" s="8" t="s">
        <v>55</v>
      </c>
      <c r="E230" s="16" t="s">
        <v>422</v>
      </c>
      <c r="F230" s="10"/>
      <c r="G230" s="19"/>
      <c r="H230" s="18"/>
      <c r="I230" s="13">
        <v>6363.0</v>
      </c>
      <c r="J230" s="14" t="s">
        <v>53</v>
      </c>
      <c r="K230" s="8" t="s">
        <v>253</v>
      </c>
      <c r="L230" s="15">
        <v>1077990.0</v>
      </c>
      <c r="M230" s="15">
        <v>280.0</v>
      </c>
    </row>
    <row r="231" ht="22.5" customHeight="1">
      <c r="A231" s="7" t="s">
        <v>460</v>
      </c>
      <c r="B231" s="8" t="s">
        <v>58</v>
      </c>
      <c r="C231" s="8" t="s">
        <v>27</v>
      </c>
      <c r="D231" s="8" t="s">
        <v>28</v>
      </c>
      <c r="E231" s="16" t="s">
        <v>422</v>
      </c>
      <c r="F231" s="8" t="s">
        <v>426</v>
      </c>
      <c r="G231" s="19"/>
      <c r="H231" s="18"/>
      <c r="I231" s="13">
        <v>11942.0</v>
      </c>
      <c r="J231" s="14" t="s">
        <v>20</v>
      </c>
      <c r="K231" s="8" t="s">
        <v>60</v>
      </c>
      <c r="L231" s="15">
        <v>992298.0</v>
      </c>
      <c r="M231" s="15">
        <v>292.0</v>
      </c>
    </row>
    <row r="232" ht="22.5" customHeight="1">
      <c r="A232" s="7" t="s">
        <v>461</v>
      </c>
      <c r="B232" s="8">
        <v>1.0</v>
      </c>
      <c r="C232" s="8" t="s">
        <v>23</v>
      </c>
      <c r="D232" s="8" t="s">
        <v>24</v>
      </c>
      <c r="E232" s="16" t="s">
        <v>422</v>
      </c>
      <c r="F232" s="8" t="s">
        <v>426</v>
      </c>
      <c r="G232" s="19"/>
      <c r="H232" s="18"/>
      <c r="I232" s="13">
        <v>4032.0</v>
      </c>
      <c r="J232" s="14" t="s">
        <v>20</v>
      </c>
      <c r="K232" s="8" t="s">
        <v>60</v>
      </c>
      <c r="L232" s="15">
        <v>1586212.0</v>
      </c>
      <c r="M232" s="15">
        <v>203.0</v>
      </c>
    </row>
    <row r="233" ht="22.5" customHeight="1">
      <c r="A233" s="7" t="s">
        <v>462</v>
      </c>
      <c r="B233" s="8" t="s">
        <v>300</v>
      </c>
      <c r="C233" s="8" t="s">
        <v>27</v>
      </c>
      <c r="D233" s="8" t="s">
        <v>43</v>
      </c>
      <c r="E233" s="16" t="s">
        <v>422</v>
      </c>
      <c r="F233" s="8" t="s">
        <v>426</v>
      </c>
      <c r="G233" s="19"/>
      <c r="H233" s="18"/>
      <c r="I233" s="13">
        <v>13150.0</v>
      </c>
      <c r="J233" s="14" t="s">
        <v>20</v>
      </c>
      <c r="K233" s="8" t="s">
        <v>21</v>
      </c>
      <c r="L233" s="15">
        <v>4241785.0</v>
      </c>
      <c r="M233" s="15">
        <v>67.0</v>
      </c>
    </row>
    <row r="234" ht="22.5" customHeight="1">
      <c r="A234" s="7" t="s">
        <v>463</v>
      </c>
      <c r="B234" s="8" t="s">
        <v>110</v>
      </c>
      <c r="C234" s="8" t="s">
        <v>15</v>
      </c>
      <c r="D234" s="8" t="s">
        <v>111</v>
      </c>
      <c r="E234" s="16" t="s">
        <v>422</v>
      </c>
      <c r="F234" s="10"/>
      <c r="G234" s="19"/>
      <c r="H234" s="18"/>
      <c r="I234" s="13">
        <v>5652.0</v>
      </c>
      <c r="J234" s="14" t="s">
        <v>103</v>
      </c>
      <c r="K234" s="8" t="s">
        <v>165</v>
      </c>
      <c r="L234" s="15">
        <v>998987.0</v>
      </c>
      <c r="M234" s="15">
        <v>290.0</v>
      </c>
    </row>
    <row r="235" ht="22.5" customHeight="1">
      <c r="A235" s="7" t="s">
        <v>463</v>
      </c>
      <c r="B235" s="8" t="s">
        <v>115</v>
      </c>
      <c r="C235" s="8" t="s">
        <v>15</v>
      </c>
      <c r="D235" s="8" t="s">
        <v>116</v>
      </c>
      <c r="E235" s="16" t="s">
        <v>422</v>
      </c>
      <c r="F235" s="10"/>
      <c r="G235" s="19"/>
      <c r="H235" s="18"/>
      <c r="I235" s="13">
        <v>6055.0</v>
      </c>
      <c r="J235" s="14" t="s">
        <v>103</v>
      </c>
      <c r="K235" s="8" t="s">
        <v>165</v>
      </c>
      <c r="L235" s="15">
        <v>1160317.0</v>
      </c>
      <c r="M235" s="15">
        <v>262.0</v>
      </c>
    </row>
    <row r="236" ht="22.5" customHeight="1">
      <c r="A236" s="7" t="s">
        <v>464</v>
      </c>
      <c r="B236" s="8" t="s">
        <v>215</v>
      </c>
      <c r="C236" s="8" t="s">
        <v>27</v>
      </c>
      <c r="D236" s="8" t="s">
        <v>216</v>
      </c>
      <c r="E236" s="16" t="s">
        <v>422</v>
      </c>
      <c r="F236" s="10"/>
      <c r="G236" s="19"/>
      <c r="H236" s="18"/>
      <c r="I236" s="13">
        <v>12285.0</v>
      </c>
      <c r="J236" s="14" t="s">
        <v>68</v>
      </c>
      <c r="K236" s="8" t="s">
        <v>69</v>
      </c>
      <c r="L236" s="15">
        <v>398927.0</v>
      </c>
      <c r="M236" s="15">
        <v>402.0</v>
      </c>
    </row>
    <row r="237" ht="22.5" customHeight="1">
      <c r="A237" s="7" t="s">
        <v>465</v>
      </c>
      <c r="B237" s="8">
        <v>1.0</v>
      </c>
      <c r="C237" s="8" t="s">
        <v>23</v>
      </c>
      <c r="D237" s="8" t="s">
        <v>24</v>
      </c>
      <c r="E237" s="16" t="s">
        <v>422</v>
      </c>
      <c r="F237" s="10"/>
      <c r="G237" s="19"/>
      <c r="H237" s="18"/>
      <c r="I237" s="13">
        <v>2263.0</v>
      </c>
      <c r="J237" s="14" t="s">
        <v>20</v>
      </c>
      <c r="K237" s="8" t="s">
        <v>64</v>
      </c>
      <c r="L237" s="15">
        <v>495736.0</v>
      </c>
      <c r="M237" s="15">
        <v>385.0</v>
      </c>
    </row>
    <row r="238" ht="22.5" customHeight="1">
      <c r="A238" s="7" t="s">
        <v>466</v>
      </c>
      <c r="B238" s="8">
        <v>2.0</v>
      </c>
      <c r="C238" s="8" t="s">
        <v>23</v>
      </c>
      <c r="D238" s="8" t="s">
        <v>75</v>
      </c>
      <c r="E238" s="16" t="s">
        <v>422</v>
      </c>
      <c r="F238" s="10"/>
      <c r="G238" s="19"/>
      <c r="H238" s="18"/>
      <c r="I238" s="13">
        <v>6272.0</v>
      </c>
      <c r="J238" s="14" t="s">
        <v>53</v>
      </c>
      <c r="K238" s="8" t="s">
        <v>287</v>
      </c>
      <c r="L238" s="15">
        <v>434397.0</v>
      </c>
      <c r="M238" s="15">
        <v>396.0</v>
      </c>
    </row>
    <row r="239" ht="22.5" customHeight="1">
      <c r="A239" s="7" t="s">
        <v>467</v>
      </c>
      <c r="B239" s="8">
        <v>2.0</v>
      </c>
      <c r="C239" s="8" t="s">
        <v>23</v>
      </c>
      <c r="D239" s="8" t="s">
        <v>75</v>
      </c>
      <c r="E239" s="16" t="s">
        <v>422</v>
      </c>
      <c r="F239" s="10"/>
      <c r="G239" s="19"/>
      <c r="H239" s="18"/>
      <c r="I239" s="13">
        <v>6300.0</v>
      </c>
      <c r="J239" s="14" t="s">
        <v>53</v>
      </c>
      <c r="K239" s="8" t="s">
        <v>287</v>
      </c>
      <c r="L239" s="15">
        <v>546645.0</v>
      </c>
      <c r="M239" s="15">
        <v>374.0</v>
      </c>
    </row>
    <row r="240" ht="22.5" customHeight="1">
      <c r="A240" s="7" t="s">
        <v>468</v>
      </c>
      <c r="B240" s="8" t="s">
        <v>199</v>
      </c>
      <c r="C240" s="8" t="s">
        <v>15</v>
      </c>
      <c r="D240" s="8" t="s">
        <v>39</v>
      </c>
      <c r="E240" s="16" t="s">
        <v>422</v>
      </c>
      <c r="F240" s="8" t="s">
        <v>426</v>
      </c>
      <c r="G240" s="19"/>
      <c r="H240" s="18"/>
      <c r="I240" s="13">
        <v>6580.0</v>
      </c>
      <c r="J240" s="14" t="s">
        <v>20</v>
      </c>
      <c r="K240" s="8" t="s">
        <v>469</v>
      </c>
      <c r="L240" s="15">
        <v>4517469.0</v>
      </c>
      <c r="M240" s="15">
        <v>65.0</v>
      </c>
    </row>
    <row r="241" ht="22.5" customHeight="1">
      <c r="A241" s="7" t="s">
        <v>468</v>
      </c>
      <c r="B241" s="8">
        <v>1.0</v>
      </c>
      <c r="C241" s="8" t="s">
        <v>23</v>
      </c>
      <c r="D241" s="8" t="s">
        <v>24</v>
      </c>
      <c r="E241" s="16" t="s">
        <v>422</v>
      </c>
      <c r="F241" s="8" t="s">
        <v>426</v>
      </c>
      <c r="G241" s="19"/>
      <c r="H241" s="18"/>
      <c r="I241" s="13">
        <v>6757.0</v>
      </c>
      <c r="J241" s="14" t="s">
        <v>20</v>
      </c>
      <c r="K241" s="8" t="s">
        <v>44</v>
      </c>
      <c r="L241" s="15">
        <v>3237445.0</v>
      </c>
      <c r="M241" s="15">
        <v>99.0</v>
      </c>
    </row>
    <row r="242" ht="22.5" customHeight="1">
      <c r="A242" s="7" t="s">
        <v>468</v>
      </c>
      <c r="B242" s="8" t="s">
        <v>405</v>
      </c>
      <c r="C242" s="8" t="s">
        <v>27</v>
      </c>
      <c r="D242" s="8" t="s">
        <v>28</v>
      </c>
      <c r="E242" s="16" t="s">
        <v>422</v>
      </c>
      <c r="F242" s="8" t="s">
        <v>426</v>
      </c>
      <c r="G242" s="19"/>
      <c r="H242" s="18"/>
      <c r="I242" s="13">
        <v>11942.0</v>
      </c>
      <c r="J242" s="14" t="s">
        <v>20</v>
      </c>
      <c r="K242" s="8" t="s">
        <v>44</v>
      </c>
      <c r="L242" s="15">
        <v>4927741.0</v>
      </c>
      <c r="M242" s="15">
        <v>59.0</v>
      </c>
    </row>
    <row r="243" ht="22.5" customHeight="1">
      <c r="A243" s="7" t="s">
        <v>468</v>
      </c>
      <c r="B243" s="8" t="s">
        <v>42</v>
      </c>
      <c r="C243" s="8" t="s">
        <v>27</v>
      </c>
      <c r="D243" s="8" t="s">
        <v>43</v>
      </c>
      <c r="E243" s="16" t="s">
        <v>422</v>
      </c>
      <c r="F243" s="8" t="s">
        <v>426</v>
      </c>
      <c r="G243" s="19"/>
      <c r="H243" s="18"/>
      <c r="I243" s="13">
        <v>14960.0</v>
      </c>
      <c r="J243" s="14" t="s">
        <v>20</v>
      </c>
      <c r="K243" s="8" t="s">
        <v>44</v>
      </c>
      <c r="L243" s="15">
        <v>5958666.0</v>
      </c>
      <c r="M243" s="15">
        <v>42.0</v>
      </c>
    </row>
    <row r="244" ht="22.5" customHeight="1">
      <c r="A244" s="7" t="s">
        <v>470</v>
      </c>
      <c r="B244" s="8">
        <v>1.0</v>
      </c>
      <c r="C244" s="8" t="s">
        <v>23</v>
      </c>
      <c r="D244" s="8" t="s">
        <v>24</v>
      </c>
      <c r="E244" s="16" t="s">
        <v>422</v>
      </c>
      <c r="F244" s="10"/>
      <c r="G244" s="19"/>
      <c r="H244" s="18"/>
      <c r="I244" s="13">
        <v>3136.0</v>
      </c>
      <c r="J244" s="14" t="s">
        <v>53</v>
      </c>
      <c r="K244" s="8" t="s">
        <v>73</v>
      </c>
      <c r="L244" s="15">
        <v>921050.0</v>
      </c>
      <c r="M244" s="15">
        <v>309.0</v>
      </c>
    </row>
    <row r="245" ht="22.5" customHeight="1">
      <c r="A245" s="7" t="s">
        <v>471</v>
      </c>
      <c r="B245" s="8" t="s">
        <v>115</v>
      </c>
      <c r="C245" s="8" t="s">
        <v>15</v>
      </c>
      <c r="D245" s="8" t="s">
        <v>116</v>
      </c>
      <c r="E245" s="16" t="s">
        <v>422</v>
      </c>
      <c r="F245" s="10"/>
      <c r="G245" s="19"/>
      <c r="H245" s="18"/>
      <c r="I245" s="13">
        <v>6055.0</v>
      </c>
      <c r="J245" s="14" t="s">
        <v>103</v>
      </c>
      <c r="K245" s="8" t="s">
        <v>165</v>
      </c>
      <c r="L245" s="15">
        <v>940080.0</v>
      </c>
      <c r="M245" s="15">
        <v>305.0</v>
      </c>
    </row>
    <row r="246" ht="22.5" customHeight="1">
      <c r="A246" s="7" t="s">
        <v>472</v>
      </c>
      <c r="B246" s="8" t="s">
        <v>134</v>
      </c>
      <c r="C246" s="8" t="s">
        <v>15</v>
      </c>
      <c r="D246" s="8" t="s">
        <v>100</v>
      </c>
      <c r="E246" s="16" t="s">
        <v>422</v>
      </c>
      <c r="F246" s="10"/>
      <c r="G246" s="19"/>
      <c r="H246" s="18"/>
      <c r="I246" s="13">
        <v>5652.0</v>
      </c>
      <c r="J246" s="14" t="s">
        <v>103</v>
      </c>
      <c r="K246" s="8" t="s">
        <v>473</v>
      </c>
      <c r="L246" s="15">
        <v>840187.0</v>
      </c>
      <c r="M246" s="15">
        <v>323.0</v>
      </c>
    </row>
    <row r="247" ht="22.5" customHeight="1">
      <c r="A247" s="7" t="s">
        <v>401</v>
      </c>
      <c r="B247" s="8" t="s">
        <v>199</v>
      </c>
      <c r="C247" s="8" t="s">
        <v>15</v>
      </c>
      <c r="D247" s="8" t="s">
        <v>39</v>
      </c>
      <c r="E247" s="16" t="s">
        <v>422</v>
      </c>
      <c r="F247" s="10"/>
      <c r="G247" s="19"/>
      <c r="H247" s="18"/>
      <c r="I247" s="13">
        <v>6580.0</v>
      </c>
      <c r="J247" s="14" t="s">
        <v>20</v>
      </c>
      <c r="K247" s="8" t="s">
        <v>82</v>
      </c>
      <c r="L247" s="15">
        <v>2982859.0</v>
      </c>
      <c r="M247" s="15">
        <v>110.0</v>
      </c>
    </row>
    <row r="248" ht="22.5" customHeight="1">
      <c r="A248" s="7" t="s">
        <v>401</v>
      </c>
      <c r="B248" s="8">
        <v>1.0</v>
      </c>
      <c r="C248" s="8" t="s">
        <v>23</v>
      </c>
      <c r="D248" s="8" t="s">
        <v>24</v>
      </c>
      <c r="E248" s="16" t="s">
        <v>422</v>
      </c>
      <c r="F248" s="10"/>
      <c r="G248" s="19"/>
      <c r="H248" s="18"/>
      <c r="I248" s="13">
        <v>6757.0</v>
      </c>
      <c r="J248" s="14" t="s">
        <v>20</v>
      </c>
      <c r="K248" s="8" t="s">
        <v>44</v>
      </c>
      <c r="L248" s="15">
        <v>3106290.0</v>
      </c>
      <c r="M248" s="15">
        <v>105.0</v>
      </c>
    </row>
    <row r="249" ht="22.5" customHeight="1">
      <c r="A249" s="7" t="s">
        <v>474</v>
      </c>
      <c r="B249" s="8" t="s">
        <v>14</v>
      </c>
      <c r="C249" s="8" t="s">
        <v>15</v>
      </c>
      <c r="D249" s="8" t="s">
        <v>16</v>
      </c>
      <c r="E249" s="16" t="s">
        <v>422</v>
      </c>
      <c r="F249" s="10"/>
      <c r="G249" s="19"/>
      <c r="H249" s="18"/>
      <c r="I249" s="13">
        <v>8948.0</v>
      </c>
      <c r="J249" s="14" t="s">
        <v>20</v>
      </c>
      <c r="K249" s="8" t="s">
        <v>21</v>
      </c>
      <c r="L249" s="15">
        <v>1721718.0</v>
      </c>
      <c r="M249" s="15">
        <v>187.0</v>
      </c>
    </row>
    <row r="250" ht="22.5" customHeight="1">
      <c r="A250" s="7" t="s">
        <v>475</v>
      </c>
      <c r="B250" s="8">
        <v>6.0</v>
      </c>
      <c r="C250" s="8" t="s">
        <v>23</v>
      </c>
      <c r="D250" s="8" t="s">
        <v>230</v>
      </c>
      <c r="E250" s="16" t="s">
        <v>422</v>
      </c>
      <c r="F250" s="8" t="s">
        <v>426</v>
      </c>
      <c r="G250" s="19"/>
      <c r="H250" s="18"/>
      <c r="I250" s="13">
        <v>6788.0</v>
      </c>
      <c r="J250" s="14" t="s">
        <v>53</v>
      </c>
      <c r="K250" s="8" t="s">
        <v>79</v>
      </c>
      <c r="L250" s="15">
        <v>1634603.0</v>
      </c>
      <c r="M250" s="15">
        <v>201.0</v>
      </c>
    </row>
    <row r="251" ht="22.5" customHeight="1">
      <c r="A251" s="7" t="s">
        <v>476</v>
      </c>
      <c r="B251" s="8" t="s">
        <v>150</v>
      </c>
      <c r="C251" s="8" t="s">
        <v>15</v>
      </c>
      <c r="D251" s="8" t="s">
        <v>151</v>
      </c>
      <c r="E251" s="16" t="s">
        <v>422</v>
      </c>
      <c r="F251" s="10"/>
      <c r="G251" s="19"/>
      <c r="H251" s="18"/>
      <c r="I251" s="13">
        <v>6242.0</v>
      </c>
      <c r="J251" s="14" t="s">
        <v>68</v>
      </c>
      <c r="K251" s="8" t="s">
        <v>153</v>
      </c>
      <c r="L251" s="15">
        <v>3112084.0</v>
      </c>
      <c r="M251" s="15">
        <v>104.0</v>
      </c>
    </row>
    <row r="252" ht="22.5" customHeight="1">
      <c r="A252" s="7" t="s">
        <v>477</v>
      </c>
      <c r="B252" s="8">
        <v>6.0</v>
      </c>
      <c r="C252" s="8" t="s">
        <v>23</v>
      </c>
      <c r="D252" s="8" t="s">
        <v>32</v>
      </c>
      <c r="E252" s="16" t="s">
        <v>422</v>
      </c>
      <c r="F252" s="10"/>
      <c r="G252" s="19"/>
      <c r="H252" s="18"/>
      <c r="I252" s="13">
        <v>1762.0</v>
      </c>
      <c r="J252" s="14" t="s">
        <v>20</v>
      </c>
      <c r="K252" s="8" t="s">
        <v>478</v>
      </c>
      <c r="L252" s="15">
        <v>6166420.0</v>
      </c>
      <c r="M252" s="15">
        <v>37.0</v>
      </c>
    </row>
    <row r="253" ht="22.5" customHeight="1">
      <c r="A253" s="7" t="s">
        <v>479</v>
      </c>
      <c r="B253" s="8">
        <v>7.0</v>
      </c>
      <c r="C253" s="8" t="s">
        <v>23</v>
      </c>
      <c r="D253" s="8" t="s">
        <v>85</v>
      </c>
      <c r="E253" s="16" t="s">
        <v>422</v>
      </c>
      <c r="F253" s="8" t="s">
        <v>426</v>
      </c>
      <c r="G253" s="19"/>
      <c r="H253" s="18"/>
      <c r="I253" s="13">
        <v>6321.0</v>
      </c>
      <c r="J253" s="14" t="s">
        <v>68</v>
      </c>
      <c r="K253" s="8" t="s">
        <v>480</v>
      </c>
      <c r="L253" s="15">
        <v>1703545.0</v>
      </c>
      <c r="M253" s="15">
        <v>193.0</v>
      </c>
    </row>
    <row r="254" ht="22.5" customHeight="1">
      <c r="A254" s="7" t="s">
        <v>481</v>
      </c>
      <c r="B254" s="8" t="s">
        <v>150</v>
      </c>
      <c r="C254" s="8" t="s">
        <v>15</v>
      </c>
      <c r="D254" s="8" t="s">
        <v>151</v>
      </c>
      <c r="E254" s="16" t="s">
        <v>422</v>
      </c>
      <c r="F254" s="10"/>
      <c r="G254" s="19"/>
      <c r="H254" s="18"/>
      <c r="I254" s="13">
        <v>6242.0</v>
      </c>
      <c r="J254" s="14" t="s">
        <v>68</v>
      </c>
      <c r="K254" s="8" t="s">
        <v>153</v>
      </c>
      <c r="L254" s="15">
        <v>1520104.0</v>
      </c>
      <c r="M254" s="15">
        <v>211.0</v>
      </c>
    </row>
    <row r="255" ht="22.5" customHeight="1">
      <c r="A255" s="7" t="s">
        <v>482</v>
      </c>
      <c r="B255" s="8" t="s">
        <v>159</v>
      </c>
      <c r="C255" s="8" t="s">
        <v>15</v>
      </c>
      <c r="D255" s="8" t="s">
        <v>100</v>
      </c>
      <c r="E255" s="16" t="s">
        <v>422</v>
      </c>
      <c r="F255" s="8" t="s">
        <v>426</v>
      </c>
      <c r="G255" s="19"/>
      <c r="H255" s="18"/>
      <c r="I255" s="13">
        <v>5652.0</v>
      </c>
      <c r="J255" s="14" t="s">
        <v>103</v>
      </c>
      <c r="K255" s="8" t="s">
        <v>104</v>
      </c>
      <c r="L255" s="15">
        <v>3587714.0</v>
      </c>
      <c r="M255" s="15">
        <v>93.0</v>
      </c>
    </row>
    <row r="256" ht="22.5" customHeight="1">
      <c r="A256" s="7" t="s">
        <v>482</v>
      </c>
      <c r="B256" s="8" t="s">
        <v>483</v>
      </c>
      <c r="C256" s="8" t="s">
        <v>27</v>
      </c>
      <c r="D256" s="8" t="s">
        <v>94</v>
      </c>
      <c r="E256" s="16" t="s">
        <v>422</v>
      </c>
      <c r="F256" s="8" t="s">
        <v>426</v>
      </c>
      <c r="G256" s="19"/>
      <c r="H256" s="18"/>
      <c r="I256" s="13">
        <v>12285.0</v>
      </c>
      <c r="J256" s="14" t="s">
        <v>68</v>
      </c>
      <c r="K256" s="8" t="s">
        <v>69</v>
      </c>
      <c r="L256" s="15">
        <v>766587.0</v>
      </c>
      <c r="M256" s="15">
        <v>335.0</v>
      </c>
    </row>
    <row r="257" ht="22.5" customHeight="1">
      <c r="A257" s="7" t="s">
        <v>484</v>
      </c>
      <c r="B257" s="8" t="s">
        <v>150</v>
      </c>
      <c r="C257" s="8" t="s">
        <v>15</v>
      </c>
      <c r="D257" s="8" t="s">
        <v>151</v>
      </c>
      <c r="E257" s="16" t="s">
        <v>422</v>
      </c>
      <c r="F257" s="10"/>
      <c r="G257" s="19"/>
      <c r="H257" s="18"/>
      <c r="I257" s="13">
        <v>6242.0</v>
      </c>
      <c r="J257" s="14" t="s">
        <v>68</v>
      </c>
      <c r="K257" s="8" t="s">
        <v>69</v>
      </c>
      <c r="L257" s="15">
        <v>873251.0</v>
      </c>
      <c r="M257" s="15">
        <v>320.0</v>
      </c>
    </row>
    <row r="258" ht="22.5" customHeight="1">
      <c r="A258" s="7" t="s">
        <v>485</v>
      </c>
      <c r="B258" s="8" t="s">
        <v>125</v>
      </c>
      <c r="C258" s="8" t="s">
        <v>27</v>
      </c>
      <c r="D258" s="8" t="s">
        <v>126</v>
      </c>
      <c r="E258" s="16" t="s">
        <v>422</v>
      </c>
      <c r="F258" s="8" t="s">
        <v>426</v>
      </c>
      <c r="G258" s="19"/>
      <c r="H258" s="18"/>
      <c r="I258" s="13">
        <v>12334.0</v>
      </c>
      <c r="J258" s="14" t="s">
        <v>103</v>
      </c>
      <c r="K258" s="8" t="s">
        <v>124</v>
      </c>
      <c r="L258" s="15">
        <v>2904247.0</v>
      </c>
      <c r="M258" s="15">
        <v>114.0</v>
      </c>
    </row>
    <row r="259" ht="22.5" customHeight="1">
      <c r="A259" s="7" t="s">
        <v>485</v>
      </c>
      <c r="B259" s="8" t="s">
        <v>134</v>
      </c>
      <c r="C259" s="8" t="s">
        <v>15</v>
      </c>
      <c r="D259" s="8" t="s">
        <v>100</v>
      </c>
      <c r="E259" s="16" t="s">
        <v>422</v>
      </c>
      <c r="F259" s="8" t="s">
        <v>426</v>
      </c>
      <c r="G259" s="19"/>
      <c r="H259" s="18"/>
      <c r="I259" s="13">
        <v>5652.0</v>
      </c>
      <c r="J259" s="14" t="s">
        <v>103</v>
      </c>
      <c r="K259" s="8" t="s">
        <v>124</v>
      </c>
      <c r="L259" s="15">
        <v>2904247.0</v>
      </c>
      <c r="M259" s="15">
        <v>114.0</v>
      </c>
    </row>
    <row r="260" ht="22.5" customHeight="1">
      <c r="A260" s="7" t="s">
        <v>486</v>
      </c>
      <c r="B260" s="8">
        <v>7.0</v>
      </c>
      <c r="C260" s="8" t="s">
        <v>23</v>
      </c>
      <c r="D260" s="8" t="s">
        <v>85</v>
      </c>
      <c r="E260" s="16" t="s">
        <v>422</v>
      </c>
      <c r="F260" s="10"/>
      <c r="G260" s="19"/>
      <c r="H260" s="18"/>
      <c r="I260" s="13">
        <v>6321.0</v>
      </c>
      <c r="J260" s="14" t="s">
        <v>68</v>
      </c>
      <c r="K260" s="8" t="s">
        <v>480</v>
      </c>
      <c r="L260" s="15">
        <v>2195905.0</v>
      </c>
      <c r="M260" s="15">
        <v>152.0</v>
      </c>
    </row>
    <row r="261" ht="22.5" customHeight="1">
      <c r="A261" s="7" t="s">
        <v>487</v>
      </c>
      <c r="B261" s="8" t="s">
        <v>83</v>
      </c>
      <c r="C261" s="8" t="s">
        <v>27</v>
      </c>
      <c r="D261" s="8" t="s">
        <v>43</v>
      </c>
      <c r="E261" s="16" t="s">
        <v>422</v>
      </c>
      <c r="F261" s="8" t="s">
        <v>426</v>
      </c>
      <c r="G261" s="19"/>
      <c r="H261" s="18"/>
      <c r="I261" s="13">
        <v>14960.0</v>
      </c>
      <c r="J261" s="14" t="s">
        <v>20</v>
      </c>
      <c r="K261" s="8" t="s">
        <v>82</v>
      </c>
      <c r="L261" s="15">
        <v>5.7743486E7</v>
      </c>
      <c r="M261" s="15">
        <v>1.0</v>
      </c>
    </row>
    <row r="262" ht="22.5" customHeight="1">
      <c r="A262" s="7" t="s">
        <v>488</v>
      </c>
      <c r="B262" s="8">
        <v>7.0</v>
      </c>
      <c r="C262" s="8" t="s">
        <v>23</v>
      </c>
      <c r="D262" s="8" t="s">
        <v>85</v>
      </c>
      <c r="E262" s="16" t="s">
        <v>422</v>
      </c>
      <c r="F262" s="8" t="s">
        <v>426</v>
      </c>
      <c r="G262" s="19"/>
      <c r="H262" s="18"/>
      <c r="I262" s="13">
        <v>9578.0</v>
      </c>
      <c r="J262" s="14" t="s">
        <v>20</v>
      </c>
      <c r="K262" s="8" t="s">
        <v>82</v>
      </c>
      <c r="L262" s="15">
        <v>5.7743486E7</v>
      </c>
      <c r="M262" s="15">
        <v>1.0</v>
      </c>
    </row>
    <row r="263" ht="22.5" customHeight="1">
      <c r="A263" s="7" t="s">
        <v>489</v>
      </c>
      <c r="B263" s="8" t="s">
        <v>134</v>
      </c>
      <c r="C263" s="8" t="s">
        <v>15</v>
      </c>
      <c r="D263" s="8" t="s">
        <v>100</v>
      </c>
      <c r="E263" s="16" t="s">
        <v>422</v>
      </c>
      <c r="F263" s="10"/>
      <c r="G263" s="19"/>
      <c r="H263" s="18"/>
      <c r="I263" s="13">
        <v>5744.0</v>
      </c>
      <c r="J263" s="14" t="s">
        <v>103</v>
      </c>
      <c r="K263" s="8" t="s">
        <v>104</v>
      </c>
      <c r="L263" s="15">
        <v>1759462.0</v>
      </c>
      <c r="M263" s="15">
        <v>183.0</v>
      </c>
    </row>
    <row r="264" ht="22.5" customHeight="1">
      <c r="A264" s="7" t="s">
        <v>490</v>
      </c>
      <c r="B264" s="8" t="s">
        <v>483</v>
      </c>
      <c r="C264" s="8" t="s">
        <v>27</v>
      </c>
      <c r="D264" s="8" t="s">
        <v>94</v>
      </c>
      <c r="E264" s="16" t="s">
        <v>422</v>
      </c>
      <c r="F264" s="10"/>
      <c r="G264" s="19"/>
      <c r="H264" s="18"/>
      <c r="I264" s="13">
        <v>12285.0</v>
      </c>
      <c r="J264" s="14" t="s">
        <v>68</v>
      </c>
      <c r="K264" s="8" t="s">
        <v>153</v>
      </c>
      <c r="L264" s="15">
        <v>1600276.0</v>
      </c>
      <c r="M264" s="15">
        <v>202.0</v>
      </c>
    </row>
    <row r="265" ht="22.5" customHeight="1">
      <c r="A265" s="7" t="s">
        <v>491</v>
      </c>
      <c r="B265" s="8">
        <v>7.0</v>
      </c>
      <c r="C265" s="8" t="s">
        <v>23</v>
      </c>
      <c r="D265" s="8" t="s">
        <v>85</v>
      </c>
      <c r="E265" s="16" t="s">
        <v>422</v>
      </c>
      <c r="F265" s="8" t="s">
        <v>426</v>
      </c>
      <c r="G265" s="19"/>
      <c r="H265" s="18"/>
      <c r="I265" s="13">
        <v>6321.0</v>
      </c>
      <c r="J265" s="14" t="s">
        <v>68</v>
      </c>
      <c r="K265" s="8" t="s">
        <v>480</v>
      </c>
      <c r="L265" s="15">
        <v>2866397.0</v>
      </c>
      <c r="M265" s="15">
        <v>119.0</v>
      </c>
    </row>
    <row r="266" ht="22.5" customHeight="1">
      <c r="A266" s="7" t="s">
        <v>492</v>
      </c>
      <c r="B266" s="8" t="s">
        <v>323</v>
      </c>
      <c r="C266" s="8" t="s">
        <v>15</v>
      </c>
      <c r="D266" s="8" t="s">
        <v>39</v>
      </c>
      <c r="E266" s="16" t="s">
        <v>422</v>
      </c>
      <c r="F266" s="10"/>
      <c r="G266" s="19"/>
      <c r="H266" s="18"/>
      <c r="I266" s="13">
        <v>7184.0</v>
      </c>
      <c r="J266" s="14" t="s">
        <v>20</v>
      </c>
      <c r="K266" s="8" t="s">
        <v>82</v>
      </c>
      <c r="L266" s="15">
        <v>3829606.0</v>
      </c>
      <c r="M266" s="15">
        <v>82.0</v>
      </c>
    </row>
    <row r="267" ht="22.5" customHeight="1">
      <c r="A267" s="7" t="s">
        <v>404</v>
      </c>
      <c r="B267" s="8">
        <v>1.0</v>
      </c>
      <c r="C267" s="8" t="s">
        <v>23</v>
      </c>
      <c r="D267" s="8" t="s">
        <v>24</v>
      </c>
      <c r="E267" s="16" t="s">
        <v>422</v>
      </c>
      <c r="F267" s="10"/>
      <c r="G267" s="19"/>
      <c r="H267" s="18"/>
      <c r="I267" s="13">
        <v>1762.0</v>
      </c>
      <c r="J267" s="14" t="s">
        <v>20</v>
      </c>
      <c r="K267" s="8" t="s">
        <v>82</v>
      </c>
      <c r="L267" s="15">
        <v>5434523.0</v>
      </c>
      <c r="M267" s="15">
        <v>50.0</v>
      </c>
    </row>
    <row r="268" ht="22.5" customHeight="1">
      <c r="A268" s="7" t="s">
        <v>404</v>
      </c>
      <c r="B268" s="8" t="s">
        <v>115</v>
      </c>
      <c r="C268" s="8" t="s">
        <v>15</v>
      </c>
      <c r="D268" s="8" t="s">
        <v>116</v>
      </c>
      <c r="E268" s="16" t="s">
        <v>422</v>
      </c>
      <c r="F268" s="10"/>
      <c r="G268" s="19"/>
      <c r="H268" s="18"/>
      <c r="I268" s="13">
        <v>6020.0</v>
      </c>
      <c r="J268" s="14" t="s">
        <v>103</v>
      </c>
      <c r="K268" s="8" t="s">
        <v>114</v>
      </c>
      <c r="L268" s="15">
        <v>767871.0</v>
      </c>
      <c r="M268" s="15">
        <v>334.0</v>
      </c>
    </row>
    <row r="269" ht="22.5" customHeight="1">
      <c r="A269" s="7" t="s">
        <v>493</v>
      </c>
      <c r="B269" s="8">
        <v>7.0</v>
      </c>
      <c r="C269" s="8" t="s">
        <v>23</v>
      </c>
      <c r="D269" s="8" t="s">
        <v>85</v>
      </c>
      <c r="E269" s="16" t="s">
        <v>422</v>
      </c>
      <c r="F269" s="10"/>
      <c r="G269" s="19"/>
      <c r="H269" s="18"/>
      <c r="I269" s="13">
        <v>6321.0</v>
      </c>
      <c r="J269" s="14" t="s">
        <v>68</v>
      </c>
      <c r="K269" s="8" t="s">
        <v>108</v>
      </c>
      <c r="L269" s="15">
        <v>1479311.0</v>
      </c>
      <c r="M269" s="15">
        <v>215.0</v>
      </c>
    </row>
    <row r="270" ht="22.5" customHeight="1">
      <c r="A270" s="7" t="s">
        <v>494</v>
      </c>
      <c r="B270" s="8" t="s">
        <v>134</v>
      </c>
      <c r="C270" s="8" t="s">
        <v>15</v>
      </c>
      <c r="D270" s="8" t="s">
        <v>100</v>
      </c>
      <c r="E270" s="16" t="s">
        <v>422</v>
      </c>
      <c r="F270" s="8" t="s">
        <v>426</v>
      </c>
      <c r="G270" s="19"/>
      <c r="H270" s="18"/>
      <c r="I270" s="13">
        <v>5744.0</v>
      </c>
      <c r="J270" s="14" t="s">
        <v>103</v>
      </c>
      <c r="K270" s="8" t="s">
        <v>104</v>
      </c>
      <c r="L270" s="15">
        <v>1962996.0</v>
      </c>
      <c r="M270" s="15">
        <v>166.0</v>
      </c>
    </row>
    <row r="271" ht="22.5" customHeight="1">
      <c r="A271" s="7" t="s">
        <v>495</v>
      </c>
      <c r="B271" s="8" t="s">
        <v>115</v>
      </c>
      <c r="C271" s="8" t="s">
        <v>15</v>
      </c>
      <c r="D271" s="8" t="s">
        <v>116</v>
      </c>
      <c r="E271" s="16" t="s">
        <v>422</v>
      </c>
      <c r="F271" s="10"/>
      <c r="G271" s="19"/>
      <c r="H271" s="18"/>
      <c r="I271" s="13">
        <v>6020.0</v>
      </c>
      <c r="J271" s="14" t="s">
        <v>103</v>
      </c>
      <c r="K271" s="8" t="s">
        <v>114</v>
      </c>
      <c r="L271" s="15">
        <v>423359.0</v>
      </c>
      <c r="M271" s="15">
        <v>398.0</v>
      </c>
    </row>
    <row r="272" ht="22.5" customHeight="1">
      <c r="A272" s="7" t="s">
        <v>496</v>
      </c>
      <c r="B272" s="8" t="s">
        <v>66</v>
      </c>
      <c r="C272" s="8" t="s">
        <v>27</v>
      </c>
      <c r="D272" s="8" t="s">
        <v>43</v>
      </c>
      <c r="E272" s="16" t="s">
        <v>422</v>
      </c>
      <c r="F272" s="10"/>
      <c r="G272" s="19"/>
      <c r="H272" s="18"/>
      <c r="I272" s="13">
        <v>25020.0</v>
      </c>
      <c r="J272" s="14" t="s">
        <v>20</v>
      </c>
      <c r="K272" s="8" t="s">
        <v>82</v>
      </c>
      <c r="L272" s="15">
        <v>3002045.0</v>
      </c>
      <c r="M272" s="15">
        <v>109.0</v>
      </c>
    </row>
    <row r="273" ht="22.5" customHeight="1">
      <c r="A273" s="7" t="s">
        <v>497</v>
      </c>
      <c r="B273" s="8" t="s">
        <v>483</v>
      </c>
      <c r="C273" s="8" t="s">
        <v>27</v>
      </c>
      <c r="D273" s="8" t="s">
        <v>94</v>
      </c>
      <c r="E273" s="16" t="s">
        <v>422</v>
      </c>
      <c r="F273" s="8" t="s">
        <v>426</v>
      </c>
      <c r="G273" s="19"/>
      <c r="H273" s="18"/>
      <c r="I273" s="13">
        <v>13515.0</v>
      </c>
      <c r="J273" s="14" t="s">
        <v>68</v>
      </c>
      <c r="K273" s="8" t="s">
        <v>498</v>
      </c>
      <c r="L273" s="15">
        <v>3021133.0</v>
      </c>
      <c r="M273" s="15">
        <v>107.0</v>
      </c>
    </row>
    <row r="274" ht="22.5" customHeight="1">
      <c r="A274" s="7" t="s">
        <v>499</v>
      </c>
      <c r="B274" s="8" t="s">
        <v>483</v>
      </c>
      <c r="C274" s="8" t="s">
        <v>27</v>
      </c>
      <c r="D274" s="8" t="s">
        <v>94</v>
      </c>
      <c r="E274" s="16" t="s">
        <v>422</v>
      </c>
      <c r="F274" s="10"/>
      <c r="G274" s="19"/>
      <c r="H274" s="18"/>
      <c r="I274" s="13">
        <v>12285.0</v>
      </c>
      <c r="J274" s="14" t="s">
        <v>68</v>
      </c>
      <c r="K274" s="8" t="s">
        <v>108</v>
      </c>
      <c r="L274" s="15">
        <v>773797.0</v>
      </c>
      <c r="M274" s="15">
        <v>333.0</v>
      </c>
    </row>
    <row r="275" ht="22.5" customHeight="1">
      <c r="A275" s="7" t="s">
        <v>500</v>
      </c>
      <c r="B275" s="8" t="s">
        <v>483</v>
      </c>
      <c r="C275" s="8" t="s">
        <v>27</v>
      </c>
      <c r="D275" s="8" t="s">
        <v>94</v>
      </c>
      <c r="E275" s="16" t="s">
        <v>422</v>
      </c>
      <c r="F275" s="10"/>
      <c r="G275" s="19"/>
      <c r="H275" s="18"/>
      <c r="I275" s="13">
        <v>13515.0</v>
      </c>
      <c r="J275" s="14" t="s">
        <v>68</v>
      </c>
      <c r="K275" s="8" t="s">
        <v>256</v>
      </c>
      <c r="L275" s="15">
        <v>1708800.0</v>
      </c>
      <c r="M275" s="15">
        <v>192.0</v>
      </c>
    </row>
    <row r="276" ht="22.5" customHeight="1">
      <c r="A276" s="7" t="s">
        <v>501</v>
      </c>
      <c r="B276" s="8">
        <v>7.0</v>
      </c>
      <c r="C276" s="8" t="s">
        <v>23</v>
      </c>
      <c r="D276" s="8" t="s">
        <v>85</v>
      </c>
      <c r="E276" s="16" t="s">
        <v>422</v>
      </c>
      <c r="F276" s="10"/>
      <c r="G276" s="19"/>
      <c r="H276" s="18"/>
      <c r="I276" s="13">
        <v>6321.0</v>
      </c>
      <c r="J276" s="14" t="s">
        <v>68</v>
      </c>
      <c r="K276" s="8" t="s">
        <v>108</v>
      </c>
      <c r="L276" s="15">
        <v>1440517.0</v>
      </c>
      <c r="M276" s="15">
        <v>222.0</v>
      </c>
    </row>
    <row r="277" ht="22.5" customHeight="1">
      <c r="A277" s="7" t="s">
        <v>121</v>
      </c>
      <c r="B277" s="8" t="s">
        <v>502</v>
      </c>
      <c r="C277" s="8" t="s">
        <v>27</v>
      </c>
      <c r="D277" s="8" t="s">
        <v>503</v>
      </c>
      <c r="E277" s="16" t="s">
        <v>422</v>
      </c>
      <c r="F277" s="8" t="s">
        <v>426</v>
      </c>
      <c r="G277" s="19"/>
      <c r="H277" s="18"/>
      <c r="I277" s="13">
        <v>12285.0</v>
      </c>
      <c r="J277" s="14" t="s">
        <v>20</v>
      </c>
      <c r="K277" s="8" t="s">
        <v>82</v>
      </c>
      <c r="L277" s="15">
        <v>4291303.0</v>
      </c>
      <c r="M277" s="15">
        <v>66.0</v>
      </c>
    </row>
    <row r="278" ht="22.5" customHeight="1">
      <c r="A278" s="7" t="s">
        <v>504</v>
      </c>
      <c r="B278" s="8" t="s">
        <v>115</v>
      </c>
      <c r="C278" s="8" t="s">
        <v>15</v>
      </c>
      <c r="D278" s="8" t="s">
        <v>116</v>
      </c>
      <c r="E278" s="16" t="s">
        <v>422</v>
      </c>
      <c r="F278" s="10"/>
      <c r="G278" s="19"/>
      <c r="H278" s="18"/>
      <c r="I278" s="13">
        <v>6020.0</v>
      </c>
      <c r="J278" s="14" t="s">
        <v>103</v>
      </c>
      <c r="K278" s="8" t="s">
        <v>165</v>
      </c>
      <c r="L278" s="15">
        <v>1107830.0</v>
      </c>
      <c r="M278" s="15">
        <v>275.0</v>
      </c>
    </row>
    <row r="279" ht="22.5" customHeight="1">
      <c r="A279" s="7" t="s">
        <v>127</v>
      </c>
      <c r="B279" s="8" t="s">
        <v>427</v>
      </c>
      <c r="C279" s="8" t="s">
        <v>27</v>
      </c>
      <c r="D279" s="8" t="s">
        <v>28</v>
      </c>
      <c r="E279" s="16" t="s">
        <v>422</v>
      </c>
      <c r="F279" s="10"/>
      <c r="G279" s="19"/>
      <c r="H279" s="18"/>
      <c r="I279" s="13">
        <v>11942.0</v>
      </c>
      <c r="J279" s="14" t="s">
        <v>20</v>
      </c>
      <c r="K279" s="8" t="s">
        <v>118</v>
      </c>
      <c r="L279" s="15">
        <v>2651985.0</v>
      </c>
      <c r="M279" s="15">
        <v>133.0</v>
      </c>
    </row>
    <row r="280" ht="22.5" customHeight="1">
      <c r="A280" s="7" t="s">
        <v>505</v>
      </c>
      <c r="B280" s="8" t="s">
        <v>300</v>
      </c>
      <c r="C280" s="8" t="s">
        <v>27</v>
      </c>
      <c r="D280" s="8" t="s">
        <v>94</v>
      </c>
      <c r="E280" s="16" t="s">
        <v>422</v>
      </c>
      <c r="F280" s="10"/>
      <c r="G280" s="19"/>
      <c r="H280" s="18"/>
      <c r="I280" s="13">
        <v>13515.0</v>
      </c>
      <c r="J280" s="14" t="s">
        <v>68</v>
      </c>
      <c r="K280" s="8" t="s">
        <v>256</v>
      </c>
      <c r="L280" s="15">
        <v>745630.0</v>
      </c>
      <c r="M280" s="15">
        <v>339.0</v>
      </c>
    </row>
    <row r="281" ht="22.5" customHeight="1">
      <c r="A281" s="7" t="s">
        <v>506</v>
      </c>
      <c r="B281" s="8" t="s">
        <v>191</v>
      </c>
      <c r="C281" s="8" t="s">
        <v>15</v>
      </c>
      <c r="D281" s="8" t="s">
        <v>248</v>
      </c>
      <c r="E281" s="16" t="s">
        <v>422</v>
      </c>
      <c r="F281" s="10"/>
      <c r="G281" s="19"/>
      <c r="H281" s="18"/>
      <c r="I281" s="13">
        <v>6358.0</v>
      </c>
      <c r="J281" s="14" t="s">
        <v>68</v>
      </c>
      <c r="K281" s="8" t="s">
        <v>393</v>
      </c>
      <c r="L281" s="15">
        <v>450062.0</v>
      </c>
      <c r="M281" s="15">
        <v>395.0</v>
      </c>
    </row>
    <row r="282" ht="22.5" customHeight="1">
      <c r="A282" s="7" t="s">
        <v>507</v>
      </c>
      <c r="B282" s="8" t="s">
        <v>134</v>
      </c>
      <c r="C282" s="8" t="s">
        <v>15</v>
      </c>
      <c r="D282" s="8" t="s">
        <v>100</v>
      </c>
      <c r="E282" s="16" t="s">
        <v>422</v>
      </c>
      <c r="F282" s="10"/>
      <c r="G282" s="19"/>
      <c r="H282" s="18"/>
      <c r="I282" s="13">
        <v>5859.0</v>
      </c>
      <c r="J282" s="14" t="s">
        <v>103</v>
      </c>
      <c r="K282" s="8" t="s">
        <v>137</v>
      </c>
      <c r="L282" s="15">
        <v>1221923.0</v>
      </c>
      <c r="M282" s="15">
        <v>250.0</v>
      </c>
    </row>
    <row r="283" ht="22.5" customHeight="1">
      <c r="A283" s="7" t="s">
        <v>507</v>
      </c>
      <c r="B283" s="8">
        <v>6.0</v>
      </c>
      <c r="C283" s="8" t="s">
        <v>23</v>
      </c>
      <c r="D283" s="8" t="s">
        <v>32</v>
      </c>
      <c r="E283" s="16" t="s">
        <v>422</v>
      </c>
      <c r="F283" s="10"/>
      <c r="G283" s="19"/>
      <c r="H283" s="18"/>
      <c r="I283" s="13">
        <v>6773.0</v>
      </c>
      <c r="J283" s="14" t="s">
        <v>20</v>
      </c>
      <c r="K283" s="8" t="s">
        <v>120</v>
      </c>
      <c r="L283" s="15">
        <v>6445043.0</v>
      </c>
      <c r="M283" s="15">
        <v>33.0</v>
      </c>
    </row>
    <row r="284" ht="22.5" customHeight="1">
      <c r="A284" s="7" t="s">
        <v>508</v>
      </c>
      <c r="B284" s="8">
        <v>1.0</v>
      </c>
      <c r="C284" s="8" t="s">
        <v>23</v>
      </c>
      <c r="D284" s="8" t="s">
        <v>24</v>
      </c>
      <c r="E284" s="16" t="s">
        <v>422</v>
      </c>
      <c r="F284" s="10"/>
      <c r="G284" s="19"/>
      <c r="H284" s="18"/>
      <c r="I284" s="13">
        <v>1762.0</v>
      </c>
      <c r="J284" s="14" t="s">
        <v>20</v>
      </c>
      <c r="K284" s="8" t="s">
        <v>118</v>
      </c>
      <c r="L284" s="15">
        <v>3207507.0</v>
      </c>
      <c r="M284" s="15">
        <v>102.0</v>
      </c>
    </row>
    <row r="285" ht="22.5" customHeight="1">
      <c r="A285" s="7" t="s">
        <v>508</v>
      </c>
      <c r="B285" s="8" t="s">
        <v>115</v>
      </c>
      <c r="C285" s="8" t="s">
        <v>15</v>
      </c>
      <c r="D285" s="8" t="s">
        <v>116</v>
      </c>
      <c r="E285" s="16" t="s">
        <v>422</v>
      </c>
      <c r="F285" s="10"/>
      <c r="G285" s="19"/>
      <c r="H285" s="18"/>
      <c r="I285" s="13">
        <v>6020.0</v>
      </c>
      <c r="J285" s="14" t="s">
        <v>103</v>
      </c>
      <c r="K285" s="8" t="s">
        <v>165</v>
      </c>
      <c r="L285" s="15">
        <v>1437533.0</v>
      </c>
      <c r="M285" s="15">
        <v>224.0</v>
      </c>
    </row>
    <row r="286" ht="22.5" customHeight="1">
      <c r="A286" s="7" t="s">
        <v>509</v>
      </c>
      <c r="B286" s="8" t="s">
        <v>199</v>
      </c>
      <c r="C286" s="8" t="s">
        <v>15</v>
      </c>
      <c r="D286" s="8" t="s">
        <v>39</v>
      </c>
      <c r="E286" s="16" t="s">
        <v>422</v>
      </c>
      <c r="F286" s="10"/>
      <c r="G286" s="19"/>
      <c r="H286" s="18"/>
      <c r="I286" s="13">
        <v>6457.0</v>
      </c>
      <c r="J286" s="14" t="s">
        <v>20</v>
      </c>
      <c r="K286" s="8" t="s">
        <v>188</v>
      </c>
      <c r="L286" s="15">
        <v>4035110.0</v>
      </c>
      <c r="M286" s="15">
        <v>76.0</v>
      </c>
    </row>
    <row r="287" ht="22.5" customHeight="1">
      <c r="A287" s="7" t="s">
        <v>510</v>
      </c>
      <c r="B287" s="8" t="s">
        <v>58</v>
      </c>
      <c r="C287" s="8" t="s">
        <v>27</v>
      </c>
      <c r="D287" s="8" t="s">
        <v>238</v>
      </c>
      <c r="E287" s="16" t="s">
        <v>422</v>
      </c>
      <c r="F287" s="10"/>
      <c r="G287" s="19"/>
      <c r="H287" s="18"/>
      <c r="I287" s="13">
        <v>5747.0</v>
      </c>
      <c r="J287" s="14" t="s">
        <v>68</v>
      </c>
      <c r="K287" s="8" t="s">
        <v>143</v>
      </c>
      <c r="L287" s="15">
        <v>876880.0</v>
      </c>
      <c r="M287" s="15">
        <v>319.0</v>
      </c>
    </row>
    <row r="288" ht="22.5" customHeight="1">
      <c r="A288" s="7" t="s">
        <v>511</v>
      </c>
      <c r="B288" s="8" t="s">
        <v>427</v>
      </c>
      <c r="C288" s="8" t="s">
        <v>27</v>
      </c>
      <c r="D288" s="8" t="s">
        <v>28</v>
      </c>
      <c r="E288" s="16" t="s">
        <v>422</v>
      </c>
      <c r="F288" s="8" t="s">
        <v>426</v>
      </c>
      <c r="G288" s="19"/>
      <c r="H288" s="18"/>
      <c r="I288" s="13">
        <v>11942.0</v>
      </c>
      <c r="J288" s="14" t="s">
        <v>20</v>
      </c>
      <c r="K288" s="8" t="s">
        <v>118</v>
      </c>
      <c r="L288" s="15">
        <v>3595507.0</v>
      </c>
      <c r="M288" s="15">
        <v>92.0</v>
      </c>
    </row>
    <row r="289" ht="22.5" customHeight="1">
      <c r="A289" s="7" t="s">
        <v>512</v>
      </c>
      <c r="B289" s="8">
        <v>7.0</v>
      </c>
      <c r="C289" s="8" t="s">
        <v>23</v>
      </c>
      <c r="D289" s="8" t="s">
        <v>85</v>
      </c>
      <c r="E289" s="16" t="s">
        <v>422</v>
      </c>
      <c r="F289" s="10"/>
      <c r="G289" s="19"/>
      <c r="H289" s="18"/>
      <c r="I289" s="13">
        <v>6321.0</v>
      </c>
      <c r="J289" s="14" t="s">
        <v>68</v>
      </c>
      <c r="K289" s="8" t="s">
        <v>294</v>
      </c>
      <c r="L289" s="15">
        <v>2372450.0</v>
      </c>
      <c r="M289" s="15">
        <v>140.0</v>
      </c>
    </row>
    <row r="290" ht="22.5" customHeight="1">
      <c r="A290" s="7" t="s">
        <v>513</v>
      </c>
      <c r="B290" s="8" t="s">
        <v>191</v>
      </c>
      <c r="C290" s="8" t="s">
        <v>15</v>
      </c>
      <c r="D290" s="8" t="s">
        <v>248</v>
      </c>
      <c r="E290" s="16" t="s">
        <v>422</v>
      </c>
      <c r="F290" s="10"/>
      <c r="G290" s="19"/>
      <c r="H290" s="18"/>
      <c r="I290" s="13">
        <v>6358.0</v>
      </c>
      <c r="J290" s="14" t="s">
        <v>68</v>
      </c>
      <c r="K290" s="8" t="s">
        <v>393</v>
      </c>
      <c r="L290" s="15">
        <v>703824.0</v>
      </c>
      <c r="M290" s="15">
        <v>344.0</v>
      </c>
    </row>
    <row r="291" ht="22.5" customHeight="1">
      <c r="A291" s="7" t="s">
        <v>133</v>
      </c>
      <c r="B291" s="8">
        <v>1.0</v>
      </c>
      <c r="C291" s="8" t="s">
        <v>23</v>
      </c>
      <c r="D291" s="8" t="s">
        <v>24</v>
      </c>
      <c r="E291" s="16" t="s">
        <v>422</v>
      </c>
      <c r="F291" s="8" t="s">
        <v>426</v>
      </c>
      <c r="G291" s="17"/>
      <c r="H291" s="18"/>
      <c r="I291" s="13">
        <v>1762.0</v>
      </c>
      <c r="J291" s="14" t="s">
        <v>20</v>
      </c>
      <c r="K291" s="8" t="s">
        <v>118</v>
      </c>
      <c r="L291" s="15">
        <v>3715031.0</v>
      </c>
      <c r="M291" s="15">
        <v>86.0</v>
      </c>
    </row>
    <row r="292" ht="22.5" customHeight="1">
      <c r="A292" s="7" t="s">
        <v>133</v>
      </c>
      <c r="B292" s="8" t="s">
        <v>427</v>
      </c>
      <c r="C292" s="8" t="s">
        <v>27</v>
      </c>
      <c r="D292" s="8" t="s">
        <v>28</v>
      </c>
      <c r="E292" s="16" t="s">
        <v>422</v>
      </c>
      <c r="F292" s="8" t="s">
        <v>426</v>
      </c>
      <c r="G292" s="17"/>
      <c r="H292" s="18"/>
      <c r="I292" s="13">
        <v>11942.0</v>
      </c>
      <c r="J292" s="14" t="s">
        <v>20</v>
      </c>
      <c r="K292" s="8" t="s">
        <v>118</v>
      </c>
      <c r="L292" s="15">
        <v>2694426.0</v>
      </c>
      <c r="M292" s="15">
        <v>131.0</v>
      </c>
    </row>
    <row r="293" ht="22.5" customHeight="1">
      <c r="A293" s="7" t="s">
        <v>133</v>
      </c>
      <c r="B293" s="8" t="s">
        <v>110</v>
      </c>
      <c r="C293" s="8" t="s">
        <v>15</v>
      </c>
      <c r="D293" s="8" t="s">
        <v>111</v>
      </c>
      <c r="E293" s="16" t="s">
        <v>422</v>
      </c>
      <c r="F293" s="8" t="s">
        <v>426</v>
      </c>
      <c r="G293" s="17"/>
      <c r="H293" s="18"/>
      <c r="I293" s="13">
        <v>5652.0</v>
      </c>
      <c r="J293" s="14" t="s">
        <v>103</v>
      </c>
      <c r="K293" s="8" t="s">
        <v>514</v>
      </c>
      <c r="L293" s="15">
        <v>565435.0</v>
      </c>
      <c r="M293" s="15">
        <v>368.0</v>
      </c>
    </row>
    <row r="294" ht="22.5" customHeight="1">
      <c r="A294" s="7" t="s">
        <v>515</v>
      </c>
      <c r="B294" s="8" t="s">
        <v>58</v>
      </c>
      <c r="C294" s="8" t="s">
        <v>27</v>
      </c>
      <c r="D294" s="8" t="s">
        <v>238</v>
      </c>
      <c r="E294" s="16" t="s">
        <v>422</v>
      </c>
      <c r="F294" s="8" t="s">
        <v>426</v>
      </c>
      <c r="G294" s="19"/>
      <c r="H294" s="18"/>
      <c r="I294" s="13">
        <v>5747.0</v>
      </c>
      <c r="J294" s="14" t="s">
        <v>68</v>
      </c>
      <c r="K294" s="8" t="s">
        <v>143</v>
      </c>
      <c r="L294" s="15">
        <v>570555.0</v>
      </c>
      <c r="M294" s="15">
        <v>365.0</v>
      </c>
    </row>
    <row r="295" ht="22.5" customHeight="1">
      <c r="A295" s="7" t="s">
        <v>516</v>
      </c>
      <c r="B295" s="8" t="s">
        <v>115</v>
      </c>
      <c r="C295" s="8" t="s">
        <v>15</v>
      </c>
      <c r="D295" s="8" t="s">
        <v>116</v>
      </c>
      <c r="E295" s="16" t="s">
        <v>422</v>
      </c>
      <c r="F295" s="10"/>
      <c r="G295" s="19"/>
      <c r="H295" s="18"/>
      <c r="I295" s="13">
        <v>6020.0</v>
      </c>
      <c r="J295" s="14" t="s">
        <v>103</v>
      </c>
      <c r="K295" s="8" t="s">
        <v>104</v>
      </c>
      <c r="L295" s="15">
        <v>1295604.0</v>
      </c>
      <c r="M295" s="15">
        <v>241.0</v>
      </c>
    </row>
    <row r="296" ht="22.5" customHeight="1">
      <c r="A296" s="7" t="s">
        <v>517</v>
      </c>
      <c r="B296" s="8">
        <v>7.0</v>
      </c>
      <c r="C296" s="8" t="s">
        <v>23</v>
      </c>
      <c r="D296" s="8" t="s">
        <v>85</v>
      </c>
      <c r="E296" s="16" t="s">
        <v>422</v>
      </c>
      <c r="F296" s="10"/>
      <c r="G296" s="19"/>
      <c r="H296" s="18"/>
      <c r="I296" s="13">
        <v>6321.0</v>
      </c>
      <c r="J296" s="14" t="s">
        <v>68</v>
      </c>
      <c r="K296" s="8" t="s">
        <v>518</v>
      </c>
      <c r="L296" s="15">
        <v>4726496.0</v>
      </c>
      <c r="M296" s="15">
        <v>61.0</v>
      </c>
    </row>
    <row r="297" ht="22.5" customHeight="1">
      <c r="A297" s="7" t="s">
        <v>138</v>
      </c>
      <c r="B297" s="8" t="s">
        <v>427</v>
      </c>
      <c r="C297" s="8" t="s">
        <v>27</v>
      </c>
      <c r="D297" s="8" t="s">
        <v>28</v>
      </c>
      <c r="E297" s="16" t="s">
        <v>422</v>
      </c>
      <c r="F297" s="8" t="s">
        <v>426</v>
      </c>
      <c r="G297" s="19"/>
      <c r="H297" s="18"/>
      <c r="I297" s="13">
        <v>11942.0</v>
      </c>
      <c r="J297" s="14" t="s">
        <v>20</v>
      </c>
      <c r="K297" s="8" t="s">
        <v>118</v>
      </c>
      <c r="L297" s="15">
        <v>2243864.0</v>
      </c>
      <c r="M297" s="15">
        <v>145.0</v>
      </c>
    </row>
    <row r="298" ht="22.5" customHeight="1">
      <c r="A298" s="7" t="s">
        <v>519</v>
      </c>
      <c r="B298" s="8" t="s">
        <v>191</v>
      </c>
      <c r="C298" s="8" t="s">
        <v>15</v>
      </c>
      <c r="D298" s="8" t="s">
        <v>248</v>
      </c>
      <c r="E298" s="16" t="s">
        <v>422</v>
      </c>
      <c r="F298" s="10"/>
      <c r="G298" s="19"/>
      <c r="H298" s="18"/>
      <c r="I298" s="13" t="s">
        <v>520</v>
      </c>
      <c r="J298" s="14" t="s">
        <v>103</v>
      </c>
      <c r="K298" s="8" t="s">
        <v>241</v>
      </c>
      <c r="L298" s="15">
        <v>371707.0</v>
      </c>
      <c r="M298" s="15">
        <v>404.0</v>
      </c>
    </row>
    <row r="299" ht="22.5" customHeight="1">
      <c r="A299" s="7" t="s">
        <v>521</v>
      </c>
      <c r="B299" s="8">
        <v>2.0</v>
      </c>
      <c r="C299" s="8" t="s">
        <v>23</v>
      </c>
      <c r="D299" s="8" t="s">
        <v>75</v>
      </c>
      <c r="E299" s="16" t="s">
        <v>422</v>
      </c>
      <c r="F299" s="10"/>
      <c r="G299" s="19"/>
      <c r="H299" s="18"/>
      <c r="I299" s="13">
        <v>6272.0</v>
      </c>
      <c r="J299" s="14" t="s">
        <v>53</v>
      </c>
      <c r="K299" s="8" t="s">
        <v>522</v>
      </c>
      <c r="L299" s="15">
        <v>800761.0</v>
      </c>
      <c r="M299" s="15">
        <v>329.0</v>
      </c>
    </row>
    <row r="300" ht="22.5" customHeight="1">
      <c r="A300" s="7" t="s">
        <v>523</v>
      </c>
      <c r="B300" s="8" t="s">
        <v>145</v>
      </c>
      <c r="C300" s="8" t="s">
        <v>145</v>
      </c>
      <c r="D300" s="8" t="s">
        <v>146</v>
      </c>
      <c r="E300" s="16" t="s">
        <v>422</v>
      </c>
      <c r="F300" s="10"/>
      <c r="G300" s="19"/>
      <c r="H300" s="18"/>
      <c r="I300" s="13" t="s">
        <v>524</v>
      </c>
      <c r="J300" s="14" t="s">
        <v>147</v>
      </c>
      <c r="K300" s="8" t="s">
        <v>523</v>
      </c>
      <c r="L300" s="15"/>
      <c r="M300" s="15"/>
    </row>
    <row r="301" ht="22.5" customHeight="1">
      <c r="A301" s="7" t="s">
        <v>525</v>
      </c>
      <c r="B301" s="8" t="s">
        <v>58</v>
      </c>
      <c r="C301" s="8" t="s">
        <v>27</v>
      </c>
      <c r="D301" s="8" t="s">
        <v>140</v>
      </c>
      <c r="E301" s="16" t="s">
        <v>422</v>
      </c>
      <c r="F301" s="10"/>
      <c r="G301" s="19"/>
      <c r="H301" s="18"/>
      <c r="I301" s="13">
        <v>20634.0</v>
      </c>
      <c r="J301" s="14" t="s">
        <v>68</v>
      </c>
      <c r="K301" s="8" t="s">
        <v>143</v>
      </c>
      <c r="L301" s="15">
        <v>168832.0</v>
      </c>
      <c r="M301" s="15">
        <v>417.0</v>
      </c>
    </row>
    <row r="302" ht="22.5" customHeight="1">
      <c r="A302" s="7" t="s">
        <v>526</v>
      </c>
      <c r="B302" s="8">
        <v>6.0</v>
      </c>
      <c r="C302" s="8" t="s">
        <v>23</v>
      </c>
      <c r="D302" s="8" t="s">
        <v>32</v>
      </c>
      <c r="E302" s="16" t="s">
        <v>422</v>
      </c>
      <c r="F302" s="10"/>
      <c r="G302" s="19"/>
      <c r="H302" s="18"/>
      <c r="I302" s="13">
        <v>1762.0</v>
      </c>
      <c r="J302" s="14" t="s">
        <v>20</v>
      </c>
      <c r="K302" s="8" t="s">
        <v>21</v>
      </c>
      <c r="L302" s="15">
        <v>4055298.0</v>
      </c>
      <c r="M302" s="15">
        <v>75.0</v>
      </c>
    </row>
    <row r="303" ht="22.5" customHeight="1">
      <c r="A303" s="7" t="s">
        <v>527</v>
      </c>
      <c r="B303" s="8" t="s">
        <v>150</v>
      </c>
      <c r="C303" s="8" t="s">
        <v>15</v>
      </c>
      <c r="D303" s="8" t="s">
        <v>151</v>
      </c>
      <c r="E303" s="16" t="s">
        <v>422</v>
      </c>
      <c r="F303" s="10"/>
      <c r="G303" s="19"/>
      <c r="H303" s="18"/>
      <c r="I303" s="13">
        <v>6242.0</v>
      </c>
      <c r="J303" s="14" t="s">
        <v>68</v>
      </c>
      <c r="K303" s="8" t="s">
        <v>153</v>
      </c>
      <c r="L303" s="15">
        <v>3309906.0</v>
      </c>
      <c r="M303" s="15">
        <v>96.0</v>
      </c>
    </row>
    <row r="304" ht="22.5" customHeight="1">
      <c r="A304" s="7" t="s">
        <v>528</v>
      </c>
      <c r="B304" s="8" t="s">
        <v>14</v>
      </c>
      <c r="C304" s="8" t="s">
        <v>15</v>
      </c>
      <c r="D304" s="8" t="s">
        <v>16</v>
      </c>
      <c r="E304" s="16" t="s">
        <v>422</v>
      </c>
      <c r="F304" s="10"/>
      <c r="G304" s="19"/>
      <c r="H304" s="18"/>
      <c r="I304" s="13" t="s">
        <v>529</v>
      </c>
      <c r="J304" s="14" t="s">
        <v>103</v>
      </c>
      <c r="K304" s="8" t="s">
        <v>241</v>
      </c>
      <c r="L304" s="15">
        <v>399480.0</v>
      </c>
      <c r="M304" s="15">
        <v>401.0</v>
      </c>
    </row>
    <row r="305" ht="22.5" customHeight="1">
      <c r="A305" s="7" t="s">
        <v>530</v>
      </c>
      <c r="B305" s="8" t="s">
        <v>300</v>
      </c>
      <c r="C305" s="8" t="s">
        <v>27</v>
      </c>
      <c r="D305" s="8" t="s">
        <v>126</v>
      </c>
      <c r="E305" s="16" t="s">
        <v>422</v>
      </c>
      <c r="F305" s="8" t="s">
        <v>426</v>
      </c>
      <c r="G305" s="19"/>
      <c r="H305" s="18"/>
      <c r="I305" s="13">
        <v>7015.0</v>
      </c>
      <c r="J305" s="14" t="s">
        <v>103</v>
      </c>
      <c r="K305" s="8" t="s">
        <v>161</v>
      </c>
      <c r="L305" s="15">
        <v>350219.0</v>
      </c>
      <c r="M305" s="15">
        <v>408.0</v>
      </c>
    </row>
    <row r="306" ht="22.5" customHeight="1">
      <c r="A306" s="7" t="s">
        <v>531</v>
      </c>
      <c r="B306" s="8" t="s">
        <v>128</v>
      </c>
      <c r="C306" s="8" t="s">
        <v>15</v>
      </c>
      <c r="D306" s="8" t="s">
        <v>123</v>
      </c>
      <c r="E306" s="16" t="s">
        <v>422</v>
      </c>
      <c r="F306" s="10"/>
      <c r="G306" s="19"/>
      <c r="H306" s="18"/>
      <c r="I306" s="13">
        <v>2792.0</v>
      </c>
      <c r="J306" s="14" t="s">
        <v>103</v>
      </c>
      <c r="K306" s="8" t="s">
        <v>161</v>
      </c>
      <c r="L306" s="15">
        <v>1152826.0</v>
      </c>
      <c r="M306" s="15">
        <v>265.0</v>
      </c>
    </row>
    <row r="307" ht="22.5" customHeight="1">
      <c r="A307" s="7" t="s">
        <v>532</v>
      </c>
      <c r="B307" s="8" t="s">
        <v>128</v>
      </c>
      <c r="C307" s="8" t="s">
        <v>15</v>
      </c>
      <c r="D307" s="8" t="s">
        <v>123</v>
      </c>
      <c r="E307" s="16" t="s">
        <v>422</v>
      </c>
      <c r="F307" s="10"/>
      <c r="G307" s="19"/>
      <c r="H307" s="18"/>
      <c r="I307" s="13">
        <v>2792.0</v>
      </c>
      <c r="J307" s="14" t="s">
        <v>103</v>
      </c>
      <c r="K307" s="8" t="s">
        <v>161</v>
      </c>
      <c r="L307" s="15">
        <v>1182594.0</v>
      </c>
      <c r="M307" s="15">
        <v>260.0</v>
      </c>
    </row>
    <row r="308" ht="22.5" customHeight="1">
      <c r="A308" s="7" t="s">
        <v>533</v>
      </c>
      <c r="B308" s="8" t="s">
        <v>300</v>
      </c>
      <c r="C308" s="8" t="s">
        <v>27</v>
      </c>
      <c r="D308" s="8" t="s">
        <v>126</v>
      </c>
      <c r="E308" s="16" t="s">
        <v>422</v>
      </c>
      <c r="F308" s="8" t="s">
        <v>426</v>
      </c>
      <c r="G308" s="19"/>
      <c r="H308" s="18"/>
      <c r="I308" s="13">
        <v>7015.0</v>
      </c>
      <c r="J308" s="14" t="s">
        <v>103</v>
      </c>
      <c r="K308" s="8" t="s">
        <v>165</v>
      </c>
      <c r="L308" s="15">
        <v>576682.0</v>
      </c>
      <c r="M308" s="15">
        <v>361.0</v>
      </c>
    </row>
    <row r="309" ht="22.5" customHeight="1">
      <c r="A309" s="7" t="s">
        <v>534</v>
      </c>
      <c r="B309" s="8" t="s">
        <v>300</v>
      </c>
      <c r="C309" s="8" t="s">
        <v>27</v>
      </c>
      <c r="D309" s="8" t="s">
        <v>126</v>
      </c>
      <c r="E309" s="16" t="s">
        <v>422</v>
      </c>
      <c r="F309" s="10"/>
      <c r="G309" s="19"/>
      <c r="H309" s="18"/>
      <c r="I309" s="13">
        <v>7015.0</v>
      </c>
      <c r="J309" s="14" t="s">
        <v>103</v>
      </c>
      <c r="K309" s="8" t="s">
        <v>161</v>
      </c>
      <c r="L309" s="15">
        <v>522593.0</v>
      </c>
      <c r="M309" s="15">
        <v>381.0</v>
      </c>
    </row>
    <row r="310" ht="22.5" customHeight="1">
      <c r="A310" s="7" t="s">
        <v>535</v>
      </c>
      <c r="B310" s="8" t="s">
        <v>128</v>
      </c>
      <c r="C310" s="8" t="s">
        <v>15</v>
      </c>
      <c r="D310" s="8" t="s">
        <v>123</v>
      </c>
      <c r="E310" s="16" t="s">
        <v>422</v>
      </c>
      <c r="F310" s="10"/>
      <c r="G310" s="19"/>
      <c r="H310" s="18"/>
      <c r="I310" s="13">
        <v>2792.0</v>
      </c>
      <c r="J310" s="14" t="s">
        <v>103</v>
      </c>
      <c r="K310" s="8" t="s">
        <v>536</v>
      </c>
      <c r="L310" s="15">
        <v>1533782.0</v>
      </c>
      <c r="M310" s="15">
        <v>210.0</v>
      </c>
    </row>
    <row r="311" ht="22.5" customHeight="1">
      <c r="A311" s="7" t="s">
        <v>535</v>
      </c>
      <c r="B311" s="8" t="s">
        <v>300</v>
      </c>
      <c r="C311" s="8" t="s">
        <v>27</v>
      </c>
      <c r="D311" s="8" t="s">
        <v>126</v>
      </c>
      <c r="E311" s="16" t="s">
        <v>422</v>
      </c>
      <c r="F311" s="10"/>
      <c r="G311" s="19"/>
      <c r="H311" s="18"/>
      <c r="I311" s="13">
        <v>7070.0</v>
      </c>
      <c r="J311" s="14" t="s">
        <v>103</v>
      </c>
      <c r="K311" s="8" t="s">
        <v>514</v>
      </c>
      <c r="L311" s="15">
        <v>387181.0</v>
      </c>
      <c r="M311" s="15">
        <v>403.0</v>
      </c>
    </row>
    <row r="312" ht="22.5" customHeight="1">
      <c r="A312" s="7" t="s">
        <v>535</v>
      </c>
      <c r="B312" s="8" t="s">
        <v>110</v>
      </c>
      <c r="C312" s="8" t="s">
        <v>15</v>
      </c>
      <c r="D312" s="8" t="s">
        <v>111</v>
      </c>
      <c r="E312" s="16" t="s">
        <v>422</v>
      </c>
      <c r="F312" s="10"/>
      <c r="G312" s="19"/>
      <c r="H312" s="18"/>
      <c r="I312" s="13">
        <v>5652.0</v>
      </c>
      <c r="J312" s="14" t="s">
        <v>103</v>
      </c>
      <c r="K312" s="8" t="s">
        <v>514</v>
      </c>
      <c r="L312" s="15">
        <v>891603.0</v>
      </c>
      <c r="M312" s="15">
        <v>315.0</v>
      </c>
    </row>
    <row r="313" ht="22.5" customHeight="1">
      <c r="A313" s="7" t="s">
        <v>537</v>
      </c>
      <c r="B313" s="8" t="s">
        <v>300</v>
      </c>
      <c r="C313" s="8" t="s">
        <v>27</v>
      </c>
      <c r="D313" s="8" t="s">
        <v>126</v>
      </c>
      <c r="E313" s="16" t="s">
        <v>422</v>
      </c>
      <c r="F313" s="10"/>
      <c r="G313" s="19"/>
      <c r="H313" s="18"/>
      <c r="I313" s="13">
        <v>7070.0</v>
      </c>
      <c r="J313" s="14" t="s">
        <v>103</v>
      </c>
      <c r="K313" s="8" t="s">
        <v>514</v>
      </c>
      <c r="L313" s="15">
        <v>467240.0</v>
      </c>
      <c r="M313" s="15">
        <v>392.0</v>
      </c>
    </row>
    <row r="314" ht="22.5" customHeight="1">
      <c r="A314" s="7" t="s">
        <v>538</v>
      </c>
      <c r="B314" s="8" t="s">
        <v>115</v>
      </c>
      <c r="C314" s="8" t="s">
        <v>15</v>
      </c>
      <c r="D314" s="8" t="s">
        <v>116</v>
      </c>
      <c r="E314" s="16" t="s">
        <v>422</v>
      </c>
      <c r="F314" s="10"/>
      <c r="G314" s="19"/>
      <c r="H314" s="18"/>
      <c r="I314" s="13">
        <v>6412.0</v>
      </c>
      <c r="J314" s="14" t="s">
        <v>103</v>
      </c>
      <c r="K314" s="8" t="s">
        <v>514</v>
      </c>
      <c r="L314" s="15">
        <v>581541.0</v>
      </c>
      <c r="M314" s="15">
        <v>360.0</v>
      </c>
    </row>
    <row r="315" ht="22.5" customHeight="1">
      <c r="A315" s="7" t="s">
        <v>539</v>
      </c>
      <c r="B315" s="8" t="s">
        <v>134</v>
      </c>
      <c r="C315" s="8" t="s">
        <v>15</v>
      </c>
      <c r="D315" s="8" t="s">
        <v>100</v>
      </c>
      <c r="E315" s="16" t="s">
        <v>422</v>
      </c>
      <c r="F315" s="10"/>
      <c r="G315" s="19"/>
      <c r="H315" s="18"/>
      <c r="I315" s="13">
        <v>5859.0</v>
      </c>
      <c r="J315" s="14" t="s">
        <v>103</v>
      </c>
      <c r="K315" s="8" t="s">
        <v>137</v>
      </c>
      <c r="L315" s="15">
        <v>1778360.0</v>
      </c>
      <c r="M315" s="15">
        <v>182.0</v>
      </c>
    </row>
    <row r="316" ht="22.5" customHeight="1">
      <c r="A316" s="7" t="s">
        <v>540</v>
      </c>
      <c r="B316" s="8" t="s">
        <v>145</v>
      </c>
      <c r="C316" s="8" t="s">
        <v>145</v>
      </c>
      <c r="D316" s="8" t="s">
        <v>146</v>
      </c>
      <c r="E316" s="16" t="s">
        <v>422</v>
      </c>
      <c r="F316" s="10"/>
      <c r="G316" s="19"/>
      <c r="H316" s="18"/>
      <c r="I316" s="7" t="s">
        <v>541</v>
      </c>
      <c r="J316" s="14" t="s">
        <v>147</v>
      </c>
      <c r="K316" s="8" t="s">
        <v>540</v>
      </c>
      <c r="L316" s="15"/>
      <c r="M316" s="15"/>
    </row>
    <row r="317" ht="22.5" customHeight="1">
      <c r="A317" s="7" t="s">
        <v>542</v>
      </c>
      <c r="B317" s="8">
        <v>5.0</v>
      </c>
      <c r="C317" s="8" t="s">
        <v>23</v>
      </c>
      <c r="D317" s="8" t="s">
        <v>282</v>
      </c>
      <c r="E317" s="16" t="s">
        <v>422</v>
      </c>
      <c r="F317" s="8" t="s">
        <v>426</v>
      </c>
      <c r="G317" s="19"/>
      <c r="H317" s="18"/>
      <c r="I317" s="13">
        <v>15111.0</v>
      </c>
      <c r="J317" s="14" t="s">
        <v>53</v>
      </c>
      <c r="K317" s="8" t="s">
        <v>543</v>
      </c>
      <c r="L317" s="15">
        <v>526066.0</v>
      </c>
      <c r="M317" s="15">
        <v>380.0</v>
      </c>
    </row>
    <row r="318" ht="22.5" customHeight="1">
      <c r="A318" s="7" t="s">
        <v>544</v>
      </c>
      <c r="B318" s="8" t="s">
        <v>545</v>
      </c>
      <c r="C318" s="8" t="s">
        <v>27</v>
      </c>
      <c r="D318" s="8" t="s">
        <v>140</v>
      </c>
      <c r="E318" s="16" t="s">
        <v>422</v>
      </c>
      <c r="F318" s="8"/>
      <c r="G318" s="17"/>
      <c r="H318" s="7"/>
      <c r="I318" s="13">
        <v>20634.0</v>
      </c>
      <c r="J318" s="14" t="s">
        <v>68</v>
      </c>
      <c r="K318" s="8" t="s">
        <v>362</v>
      </c>
      <c r="L318" s="15">
        <v>71496.0</v>
      </c>
      <c r="M318" s="15">
        <v>422.0</v>
      </c>
    </row>
    <row r="319" ht="22.5" customHeight="1">
      <c r="A319" s="7" t="s">
        <v>546</v>
      </c>
      <c r="B319" s="8" t="s">
        <v>58</v>
      </c>
      <c r="C319" s="8" t="s">
        <v>27</v>
      </c>
      <c r="D319" s="8" t="s">
        <v>140</v>
      </c>
      <c r="E319" s="16" t="s">
        <v>422</v>
      </c>
      <c r="F319" s="10"/>
      <c r="G319" s="19"/>
      <c r="H319" s="18"/>
      <c r="I319" s="13">
        <v>20634.0</v>
      </c>
      <c r="J319" s="14" t="s">
        <v>68</v>
      </c>
      <c r="K319" s="8" t="s">
        <v>547</v>
      </c>
      <c r="L319" s="15">
        <v>304422.0</v>
      </c>
      <c r="M319" s="15">
        <v>411.0</v>
      </c>
    </row>
    <row r="320" ht="22.5" customHeight="1">
      <c r="A320" s="7" t="s">
        <v>548</v>
      </c>
      <c r="B320" s="8" t="s">
        <v>58</v>
      </c>
      <c r="C320" s="8" t="s">
        <v>27</v>
      </c>
      <c r="D320" s="8" t="s">
        <v>140</v>
      </c>
      <c r="E320" s="16" t="s">
        <v>422</v>
      </c>
      <c r="F320" s="8" t="s">
        <v>426</v>
      </c>
      <c r="G320" s="19"/>
      <c r="H320" s="18"/>
      <c r="I320" s="13">
        <v>20634.0</v>
      </c>
      <c r="J320" s="14" t="s">
        <v>68</v>
      </c>
      <c r="K320" s="8" t="s">
        <v>549</v>
      </c>
      <c r="L320" s="15">
        <v>161389.0</v>
      </c>
      <c r="M320" s="15">
        <v>418.0</v>
      </c>
    </row>
    <row r="321" ht="22.5" customHeight="1">
      <c r="A321" s="7" t="s">
        <v>550</v>
      </c>
      <c r="B321" s="8" t="s">
        <v>58</v>
      </c>
      <c r="C321" s="8" t="s">
        <v>27</v>
      </c>
      <c r="D321" s="8" t="s">
        <v>140</v>
      </c>
      <c r="E321" s="16" t="s">
        <v>422</v>
      </c>
      <c r="F321" s="10"/>
      <c r="G321" s="19"/>
      <c r="H321" s="18"/>
      <c r="I321" s="13">
        <v>20634.0</v>
      </c>
      <c r="J321" s="14" t="s">
        <v>68</v>
      </c>
      <c r="K321" s="8" t="s">
        <v>549</v>
      </c>
      <c r="L321" s="15">
        <v>146574.0</v>
      </c>
      <c r="M321" s="15">
        <v>419.0</v>
      </c>
    </row>
    <row r="322" ht="22.5" customHeight="1">
      <c r="A322" s="7" t="s">
        <v>551</v>
      </c>
      <c r="B322" s="8" t="s">
        <v>58</v>
      </c>
      <c r="C322" s="8" t="s">
        <v>27</v>
      </c>
      <c r="D322" s="8" t="s">
        <v>140</v>
      </c>
      <c r="E322" s="16" t="s">
        <v>422</v>
      </c>
      <c r="F322" s="10"/>
      <c r="G322" s="19"/>
      <c r="H322" s="18"/>
      <c r="I322" s="13">
        <v>20634.0</v>
      </c>
      <c r="J322" s="14" t="s">
        <v>68</v>
      </c>
      <c r="K322" s="8" t="s">
        <v>172</v>
      </c>
      <c r="L322" s="15">
        <v>332332.0</v>
      </c>
      <c r="M322" s="15">
        <v>409.0</v>
      </c>
    </row>
    <row r="323" ht="22.5" customHeight="1">
      <c r="A323" s="7" t="s">
        <v>552</v>
      </c>
      <c r="B323" s="8" t="s">
        <v>545</v>
      </c>
      <c r="C323" s="8" t="s">
        <v>27</v>
      </c>
      <c r="D323" s="8" t="s">
        <v>140</v>
      </c>
      <c r="E323" s="16" t="s">
        <v>422</v>
      </c>
      <c r="F323" s="8" t="s">
        <v>426</v>
      </c>
      <c r="G323" s="17"/>
      <c r="H323" s="7"/>
      <c r="I323" s="13">
        <v>20634.0</v>
      </c>
      <c r="J323" s="14" t="s">
        <v>68</v>
      </c>
      <c r="K323" s="8" t="s">
        <v>553</v>
      </c>
      <c r="L323" s="15">
        <v>181605.0</v>
      </c>
      <c r="M323" s="15">
        <v>415.0</v>
      </c>
    </row>
    <row r="324" ht="22.5" customHeight="1">
      <c r="A324" s="7" t="s">
        <v>554</v>
      </c>
      <c r="B324" s="8" t="s">
        <v>545</v>
      </c>
      <c r="C324" s="8" t="s">
        <v>27</v>
      </c>
      <c r="D324" s="8" t="s">
        <v>140</v>
      </c>
      <c r="E324" s="16" t="s">
        <v>422</v>
      </c>
      <c r="F324" s="8"/>
      <c r="G324" s="17"/>
      <c r="H324" s="7"/>
      <c r="I324" s="13">
        <v>20634.0</v>
      </c>
      <c r="J324" s="14" t="s">
        <v>68</v>
      </c>
      <c r="K324" s="8" t="s">
        <v>553</v>
      </c>
      <c r="L324" s="15">
        <v>99833.0</v>
      </c>
      <c r="M324" s="15">
        <v>421.0</v>
      </c>
    </row>
    <row r="325" ht="22.5" customHeight="1">
      <c r="A325" s="7" t="s">
        <v>555</v>
      </c>
      <c r="B325" s="8" t="s">
        <v>215</v>
      </c>
      <c r="C325" s="8" t="s">
        <v>27</v>
      </c>
      <c r="D325" s="8" t="s">
        <v>216</v>
      </c>
      <c r="E325" s="16" t="s">
        <v>422</v>
      </c>
      <c r="F325" s="8" t="s">
        <v>426</v>
      </c>
      <c r="G325" s="19"/>
      <c r="H325" s="18"/>
      <c r="I325" s="13">
        <v>13697.0</v>
      </c>
      <c r="J325" s="14" t="s">
        <v>103</v>
      </c>
      <c r="K325" s="8" t="s">
        <v>262</v>
      </c>
      <c r="L325" s="15">
        <v>2028456.0</v>
      </c>
      <c r="M325" s="15">
        <v>162.0</v>
      </c>
    </row>
    <row r="326" ht="22.5" customHeight="1">
      <c r="A326" s="7" t="s">
        <v>556</v>
      </c>
      <c r="B326" s="8" t="s">
        <v>125</v>
      </c>
      <c r="C326" s="8" t="s">
        <v>27</v>
      </c>
      <c r="D326" s="8" t="s">
        <v>126</v>
      </c>
      <c r="E326" s="16" t="s">
        <v>422</v>
      </c>
      <c r="F326" s="10"/>
      <c r="G326" s="19"/>
      <c r="H326" s="18"/>
      <c r="I326" s="13">
        <v>12133.0</v>
      </c>
      <c r="J326" s="14" t="s">
        <v>103</v>
      </c>
      <c r="K326" s="8" t="s">
        <v>557</v>
      </c>
      <c r="L326" s="15">
        <v>2675078.0</v>
      </c>
      <c r="M326" s="15">
        <v>132.0</v>
      </c>
    </row>
    <row r="327" ht="22.5" customHeight="1">
      <c r="A327" s="7" t="s">
        <v>556</v>
      </c>
      <c r="B327" s="8" t="s">
        <v>35</v>
      </c>
      <c r="C327" s="8" t="s">
        <v>23</v>
      </c>
      <c r="D327" s="8" t="s">
        <v>158</v>
      </c>
      <c r="E327" s="16" t="s">
        <v>422</v>
      </c>
      <c r="F327" s="10"/>
      <c r="G327" s="19"/>
      <c r="H327" s="18"/>
      <c r="I327" s="13">
        <v>7589.0</v>
      </c>
      <c r="J327" s="14" t="s">
        <v>103</v>
      </c>
      <c r="K327" s="8" t="s">
        <v>124</v>
      </c>
      <c r="L327" s="15">
        <v>1110608.0</v>
      </c>
      <c r="M327" s="15">
        <v>274.0</v>
      </c>
    </row>
    <row r="328" ht="22.5" customHeight="1">
      <c r="A328" s="7" t="s">
        <v>558</v>
      </c>
      <c r="B328" s="8" t="s">
        <v>128</v>
      </c>
      <c r="C328" s="8" t="s">
        <v>15</v>
      </c>
      <c r="D328" s="8" t="s">
        <v>123</v>
      </c>
      <c r="E328" s="16" t="s">
        <v>422</v>
      </c>
      <c r="F328" s="8" t="s">
        <v>559</v>
      </c>
      <c r="G328" s="19"/>
      <c r="H328" s="18"/>
      <c r="I328" s="13">
        <v>2792.0</v>
      </c>
      <c r="J328" s="14" t="s">
        <v>103</v>
      </c>
      <c r="K328" s="8" t="s">
        <v>204</v>
      </c>
      <c r="L328" s="15">
        <v>903363.0</v>
      </c>
      <c r="M328" s="15">
        <v>314.0</v>
      </c>
    </row>
    <row r="329" ht="22.5" customHeight="1">
      <c r="A329" s="7" t="s">
        <v>560</v>
      </c>
      <c r="B329" s="8" t="s">
        <v>78</v>
      </c>
      <c r="C329" s="8" t="s">
        <v>23</v>
      </c>
      <c r="D329" s="8" t="s">
        <v>206</v>
      </c>
      <c r="E329" s="16" t="s">
        <v>422</v>
      </c>
      <c r="F329" s="10"/>
      <c r="G329" s="19"/>
      <c r="H329" s="18"/>
      <c r="I329" s="13">
        <v>7541.0</v>
      </c>
      <c r="J329" s="14" t="s">
        <v>103</v>
      </c>
      <c r="K329" s="8" t="s">
        <v>207</v>
      </c>
      <c r="L329" s="15">
        <v>966119.0</v>
      </c>
      <c r="M329" s="15">
        <v>300.0</v>
      </c>
    </row>
    <row r="330" ht="22.5" customHeight="1">
      <c r="A330" s="7" t="s">
        <v>179</v>
      </c>
      <c r="B330" s="8" t="s">
        <v>134</v>
      </c>
      <c r="C330" s="8" t="s">
        <v>15</v>
      </c>
      <c r="D330" s="8" t="s">
        <v>100</v>
      </c>
      <c r="E330" s="16" t="s">
        <v>422</v>
      </c>
      <c r="F330" s="8" t="s">
        <v>561</v>
      </c>
      <c r="G330" s="19"/>
      <c r="H330" s="18"/>
      <c r="I330" s="13">
        <v>7519.0</v>
      </c>
      <c r="J330" s="14" t="s">
        <v>103</v>
      </c>
      <c r="K330" s="8" t="s">
        <v>156</v>
      </c>
      <c r="L330" s="15">
        <v>6188561.0</v>
      </c>
      <c r="M330" s="15">
        <v>36.0</v>
      </c>
    </row>
    <row r="331" ht="22.5" customHeight="1">
      <c r="A331" s="7" t="s">
        <v>562</v>
      </c>
      <c r="B331" s="8" t="s">
        <v>191</v>
      </c>
      <c r="C331" s="8" t="s">
        <v>15</v>
      </c>
      <c r="D331" s="8" t="s">
        <v>192</v>
      </c>
      <c r="E331" s="16" t="s">
        <v>422</v>
      </c>
      <c r="F331" s="10"/>
      <c r="G331" s="19"/>
      <c r="H331" s="18"/>
      <c r="I331" s="13">
        <v>4965.0</v>
      </c>
      <c r="J331" s="14" t="s">
        <v>20</v>
      </c>
      <c r="K331" s="8" t="s">
        <v>563</v>
      </c>
      <c r="L331" s="15">
        <v>879248.0</v>
      </c>
      <c r="M331" s="15">
        <v>318.0</v>
      </c>
    </row>
    <row r="332" ht="22.5" customHeight="1">
      <c r="A332" s="7" t="s">
        <v>564</v>
      </c>
      <c r="B332" s="8" t="s">
        <v>312</v>
      </c>
      <c r="C332" s="8" t="s">
        <v>27</v>
      </c>
      <c r="D332" s="8" t="s">
        <v>94</v>
      </c>
      <c r="E332" s="16" t="s">
        <v>422</v>
      </c>
      <c r="F332" s="8" t="s">
        <v>426</v>
      </c>
      <c r="G332" s="19"/>
      <c r="H332" s="18"/>
      <c r="I332" s="13">
        <v>13629.0</v>
      </c>
      <c r="J332" s="14" t="s">
        <v>68</v>
      </c>
      <c r="K332" s="8" t="s">
        <v>564</v>
      </c>
      <c r="L332" s="15">
        <v>1091653.0</v>
      </c>
      <c r="M332" s="15">
        <v>277.0</v>
      </c>
    </row>
    <row r="333" ht="22.5" customHeight="1">
      <c r="A333" s="7" t="s">
        <v>565</v>
      </c>
      <c r="B333" s="8" t="s">
        <v>314</v>
      </c>
      <c r="C333" s="8" t="s">
        <v>15</v>
      </c>
      <c r="D333" s="8" t="s">
        <v>123</v>
      </c>
      <c r="E333" s="16" t="s">
        <v>422</v>
      </c>
      <c r="F333" s="8" t="s">
        <v>426</v>
      </c>
      <c r="G333" s="19"/>
      <c r="H333" s="18"/>
      <c r="I333" s="13">
        <v>2792.0</v>
      </c>
      <c r="J333" s="14" t="s">
        <v>103</v>
      </c>
      <c r="K333" s="8" t="s">
        <v>565</v>
      </c>
      <c r="L333" s="15">
        <v>2493646.0</v>
      </c>
      <c r="M333" s="15">
        <v>137.0</v>
      </c>
    </row>
    <row r="334" ht="22.5" customHeight="1">
      <c r="A334" s="7" t="s">
        <v>566</v>
      </c>
      <c r="B334" s="8" t="s">
        <v>567</v>
      </c>
      <c r="C334" s="8" t="s">
        <v>27</v>
      </c>
      <c r="D334" s="8" t="s">
        <v>140</v>
      </c>
      <c r="E334" s="16" t="s">
        <v>422</v>
      </c>
      <c r="F334" s="8"/>
      <c r="G334" s="17"/>
      <c r="H334" s="7"/>
      <c r="I334" s="13">
        <v>20634.0</v>
      </c>
      <c r="J334" s="14" t="s">
        <v>68</v>
      </c>
      <c r="K334" s="8" t="s">
        <v>566</v>
      </c>
      <c r="L334" s="15">
        <v>57312.0</v>
      </c>
      <c r="M334" s="15">
        <v>423.0</v>
      </c>
    </row>
    <row r="335" ht="22.5" customHeight="1">
      <c r="A335" s="7" t="s">
        <v>568</v>
      </c>
      <c r="B335" s="8" t="s">
        <v>191</v>
      </c>
      <c r="C335" s="8" t="s">
        <v>15</v>
      </c>
      <c r="D335" s="8" t="s">
        <v>192</v>
      </c>
      <c r="E335" s="16" t="s">
        <v>422</v>
      </c>
      <c r="F335" s="10"/>
      <c r="G335" s="19"/>
      <c r="H335" s="18"/>
      <c r="I335" s="13">
        <v>11472.0</v>
      </c>
      <c r="J335" s="14" t="s">
        <v>20</v>
      </c>
      <c r="K335" s="8" t="s">
        <v>184</v>
      </c>
      <c r="L335" s="15">
        <v>1289698.0</v>
      </c>
      <c r="M335" s="15">
        <v>243.0</v>
      </c>
    </row>
    <row r="336" ht="22.5" customHeight="1">
      <c r="A336" s="7" t="s">
        <v>569</v>
      </c>
      <c r="B336" s="8" t="s">
        <v>570</v>
      </c>
      <c r="C336" s="8" t="s">
        <v>15</v>
      </c>
      <c r="D336" s="8" t="s">
        <v>151</v>
      </c>
      <c r="E336" s="16" t="s">
        <v>422</v>
      </c>
      <c r="F336" s="8" t="s">
        <v>426</v>
      </c>
      <c r="G336" s="19"/>
      <c r="H336" s="18"/>
      <c r="I336" s="13">
        <v>6242.0</v>
      </c>
      <c r="J336" s="14" t="s">
        <v>68</v>
      </c>
      <c r="K336" s="8" t="s">
        <v>153</v>
      </c>
      <c r="L336" s="15">
        <v>2835094.0</v>
      </c>
      <c r="M336" s="15">
        <v>122.0</v>
      </c>
    </row>
    <row r="337" ht="22.5" customHeight="1">
      <c r="A337" s="7" t="s">
        <v>569</v>
      </c>
      <c r="B337" s="8" t="s">
        <v>215</v>
      </c>
      <c r="C337" s="8" t="s">
        <v>27</v>
      </c>
      <c r="D337" s="8" t="s">
        <v>216</v>
      </c>
      <c r="E337" s="16" t="s">
        <v>422</v>
      </c>
      <c r="F337" s="8" t="s">
        <v>426</v>
      </c>
      <c r="G337" s="19"/>
      <c r="H337" s="18"/>
      <c r="I337" s="13">
        <v>13697.0</v>
      </c>
      <c r="J337" s="14" t="s">
        <v>103</v>
      </c>
      <c r="K337" s="8" t="s">
        <v>174</v>
      </c>
      <c r="L337" s="15">
        <v>985993.0</v>
      </c>
      <c r="M337" s="15">
        <v>295.0</v>
      </c>
    </row>
    <row r="338" ht="22.5" customHeight="1">
      <c r="A338" s="7" t="s">
        <v>571</v>
      </c>
      <c r="B338" s="8" t="s">
        <v>14</v>
      </c>
      <c r="C338" s="8" t="s">
        <v>15</v>
      </c>
      <c r="D338" s="8" t="s">
        <v>16</v>
      </c>
      <c r="E338" s="16" t="s">
        <v>422</v>
      </c>
      <c r="F338" s="8" t="s">
        <v>426</v>
      </c>
      <c r="G338" s="19"/>
      <c r="H338" s="18"/>
      <c r="I338" s="13">
        <v>10423.0</v>
      </c>
      <c r="J338" s="14" t="s">
        <v>103</v>
      </c>
      <c r="K338" s="8" t="s">
        <v>241</v>
      </c>
      <c r="L338" s="15">
        <v>1808472.0</v>
      </c>
      <c r="M338" s="15">
        <v>176.0</v>
      </c>
    </row>
    <row r="339" ht="22.5" customHeight="1">
      <c r="A339" s="7" t="s">
        <v>571</v>
      </c>
      <c r="B339" s="8" t="s">
        <v>201</v>
      </c>
      <c r="C339" s="8" t="s">
        <v>27</v>
      </c>
      <c r="D339" s="8" t="s">
        <v>238</v>
      </c>
      <c r="E339" s="16" t="s">
        <v>422</v>
      </c>
      <c r="F339" s="8" t="s">
        <v>426</v>
      </c>
      <c r="G339" s="19"/>
      <c r="H339" s="18"/>
      <c r="I339" s="13">
        <v>17166.0</v>
      </c>
      <c r="J339" s="14" t="s">
        <v>103</v>
      </c>
      <c r="K339" s="8" t="s">
        <v>241</v>
      </c>
      <c r="L339" s="15">
        <v>1808472.0</v>
      </c>
      <c r="M339" s="15">
        <v>176.0</v>
      </c>
    </row>
    <row r="340" ht="22.5" customHeight="1">
      <c r="A340" s="7" t="s">
        <v>571</v>
      </c>
      <c r="B340" s="8" t="s">
        <v>191</v>
      </c>
      <c r="C340" s="8" t="s">
        <v>15</v>
      </c>
      <c r="D340" s="8" t="s">
        <v>248</v>
      </c>
      <c r="E340" s="16" t="s">
        <v>422</v>
      </c>
      <c r="F340" s="8" t="s">
        <v>426</v>
      </c>
      <c r="G340" s="19"/>
      <c r="H340" s="18"/>
      <c r="I340" s="13">
        <v>7157.0</v>
      </c>
      <c r="J340" s="14" t="s">
        <v>103</v>
      </c>
      <c r="K340" s="8" t="s">
        <v>241</v>
      </c>
      <c r="L340" s="15">
        <v>1808472.0</v>
      </c>
      <c r="M340" s="15">
        <v>176.0</v>
      </c>
    </row>
    <row r="341" ht="22.5" customHeight="1">
      <c r="A341" s="7" t="s">
        <v>572</v>
      </c>
      <c r="B341" s="8">
        <v>2.0</v>
      </c>
      <c r="C341" s="8" t="s">
        <v>23</v>
      </c>
      <c r="D341" s="8" t="s">
        <v>75</v>
      </c>
      <c r="E341" s="16" t="s">
        <v>422</v>
      </c>
      <c r="F341" s="10"/>
      <c r="G341" s="19"/>
      <c r="H341" s="18"/>
      <c r="I341" s="13">
        <v>6272.0</v>
      </c>
      <c r="J341" s="14" t="s">
        <v>53</v>
      </c>
      <c r="K341" s="8" t="s">
        <v>233</v>
      </c>
      <c r="L341" s="15">
        <v>431235.0</v>
      </c>
      <c r="M341" s="15">
        <v>397.0</v>
      </c>
    </row>
    <row r="342" ht="22.5" customHeight="1">
      <c r="A342" s="7" t="s">
        <v>573</v>
      </c>
      <c r="B342" s="8">
        <v>6.0</v>
      </c>
      <c r="C342" s="8" t="s">
        <v>23</v>
      </c>
      <c r="D342" s="8" t="s">
        <v>230</v>
      </c>
      <c r="E342" s="16" t="s">
        <v>422</v>
      </c>
      <c r="F342" s="8" t="s">
        <v>426</v>
      </c>
      <c r="G342" s="19"/>
      <c r="H342" s="18"/>
      <c r="I342" s="13">
        <v>6947.0</v>
      </c>
      <c r="J342" s="14" t="s">
        <v>53</v>
      </c>
      <c r="K342" s="8" t="s">
        <v>79</v>
      </c>
      <c r="L342" s="15">
        <v>1063082.0</v>
      </c>
      <c r="M342" s="15">
        <v>283.0</v>
      </c>
    </row>
    <row r="343" ht="22.5" customHeight="1">
      <c r="A343" s="7" t="s">
        <v>574</v>
      </c>
      <c r="B343" s="8">
        <v>6.0</v>
      </c>
      <c r="C343" s="8" t="s">
        <v>23</v>
      </c>
      <c r="D343" s="8" t="s">
        <v>230</v>
      </c>
      <c r="E343" s="16" t="s">
        <v>422</v>
      </c>
      <c r="F343" s="10"/>
      <c r="G343" s="19"/>
      <c r="H343" s="18"/>
      <c r="I343" s="13">
        <v>7660.0</v>
      </c>
      <c r="J343" s="14" t="s">
        <v>53</v>
      </c>
      <c r="K343" s="8" t="s">
        <v>347</v>
      </c>
      <c r="L343" s="15">
        <v>766190.0</v>
      </c>
      <c r="M343" s="15">
        <v>336.0</v>
      </c>
    </row>
    <row r="344" ht="22.5" customHeight="1">
      <c r="A344" s="7" t="s">
        <v>575</v>
      </c>
      <c r="B344" s="8">
        <v>2.0</v>
      </c>
      <c r="C344" s="8" t="s">
        <v>23</v>
      </c>
      <c r="D344" s="8" t="s">
        <v>75</v>
      </c>
      <c r="E344" s="16" t="s">
        <v>422</v>
      </c>
      <c r="F344" s="10"/>
      <c r="G344" s="19"/>
      <c r="H344" s="18"/>
      <c r="I344" s="13">
        <v>6272.0</v>
      </c>
      <c r="J344" s="14" t="s">
        <v>53</v>
      </c>
      <c r="K344" s="8" t="s">
        <v>522</v>
      </c>
      <c r="L344" s="15">
        <v>490814.0</v>
      </c>
      <c r="M344" s="15">
        <v>386.0</v>
      </c>
    </row>
    <row r="345" ht="22.5" customHeight="1">
      <c r="A345" s="7" t="s">
        <v>576</v>
      </c>
      <c r="B345" s="8">
        <v>4.0</v>
      </c>
      <c r="C345" s="8" t="s">
        <v>23</v>
      </c>
      <c r="D345" s="8" t="s">
        <v>55</v>
      </c>
      <c r="E345" s="16" t="s">
        <v>422</v>
      </c>
      <c r="F345" s="8" t="s">
        <v>426</v>
      </c>
      <c r="G345" s="19"/>
      <c r="H345" s="18"/>
      <c r="I345" s="13">
        <v>6363.0</v>
      </c>
      <c r="J345" s="14" t="s">
        <v>53</v>
      </c>
      <c r="K345" s="8" t="s">
        <v>455</v>
      </c>
      <c r="L345" s="15">
        <v>1984913.0</v>
      </c>
      <c r="M345" s="15">
        <v>164.0</v>
      </c>
    </row>
    <row r="346" ht="22.5" customHeight="1">
      <c r="A346" s="7" t="s">
        <v>577</v>
      </c>
      <c r="B346" s="8" t="s">
        <v>14</v>
      </c>
      <c r="C346" s="8" t="s">
        <v>15</v>
      </c>
      <c r="D346" s="8" t="s">
        <v>16</v>
      </c>
      <c r="E346" s="16" t="s">
        <v>422</v>
      </c>
      <c r="F346" s="10"/>
      <c r="G346" s="19"/>
      <c r="H346" s="18"/>
      <c r="I346" s="13">
        <v>10423.0</v>
      </c>
      <c r="J346" s="14" t="s">
        <v>103</v>
      </c>
      <c r="K346" s="8" t="s">
        <v>222</v>
      </c>
      <c r="L346" s="15">
        <v>575667.0</v>
      </c>
      <c r="M346" s="15">
        <v>362.0</v>
      </c>
    </row>
    <row r="347" ht="22.5" customHeight="1">
      <c r="A347" s="7" t="s">
        <v>193</v>
      </c>
      <c r="B347" s="8" t="s">
        <v>578</v>
      </c>
      <c r="C347" s="8" t="s">
        <v>15</v>
      </c>
      <c r="D347" s="8" t="s">
        <v>39</v>
      </c>
      <c r="E347" s="16" t="s">
        <v>422</v>
      </c>
      <c r="F347" s="8" t="s">
        <v>426</v>
      </c>
      <c r="G347" s="19"/>
      <c r="H347" s="18"/>
      <c r="I347" s="13">
        <v>6457.0</v>
      </c>
      <c r="J347" s="14" t="s">
        <v>20</v>
      </c>
      <c r="K347" s="8" t="s">
        <v>194</v>
      </c>
      <c r="L347" s="15">
        <v>1.104892E7</v>
      </c>
      <c r="M347" s="15">
        <v>17.0</v>
      </c>
    </row>
    <row r="348" ht="22.5" customHeight="1">
      <c r="A348" s="7" t="s">
        <v>193</v>
      </c>
      <c r="B348" s="8" t="s">
        <v>199</v>
      </c>
      <c r="C348" s="8" t="s">
        <v>15</v>
      </c>
      <c r="D348" s="8" t="s">
        <v>39</v>
      </c>
      <c r="E348" s="16" t="s">
        <v>422</v>
      </c>
      <c r="F348" s="8" t="s">
        <v>426</v>
      </c>
      <c r="G348" s="19"/>
      <c r="H348" s="18"/>
      <c r="I348" s="13">
        <v>6580.0</v>
      </c>
      <c r="J348" s="14" t="s">
        <v>20</v>
      </c>
      <c r="K348" s="8" t="s">
        <v>194</v>
      </c>
      <c r="L348" s="15">
        <v>1.104892E7</v>
      </c>
      <c r="M348" s="15">
        <v>17.0</v>
      </c>
    </row>
    <row r="349" ht="22.5" customHeight="1">
      <c r="A349" s="7" t="s">
        <v>193</v>
      </c>
      <c r="B349" s="8">
        <v>1.0</v>
      </c>
      <c r="C349" s="8" t="s">
        <v>23</v>
      </c>
      <c r="D349" s="8" t="s">
        <v>24</v>
      </c>
      <c r="E349" s="16" t="s">
        <v>422</v>
      </c>
      <c r="F349" s="8" t="s">
        <v>426</v>
      </c>
      <c r="G349" s="19"/>
      <c r="H349" s="18"/>
      <c r="I349" s="13">
        <v>6757.0</v>
      </c>
      <c r="J349" s="14" t="s">
        <v>20</v>
      </c>
      <c r="K349" s="8" t="s">
        <v>579</v>
      </c>
      <c r="L349" s="15">
        <v>1193850.0</v>
      </c>
      <c r="M349" s="15">
        <v>256.0</v>
      </c>
    </row>
    <row r="350" ht="22.5" customHeight="1">
      <c r="A350" s="7" t="s">
        <v>193</v>
      </c>
      <c r="B350" s="8" t="s">
        <v>46</v>
      </c>
      <c r="C350" s="8" t="s">
        <v>27</v>
      </c>
      <c r="D350" s="8" t="s">
        <v>28</v>
      </c>
      <c r="E350" s="16" t="s">
        <v>422</v>
      </c>
      <c r="F350" s="8" t="s">
        <v>426</v>
      </c>
      <c r="G350" s="19"/>
      <c r="H350" s="18"/>
      <c r="I350" s="13">
        <v>11942.0</v>
      </c>
      <c r="J350" s="14" t="s">
        <v>20</v>
      </c>
      <c r="K350" s="8" t="s">
        <v>580</v>
      </c>
      <c r="L350" s="15">
        <v>4133553.0</v>
      </c>
      <c r="M350" s="15">
        <v>71.0</v>
      </c>
    </row>
    <row r="351" ht="22.5" customHeight="1">
      <c r="A351" s="7" t="s">
        <v>193</v>
      </c>
      <c r="B351" s="8" t="s">
        <v>191</v>
      </c>
      <c r="C351" s="8" t="s">
        <v>15</v>
      </c>
      <c r="D351" s="8" t="s">
        <v>192</v>
      </c>
      <c r="E351" s="16" t="s">
        <v>422</v>
      </c>
      <c r="F351" s="8" t="s">
        <v>426</v>
      </c>
      <c r="G351" s="19"/>
      <c r="H351" s="18"/>
      <c r="I351" s="13">
        <v>4965.0</v>
      </c>
      <c r="J351" s="14" t="s">
        <v>20</v>
      </c>
      <c r="K351" s="8" t="s">
        <v>194</v>
      </c>
      <c r="L351" s="15">
        <v>1.104892E7</v>
      </c>
      <c r="M351" s="15">
        <v>17.0</v>
      </c>
    </row>
    <row r="352" ht="22.5" customHeight="1">
      <c r="A352" s="7" t="s">
        <v>581</v>
      </c>
      <c r="B352" s="8" t="s">
        <v>125</v>
      </c>
      <c r="C352" s="8" t="s">
        <v>27</v>
      </c>
      <c r="D352" s="8" t="s">
        <v>126</v>
      </c>
      <c r="E352" s="16" t="s">
        <v>422</v>
      </c>
      <c r="F352" s="10"/>
      <c r="G352" s="19"/>
      <c r="H352" s="18"/>
      <c r="I352" s="13">
        <v>12334.0</v>
      </c>
      <c r="J352" s="14" t="s">
        <v>103</v>
      </c>
      <c r="K352" s="8" t="s">
        <v>582</v>
      </c>
      <c r="L352" s="15">
        <v>2712885.0</v>
      </c>
      <c r="M352" s="15">
        <v>130.0</v>
      </c>
    </row>
    <row r="353" ht="22.5" customHeight="1">
      <c r="A353" s="7" t="s">
        <v>583</v>
      </c>
      <c r="B353" s="8">
        <v>6.0</v>
      </c>
      <c r="C353" s="8" t="s">
        <v>23</v>
      </c>
      <c r="D353" s="8" t="s">
        <v>230</v>
      </c>
      <c r="E353" s="16" t="s">
        <v>422</v>
      </c>
      <c r="F353" s="10"/>
      <c r="G353" s="19"/>
      <c r="H353" s="18"/>
      <c r="I353" s="13">
        <v>7603.0</v>
      </c>
      <c r="J353" s="14" t="s">
        <v>53</v>
      </c>
      <c r="K353" s="8" t="s">
        <v>584</v>
      </c>
      <c r="L353" s="15">
        <v>1115405.0</v>
      </c>
      <c r="M353" s="15">
        <v>272.0</v>
      </c>
    </row>
    <row r="354" ht="22.5" customHeight="1">
      <c r="A354" s="7" t="s">
        <v>585</v>
      </c>
      <c r="B354" s="8">
        <v>1.0</v>
      </c>
      <c r="C354" s="8" t="s">
        <v>23</v>
      </c>
      <c r="D354" s="8" t="s">
        <v>24</v>
      </c>
      <c r="E354" s="16" t="s">
        <v>422</v>
      </c>
      <c r="F354" s="8" t="s">
        <v>426</v>
      </c>
      <c r="G354" s="19"/>
      <c r="H354" s="18"/>
      <c r="I354" s="13">
        <v>1762.0</v>
      </c>
      <c r="J354" s="14" t="s">
        <v>20</v>
      </c>
      <c r="K354" s="8" t="s">
        <v>436</v>
      </c>
      <c r="L354" s="15">
        <v>2874549.0</v>
      </c>
      <c r="M354" s="15">
        <v>117.0</v>
      </c>
    </row>
    <row r="355" ht="22.5" customHeight="1">
      <c r="A355" s="7" t="s">
        <v>585</v>
      </c>
      <c r="B355" s="8" t="s">
        <v>427</v>
      </c>
      <c r="C355" s="8" t="s">
        <v>27</v>
      </c>
      <c r="D355" s="8" t="s">
        <v>28</v>
      </c>
      <c r="E355" s="16" t="s">
        <v>422</v>
      </c>
      <c r="F355" s="8" t="s">
        <v>426</v>
      </c>
      <c r="G355" s="19"/>
      <c r="H355" s="18"/>
      <c r="I355" s="13">
        <v>11942.0</v>
      </c>
      <c r="J355" s="14" t="s">
        <v>20</v>
      </c>
      <c r="K355" s="8" t="s">
        <v>118</v>
      </c>
      <c r="L355" s="15">
        <v>1780033.0</v>
      </c>
      <c r="M355" s="15">
        <v>181.0</v>
      </c>
    </row>
    <row r="356" ht="22.5" customHeight="1">
      <c r="A356" s="7" t="s">
        <v>586</v>
      </c>
      <c r="B356" s="8" t="s">
        <v>66</v>
      </c>
      <c r="C356" s="8" t="s">
        <v>15</v>
      </c>
      <c r="D356" s="8" t="s">
        <v>331</v>
      </c>
      <c r="E356" s="16" t="s">
        <v>422</v>
      </c>
      <c r="F356" s="10"/>
      <c r="G356" s="19"/>
      <c r="H356" s="18"/>
      <c r="I356" s="13" t="s">
        <v>337</v>
      </c>
      <c r="J356" s="14" t="s">
        <v>103</v>
      </c>
      <c r="K356" s="8" t="s">
        <v>222</v>
      </c>
      <c r="L356" s="15">
        <v>886352.0</v>
      </c>
      <c r="M356" s="15">
        <v>317.0</v>
      </c>
    </row>
    <row r="357" ht="22.5" customHeight="1">
      <c r="A357" s="7" t="s">
        <v>587</v>
      </c>
      <c r="B357" s="8" t="s">
        <v>191</v>
      </c>
      <c r="C357" s="8" t="s">
        <v>15</v>
      </c>
      <c r="D357" s="8" t="s">
        <v>248</v>
      </c>
      <c r="E357" s="16" t="s">
        <v>422</v>
      </c>
      <c r="F357" s="10"/>
      <c r="G357" s="19"/>
      <c r="H357" s="18"/>
      <c r="I357" s="13" t="s">
        <v>588</v>
      </c>
      <c r="J357" s="14" t="s">
        <v>103</v>
      </c>
      <c r="K357" s="8" t="s">
        <v>262</v>
      </c>
      <c r="L357" s="15">
        <v>605650.0</v>
      </c>
      <c r="M357" s="15">
        <v>356.0</v>
      </c>
    </row>
    <row r="358" ht="22.5" customHeight="1">
      <c r="A358" s="7" t="s">
        <v>589</v>
      </c>
      <c r="B358" s="8">
        <v>1.0</v>
      </c>
      <c r="C358" s="8" t="s">
        <v>23</v>
      </c>
      <c r="D358" s="8" t="s">
        <v>24</v>
      </c>
      <c r="E358" s="16" t="s">
        <v>422</v>
      </c>
      <c r="G358" s="19"/>
      <c r="H358" s="18"/>
      <c r="I358" s="13">
        <v>6757.0</v>
      </c>
      <c r="J358" s="14" t="s">
        <v>20</v>
      </c>
      <c r="K358" s="8" t="s">
        <v>188</v>
      </c>
      <c r="L358" s="15">
        <v>3005038.0</v>
      </c>
      <c r="M358" s="15">
        <v>108.0</v>
      </c>
    </row>
    <row r="359" ht="22.5" customHeight="1">
      <c r="A359" s="7" t="s">
        <v>590</v>
      </c>
      <c r="B359" s="8" t="s">
        <v>199</v>
      </c>
      <c r="C359" s="8" t="s">
        <v>15</v>
      </c>
      <c r="D359" s="8" t="s">
        <v>39</v>
      </c>
      <c r="E359" s="16" t="s">
        <v>422</v>
      </c>
      <c r="F359" s="10"/>
      <c r="G359" s="19"/>
      <c r="H359" s="18"/>
      <c r="I359" s="13">
        <v>6580.0</v>
      </c>
      <c r="J359" s="14" t="s">
        <v>20</v>
      </c>
      <c r="K359" s="8" t="s">
        <v>190</v>
      </c>
      <c r="L359" s="15">
        <v>1185779.0</v>
      </c>
      <c r="M359" s="15">
        <v>259.0</v>
      </c>
    </row>
    <row r="360" ht="22.5" customHeight="1">
      <c r="A360" s="7" t="s">
        <v>591</v>
      </c>
      <c r="B360" s="8" t="s">
        <v>35</v>
      </c>
      <c r="C360" s="8" t="s">
        <v>23</v>
      </c>
      <c r="D360" s="8" t="s">
        <v>24</v>
      </c>
      <c r="E360" s="16" t="s">
        <v>422</v>
      </c>
      <c r="F360" s="8" t="s">
        <v>592</v>
      </c>
      <c r="G360" s="19"/>
      <c r="H360" s="18"/>
      <c r="I360" s="13">
        <v>7045.0</v>
      </c>
      <c r="J360" s="14" t="s">
        <v>103</v>
      </c>
      <c r="K360" s="8" t="s">
        <v>593</v>
      </c>
      <c r="L360" s="15">
        <v>1780831.0</v>
      </c>
      <c r="M360" s="15">
        <v>179.0</v>
      </c>
    </row>
    <row r="361" ht="22.5" customHeight="1">
      <c r="A361" s="7" t="s">
        <v>594</v>
      </c>
      <c r="B361" s="8" t="s">
        <v>215</v>
      </c>
      <c r="C361" s="8" t="s">
        <v>27</v>
      </c>
      <c r="D361" s="8" t="s">
        <v>216</v>
      </c>
      <c r="E361" s="16" t="s">
        <v>422</v>
      </c>
      <c r="F361" s="8" t="s">
        <v>426</v>
      </c>
      <c r="G361" s="19"/>
      <c r="H361" s="18"/>
      <c r="I361" s="13">
        <v>13697.0</v>
      </c>
      <c r="J361" s="14" t="s">
        <v>103</v>
      </c>
      <c r="K361" s="8" t="s">
        <v>262</v>
      </c>
      <c r="L361" s="15">
        <v>1187185.0</v>
      </c>
      <c r="M361" s="15">
        <v>257.0</v>
      </c>
    </row>
    <row r="362" ht="22.5" customHeight="1">
      <c r="A362" s="7" t="s">
        <v>595</v>
      </c>
      <c r="B362" s="8" t="s">
        <v>191</v>
      </c>
      <c r="C362" s="8" t="s">
        <v>15</v>
      </c>
      <c r="D362" s="8" t="s">
        <v>248</v>
      </c>
      <c r="E362" s="16" t="s">
        <v>422</v>
      </c>
      <c r="F362" s="10"/>
      <c r="G362" s="19"/>
      <c r="H362" s="18"/>
      <c r="I362" s="13" t="s">
        <v>596</v>
      </c>
      <c r="J362" s="14" t="s">
        <v>103</v>
      </c>
      <c r="K362" s="8" t="s">
        <v>241</v>
      </c>
      <c r="L362" s="15">
        <v>409981.0</v>
      </c>
      <c r="M362" s="15">
        <v>399.0</v>
      </c>
    </row>
    <row r="363" ht="22.5" customHeight="1">
      <c r="A363" s="7" t="s">
        <v>597</v>
      </c>
      <c r="B363" s="8" t="s">
        <v>145</v>
      </c>
      <c r="C363" s="8" t="s">
        <v>145</v>
      </c>
      <c r="D363" s="8" t="s">
        <v>146</v>
      </c>
      <c r="E363" s="16" t="s">
        <v>422</v>
      </c>
      <c r="F363" s="8" t="s">
        <v>426</v>
      </c>
      <c r="G363" s="19"/>
      <c r="H363" s="18"/>
      <c r="I363" s="13" t="s">
        <v>227</v>
      </c>
      <c r="J363" s="14" t="s">
        <v>147</v>
      </c>
      <c r="K363" s="8" t="s">
        <v>597</v>
      </c>
      <c r="L363" s="15"/>
      <c r="M363" s="15"/>
    </row>
    <row r="364" ht="22.5" customHeight="1">
      <c r="A364" s="7" t="s">
        <v>598</v>
      </c>
      <c r="B364" s="8" t="s">
        <v>215</v>
      </c>
      <c r="C364" s="8" t="s">
        <v>27</v>
      </c>
      <c r="D364" s="8" t="s">
        <v>216</v>
      </c>
      <c r="E364" s="16" t="s">
        <v>422</v>
      </c>
      <c r="F364" s="10"/>
      <c r="G364" s="19"/>
      <c r="H364" s="18"/>
      <c r="I364" s="13">
        <v>13697.0</v>
      </c>
      <c r="J364" s="14" t="s">
        <v>103</v>
      </c>
      <c r="K364" s="8" t="s">
        <v>599</v>
      </c>
      <c r="L364" s="15">
        <v>1149325.0</v>
      </c>
      <c r="M364" s="15">
        <v>268.0</v>
      </c>
    </row>
    <row r="365" ht="22.5" customHeight="1">
      <c r="A365" s="7" t="s">
        <v>598</v>
      </c>
      <c r="B365" s="8" t="s">
        <v>446</v>
      </c>
      <c r="C365" s="8" t="s">
        <v>27</v>
      </c>
      <c r="D365" s="8" t="s">
        <v>238</v>
      </c>
      <c r="E365" s="16" t="s">
        <v>422</v>
      </c>
      <c r="F365" s="10"/>
      <c r="G365" s="19"/>
      <c r="H365" s="18"/>
      <c r="I365" s="13">
        <v>13249.0</v>
      </c>
      <c r="J365" s="14" t="s">
        <v>103</v>
      </c>
      <c r="K365" s="8" t="s">
        <v>599</v>
      </c>
      <c r="L365" s="15">
        <v>1723708.0</v>
      </c>
      <c r="M365" s="15">
        <v>186.0</v>
      </c>
    </row>
    <row r="366" ht="22.5" customHeight="1">
      <c r="A366" s="7" t="s">
        <v>600</v>
      </c>
      <c r="B366" s="8" t="s">
        <v>128</v>
      </c>
      <c r="C366" s="8" t="s">
        <v>15</v>
      </c>
      <c r="D366" s="8" t="s">
        <v>123</v>
      </c>
      <c r="E366" s="16" t="s">
        <v>422</v>
      </c>
      <c r="F366" s="8" t="s">
        <v>559</v>
      </c>
      <c r="G366" s="19"/>
      <c r="H366" s="18"/>
      <c r="I366" s="13">
        <v>2792.0</v>
      </c>
      <c r="J366" s="14" t="s">
        <v>103</v>
      </c>
      <c r="K366" s="8" t="s">
        <v>204</v>
      </c>
      <c r="L366" s="15">
        <v>1336940.0</v>
      </c>
      <c r="M366" s="15">
        <v>235.0</v>
      </c>
    </row>
    <row r="367" ht="22.5" customHeight="1">
      <c r="A367" s="7" t="s">
        <v>601</v>
      </c>
      <c r="B367" s="8" t="s">
        <v>266</v>
      </c>
      <c r="C367" s="8" t="s">
        <v>15</v>
      </c>
      <c r="D367" s="8" t="s">
        <v>248</v>
      </c>
      <c r="E367" s="16" t="s">
        <v>422</v>
      </c>
      <c r="F367" s="10"/>
      <c r="G367" s="19"/>
      <c r="H367" s="18"/>
      <c r="I367" s="13" t="s">
        <v>596</v>
      </c>
      <c r="J367" s="14" t="s">
        <v>103</v>
      </c>
      <c r="K367" s="8" t="s">
        <v>241</v>
      </c>
      <c r="L367" s="15">
        <v>715796.0</v>
      </c>
      <c r="M367" s="15">
        <v>343.0</v>
      </c>
    </row>
    <row r="368" ht="22.5" customHeight="1">
      <c r="A368" s="7" t="s">
        <v>602</v>
      </c>
      <c r="B368" s="8">
        <v>6.0</v>
      </c>
      <c r="C368" s="8" t="s">
        <v>23</v>
      </c>
      <c r="D368" s="8" t="s">
        <v>230</v>
      </c>
      <c r="E368" s="16" t="s">
        <v>422</v>
      </c>
      <c r="F368" s="10"/>
      <c r="G368" s="19"/>
      <c r="H368" s="18"/>
      <c r="I368" s="13">
        <v>6947.0</v>
      </c>
      <c r="J368" s="14" t="s">
        <v>53</v>
      </c>
      <c r="K368" s="8" t="s">
        <v>79</v>
      </c>
      <c r="L368" s="15">
        <v>597739.0</v>
      </c>
      <c r="M368" s="15">
        <v>359.0</v>
      </c>
    </row>
    <row r="369" ht="22.5" customHeight="1">
      <c r="A369" s="7" t="s">
        <v>603</v>
      </c>
      <c r="B369" s="8" t="s">
        <v>191</v>
      </c>
      <c r="C369" s="8" t="s">
        <v>15</v>
      </c>
      <c r="D369" s="8" t="s">
        <v>248</v>
      </c>
      <c r="E369" s="16" t="s">
        <v>422</v>
      </c>
      <c r="F369" s="8" t="s">
        <v>426</v>
      </c>
      <c r="G369" s="19"/>
      <c r="H369" s="18"/>
      <c r="I369" s="13" t="s">
        <v>596</v>
      </c>
      <c r="J369" s="14" t="s">
        <v>103</v>
      </c>
      <c r="K369" s="8" t="s">
        <v>241</v>
      </c>
      <c r="L369" s="15">
        <v>272614.0</v>
      </c>
      <c r="M369" s="15">
        <v>412.0</v>
      </c>
    </row>
    <row r="370" ht="22.5" customHeight="1">
      <c r="A370" s="7" t="s">
        <v>604</v>
      </c>
      <c r="B370" s="8" t="s">
        <v>328</v>
      </c>
      <c r="C370" s="8" t="s">
        <v>15</v>
      </c>
      <c r="D370" s="8" t="s">
        <v>192</v>
      </c>
      <c r="E370" s="16" t="s">
        <v>422</v>
      </c>
      <c r="F370" s="8" t="s">
        <v>426</v>
      </c>
      <c r="G370" s="19"/>
      <c r="H370" s="18"/>
      <c r="I370" s="13">
        <v>3182.0</v>
      </c>
      <c r="J370" s="14" t="s">
        <v>20</v>
      </c>
      <c r="K370" s="8" t="s">
        <v>563</v>
      </c>
      <c r="L370" s="15">
        <v>7079160.0</v>
      </c>
      <c r="M370" s="15">
        <v>27.0</v>
      </c>
    </row>
    <row r="371" ht="22.5" customHeight="1">
      <c r="A371" s="7" t="s">
        <v>604</v>
      </c>
      <c r="B371" s="8" t="s">
        <v>605</v>
      </c>
      <c r="C371" s="8" t="s">
        <v>27</v>
      </c>
      <c r="D371" s="8" t="s">
        <v>43</v>
      </c>
      <c r="E371" s="16" t="s">
        <v>422</v>
      </c>
      <c r="F371" s="8" t="s">
        <v>426</v>
      </c>
      <c r="G371" s="19"/>
      <c r="H371" s="18"/>
      <c r="I371" s="13">
        <v>13150.0</v>
      </c>
      <c r="J371" s="14" t="s">
        <v>20</v>
      </c>
      <c r="K371" s="8" t="s">
        <v>563</v>
      </c>
      <c r="L371" s="15">
        <v>7079160.0</v>
      </c>
      <c r="M371" s="15">
        <v>27.0</v>
      </c>
    </row>
    <row r="372" ht="22.5" customHeight="1">
      <c r="A372" s="7" t="s">
        <v>606</v>
      </c>
      <c r="B372" s="8" t="s">
        <v>300</v>
      </c>
      <c r="C372" s="8" t="s">
        <v>27</v>
      </c>
      <c r="D372" s="8" t="s">
        <v>126</v>
      </c>
      <c r="E372" s="16" t="s">
        <v>422</v>
      </c>
      <c r="F372" s="10"/>
      <c r="G372" s="19"/>
      <c r="H372" s="18"/>
      <c r="I372" s="13">
        <v>7015.0</v>
      </c>
      <c r="J372" s="14" t="s">
        <v>103</v>
      </c>
      <c r="K372" s="8" t="s">
        <v>205</v>
      </c>
      <c r="L372" s="15">
        <v>835510.0</v>
      </c>
      <c r="M372" s="15">
        <v>324.0</v>
      </c>
    </row>
    <row r="373" ht="22.5" customHeight="1">
      <c r="A373" s="7" t="s">
        <v>228</v>
      </c>
      <c r="B373" s="8" t="s">
        <v>58</v>
      </c>
      <c r="C373" s="8" t="s">
        <v>27</v>
      </c>
      <c r="D373" s="8" t="s">
        <v>28</v>
      </c>
      <c r="E373" s="16" t="s">
        <v>422</v>
      </c>
      <c r="F373" s="10"/>
      <c r="G373" s="19"/>
      <c r="H373" s="18"/>
      <c r="I373" s="13">
        <v>11942.0</v>
      </c>
      <c r="J373" s="14" t="s">
        <v>20</v>
      </c>
      <c r="K373" s="8" t="s">
        <v>64</v>
      </c>
      <c r="L373" s="15">
        <v>1423484.0</v>
      </c>
      <c r="M373" s="15">
        <v>225.0</v>
      </c>
    </row>
    <row r="374" ht="22.5" customHeight="1">
      <c r="A374" s="7" t="s">
        <v>607</v>
      </c>
      <c r="B374" s="8" t="s">
        <v>14</v>
      </c>
      <c r="C374" s="8" t="s">
        <v>15</v>
      </c>
      <c r="D374" s="8" t="s">
        <v>16</v>
      </c>
      <c r="E374" s="16" t="s">
        <v>422</v>
      </c>
      <c r="F374" s="10"/>
      <c r="G374" s="19"/>
      <c r="H374" s="18"/>
      <c r="I374" s="13">
        <v>2401.0</v>
      </c>
      <c r="J374" s="14" t="s">
        <v>103</v>
      </c>
      <c r="K374" s="8" t="s">
        <v>196</v>
      </c>
      <c r="L374" s="15">
        <v>559693.0</v>
      </c>
      <c r="M374" s="15">
        <v>371.0</v>
      </c>
    </row>
    <row r="375" ht="22.5" customHeight="1">
      <c r="A375" s="7" t="s">
        <v>608</v>
      </c>
      <c r="B375" s="8">
        <v>6.0</v>
      </c>
      <c r="C375" s="8" t="s">
        <v>23</v>
      </c>
      <c r="D375" s="8" t="s">
        <v>230</v>
      </c>
      <c r="E375" s="16" t="s">
        <v>422</v>
      </c>
      <c r="F375" s="10"/>
      <c r="G375" s="19"/>
      <c r="H375" s="18"/>
      <c r="I375" s="13">
        <v>6947.0</v>
      </c>
      <c r="J375" s="14" t="s">
        <v>53</v>
      </c>
      <c r="K375" s="8" t="s">
        <v>79</v>
      </c>
      <c r="L375" s="15">
        <v>264544.0</v>
      </c>
      <c r="M375" s="15">
        <v>413.0</v>
      </c>
    </row>
    <row r="376" ht="22.5" customHeight="1">
      <c r="A376" s="7" t="s">
        <v>609</v>
      </c>
      <c r="B376" s="8" t="s">
        <v>300</v>
      </c>
      <c r="C376" s="8" t="s">
        <v>27</v>
      </c>
      <c r="D376" s="8" t="s">
        <v>43</v>
      </c>
      <c r="E376" s="16" t="s">
        <v>422</v>
      </c>
      <c r="F376" s="10"/>
      <c r="G376" s="19"/>
      <c r="H376" s="18"/>
      <c r="I376" s="13">
        <v>13150.0</v>
      </c>
      <c r="J376" s="14" t="s">
        <v>20</v>
      </c>
      <c r="K376" s="8" t="s">
        <v>563</v>
      </c>
      <c r="L376" s="15">
        <v>3596399.0</v>
      </c>
      <c r="M376" s="15">
        <v>91.0</v>
      </c>
    </row>
    <row r="377" ht="22.5" customHeight="1">
      <c r="A377" s="7" t="s">
        <v>610</v>
      </c>
      <c r="B377" s="8">
        <v>5.0</v>
      </c>
      <c r="C377" s="8" t="s">
        <v>23</v>
      </c>
      <c r="D377" s="8" t="s">
        <v>282</v>
      </c>
      <c r="E377" s="16" t="s">
        <v>422</v>
      </c>
      <c r="F377" s="8" t="s">
        <v>426</v>
      </c>
      <c r="G377" s="19"/>
      <c r="H377" s="18"/>
      <c r="I377" s="13">
        <v>15111.0</v>
      </c>
      <c r="J377" s="14" t="s">
        <v>53</v>
      </c>
      <c r="K377" s="8" t="s">
        <v>543</v>
      </c>
      <c r="L377" s="15">
        <v>696740.0</v>
      </c>
      <c r="M377" s="15">
        <v>345.0</v>
      </c>
    </row>
    <row r="378" ht="22.5" customHeight="1">
      <c r="A378" s="7" t="s">
        <v>611</v>
      </c>
      <c r="B378" s="8">
        <v>6.0</v>
      </c>
      <c r="C378" s="8" t="s">
        <v>23</v>
      </c>
      <c r="D378" s="8" t="s">
        <v>230</v>
      </c>
      <c r="E378" s="16" t="s">
        <v>422</v>
      </c>
      <c r="F378" s="8" t="s">
        <v>426</v>
      </c>
      <c r="G378" s="19"/>
      <c r="H378" s="18"/>
      <c r="I378" s="13">
        <v>7456.0</v>
      </c>
      <c r="J378" s="14" t="s">
        <v>53</v>
      </c>
      <c r="K378" s="8" t="s">
        <v>612</v>
      </c>
      <c r="L378" s="15">
        <v>1118754.0</v>
      </c>
      <c r="M378" s="15">
        <v>271.0</v>
      </c>
    </row>
    <row r="379" ht="22.5" customHeight="1">
      <c r="A379" s="7" t="s">
        <v>613</v>
      </c>
      <c r="B379" s="8" t="s">
        <v>340</v>
      </c>
      <c r="C379" s="8" t="s">
        <v>27</v>
      </c>
      <c r="D379" s="8" t="s">
        <v>94</v>
      </c>
      <c r="E379" s="16" t="s">
        <v>422</v>
      </c>
      <c r="F379" s="8" t="s">
        <v>426</v>
      </c>
      <c r="G379" s="19"/>
      <c r="H379" s="18"/>
      <c r="I379" s="13">
        <v>13515.0</v>
      </c>
      <c r="J379" s="14" t="s">
        <v>68</v>
      </c>
      <c r="K379" s="8" t="s">
        <v>518</v>
      </c>
      <c r="L379" s="15">
        <v>2893156.0</v>
      </c>
      <c r="M379" s="15">
        <v>115.0</v>
      </c>
    </row>
    <row r="380" ht="22.5" customHeight="1">
      <c r="A380" s="7" t="s">
        <v>614</v>
      </c>
      <c r="B380" s="8" t="s">
        <v>145</v>
      </c>
      <c r="C380" s="8" t="s">
        <v>145</v>
      </c>
      <c r="D380" s="8" t="s">
        <v>146</v>
      </c>
      <c r="E380" s="16" t="s">
        <v>422</v>
      </c>
      <c r="F380" s="10"/>
      <c r="G380" s="19"/>
      <c r="H380" s="18"/>
      <c r="I380" s="13" t="s">
        <v>227</v>
      </c>
      <c r="J380" s="14" t="s">
        <v>147</v>
      </c>
      <c r="K380" s="8" t="s">
        <v>614</v>
      </c>
      <c r="L380" s="15"/>
      <c r="M380" s="15"/>
    </row>
    <row r="381" ht="22.5" customHeight="1">
      <c r="A381" s="7" t="s">
        <v>246</v>
      </c>
      <c r="B381" s="8" t="s">
        <v>215</v>
      </c>
      <c r="C381" s="8" t="s">
        <v>27</v>
      </c>
      <c r="D381" s="8" t="s">
        <v>216</v>
      </c>
      <c r="E381" s="16" t="s">
        <v>422</v>
      </c>
      <c r="F381" s="8" t="s">
        <v>426</v>
      </c>
      <c r="G381" s="19"/>
      <c r="H381" s="18"/>
      <c r="I381" s="13">
        <v>13697.0</v>
      </c>
      <c r="J381" s="14" t="s">
        <v>103</v>
      </c>
      <c r="K381" s="8" t="s">
        <v>262</v>
      </c>
      <c r="L381" s="15">
        <v>662660.0</v>
      </c>
      <c r="M381" s="15">
        <v>353.0</v>
      </c>
    </row>
    <row r="382" ht="22.5" customHeight="1">
      <c r="A382" s="7" t="s">
        <v>252</v>
      </c>
      <c r="B382" s="8" t="s">
        <v>50</v>
      </c>
      <c r="C382" s="8" t="s">
        <v>27</v>
      </c>
      <c r="D382" s="8" t="s">
        <v>51</v>
      </c>
      <c r="E382" s="16" t="s">
        <v>422</v>
      </c>
      <c r="F382" s="8" t="s">
        <v>426</v>
      </c>
      <c r="G382" s="19"/>
      <c r="H382" s="18"/>
      <c r="I382" s="13">
        <v>12236.0</v>
      </c>
      <c r="J382" s="14" t="s">
        <v>53</v>
      </c>
      <c r="K382" s="8" t="s">
        <v>318</v>
      </c>
      <c r="L382" s="15">
        <v>1679247.0</v>
      </c>
      <c r="M382" s="15">
        <v>196.0</v>
      </c>
    </row>
    <row r="383" ht="22.5" customHeight="1">
      <c r="A383" s="7" t="s">
        <v>615</v>
      </c>
      <c r="B383" s="8" t="s">
        <v>66</v>
      </c>
      <c r="C383" s="8" t="s">
        <v>15</v>
      </c>
      <c r="D383" s="8" t="s">
        <v>331</v>
      </c>
      <c r="E383" s="16" t="s">
        <v>422</v>
      </c>
      <c r="F383" s="8" t="s">
        <v>426</v>
      </c>
      <c r="G383" s="19"/>
      <c r="H383" s="18"/>
      <c r="I383" s="13">
        <v>5532.0</v>
      </c>
      <c r="J383" s="14" t="s">
        <v>68</v>
      </c>
      <c r="K383" s="8" t="s">
        <v>616</v>
      </c>
      <c r="L383" s="15">
        <v>998920.0</v>
      </c>
      <c r="M383" s="15">
        <v>291.0</v>
      </c>
    </row>
    <row r="384" ht="22.5" customHeight="1">
      <c r="A384" s="7" t="s">
        <v>617</v>
      </c>
      <c r="B384" s="8" t="s">
        <v>618</v>
      </c>
      <c r="C384" s="8" t="s">
        <v>27</v>
      </c>
      <c r="D384" s="8" t="s">
        <v>126</v>
      </c>
      <c r="E384" s="16" t="s">
        <v>422</v>
      </c>
      <c r="F384" s="8" t="s">
        <v>426</v>
      </c>
      <c r="G384" s="19"/>
      <c r="H384" s="18"/>
      <c r="I384" s="13">
        <v>12334.0</v>
      </c>
      <c r="J384" s="14" t="s">
        <v>103</v>
      </c>
      <c r="K384" s="8" t="s">
        <v>444</v>
      </c>
      <c r="L384" s="15">
        <v>1343879.0</v>
      </c>
      <c r="M384" s="15">
        <v>234.0</v>
      </c>
    </row>
    <row r="385" ht="22.5" customHeight="1">
      <c r="A385" s="7" t="s">
        <v>617</v>
      </c>
      <c r="B385" s="8" t="s">
        <v>110</v>
      </c>
      <c r="C385" s="8" t="s">
        <v>15</v>
      </c>
      <c r="D385" s="8" t="s">
        <v>111</v>
      </c>
      <c r="E385" s="16" t="s">
        <v>422</v>
      </c>
      <c r="F385" s="8" t="s">
        <v>426</v>
      </c>
      <c r="G385" s="19"/>
      <c r="H385" s="18"/>
      <c r="I385" s="13">
        <v>5652.0</v>
      </c>
      <c r="J385" s="14" t="s">
        <v>103</v>
      </c>
      <c r="K385" s="8" t="s">
        <v>114</v>
      </c>
      <c r="L385" s="15">
        <v>1536978.0</v>
      </c>
      <c r="M385" s="15">
        <v>209.0</v>
      </c>
    </row>
    <row r="386" ht="22.5" customHeight="1">
      <c r="A386" s="7" t="s">
        <v>617</v>
      </c>
      <c r="B386" s="8" t="s">
        <v>115</v>
      </c>
      <c r="C386" s="8" t="s">
        <v>15</v>
      </c>
      <c r="D386" s="8" t="s">
        <v>116</v>
      </c>
      <c r="E386" s="16" t="s">
        <v>422</v>
      </c>
      <c r="F386" s="8" t="s">
        <v>426</v>
      </c>
      <c r="G386" s="19"/>
      <c r="H386" s="18"/>
      <c r="I386" s="13">
        <v>6020.0</v>
      </c>
      <c r="J386" s="14" t="s">
        <v>103</v>
      </c>
      <c r="K386" s="8" t="s">
        <v>114</v>
      </c>
      <c r="L386" s="15">
        <v>907528.0</v>
      </c>
      <c r="M386" s="15">
        <v>312.0</v>
      </c>
    </row>
    <row r="387" ht="22.5" customHeight="1">
      <c r="A387" s="7" t="s">
        <v>619</v>
      </c>
      <c r="B387" s="8">
        <v>1.0</v>
      </c>
      <c r="C387" s="8" t="s">
        <v>23</v>
      </c>
      <c r="D387" s="8" t="s">
        <v>24</v>
      </c>
      <c r="E387" s="16" t="s">
        <v>422</v>
      </c>
      <c r="F387" s="10"/>
      <c r="G387" s="19"/>
      <c r="H387" s="18"/>
      <c r="I387" s="13">
        <v>6757.0</v>
      </c>
      <c r="J387" s="14" t="s">
        <v>20</v>
      </c>
      <c r="K387" s="8" t="s">
        <v>580</v>
      </c>
      <c r="L387" s="15">
        <v>1408018.0</v>
      </c>
      <c r="M387" s="15">
        <v>227.0</v>
      </c>
    </row>
    <row r="388" ht="22.5" customHeight="1">
      <c r="A388" s="7" t="s">
        <v>620</v>
      </c>
      <c r="B388" s="23">
        <v>46058.0</v>
      </c>
      <c r="C388" s="8" t="s">
        <v>23</v>
      </c>
      <c r="D388" s="8" t="s">
        <v>75</v>
      </c>
      <c r="E388" s="16" t="s">
        <v>422</v>
      </c>
      <c r="F388" s="10"/>
      <c r="G388" s="19"/>
      <c r="H388" s="18"/>
      <c r="I388" s="13">
        <v>1792.0</v>
      </c>
      <c r="J388" s="14" t="s">
        <v>53</v>
      </c>
      <c r="K388" s="8" t="s">
        <v>452</v>
      </c>
      <c r="L388" s="15">
        <v>802767.0</v>
      </c>
      <c r="M388" s="15">
        <v>328.0</v>
      </c>
    </row>
    <row r="389" ht="22.5" customHeight="1">
      <c r="A389" s="7" t="s">
        <v>621</v>
      </c>
      <c r="B389" s="8" t="s">
        <v>66</v>
      </c>
      <c r="C389" s="8" t="s">
        <v>15</v>
      </c>
      <c r="D389" s="8" t="s">
        <v>331</v>
      </c>
      <c r="E389" s="16" t="s">
        <v>422</v>
      </c>
      <c r="F389" s="10"/>
      <c r="G389" s="19"/>
      <c r="H389" s="18"/>
      <c r="I389" s="13">
        <v>5532.0</v>
      </c>
      <c r="J389" s="14" t="s">
        <v>68</v>
      </c>
      <c r="K389" s="8" t="s">
        <v>616</v>
      </c>
      <c r="L389" s="15">
        <v>1207460.0</v>
      </c>
      <c r="M389" s="15">
        <v>253.0</v>
      </c>
    </row>
    <row r="390" ht="22.5" customHeight="1">
      <c r="A390" s="7" t="s">
        <v>265</v>
      </c>
      <c r="B390" s="8" t="s">
        <v>215</v>
      </c>
      <c r="C390" s="8" t="s">
        <v>27</v>
      </c>
      <c r="D390" s="8" t="s">
        <v>216</v>
      </c>
      <c r="E390" s="16" t="s">
        <v>422</v>
      </c>
      <c r="F390" s="8" t="s">
        <v>426</v>
      </c>
      <c r="G390" s="19"/>
      <c r="H390" s="18"/>
      <c r="I390" s="13">
        <v>13697.0</v>
      </c>
      <c r="J390" s="14" t="s">
        <v>103</v>
      </c>
      <c r="K390" s="8" t="s">
        <v>622</v>
      </c>
      <c r="L390" s="15">
        <v>1417115.0</v>
      </c>
      <c r="M390" s="15">
        <v>226.0</v>
      </c>
    </row>
    <row r="391" ht="22.5" customHeight="1">
      <c r="A391" s="7" t="s">
        <v>623</v>
      </c>
      <c r="B391" s="8" t="s">
        <v>266</v>
      </c>
      <c r="C391" s="8" t="s">
        <v>15</v>
      </c>
      <c r="D391" s="8" t="s">
        <v>248</v>
      </c>
      <c r="E391" s="16" t="s">
        <v>422</v>
      </c>
      <c r="F391" s="8" t="s">
        <v>426</v>
      </c>
      <c r="G391" s="19"/>
      <c r="H391" s="18"/>
      <c r="I391" s="13" t="s">
        <v>624</v>
      </c>
      <c r="J391" s="14" t="s">
        <v>103</v>
      </c>
      <c r="K391" s="8" t="s">
        <v>262</v>
      </c>
      <c r="L391" s="15">
        <v>1466874.0</v>
      </c>
      <c r="M391" s="15">
        <v>216.0</v>
      </c>
    </row>
    <row r="392" ht="22.5" customHeight="1">
      <c r="A392" s="7" t="s">
        <v>625</v>
      </c>
      <c r="B392" s="8" t="s">
        <v>14</v>
      </c>
      <c r="C392" s="8" t="s">
        <v>15</v>
      </c>
      <c r="D392" s="8" t="s">
        <v>16</v>
      </c>
      <c r="E392" s="16" t="s">
        <v>422</v>
      </c>
      <c r="F392" s="10"/>
      <c r="G392" s="19"/>
      <c r="H392" s="18"/>
      <c r="I392" s="13">
        <v>8948.0</v>
      </c>
      <c r="J392" s="14" t="s">
        <v>103</v>
      </c>
      <c r="K392" s="8" t="s">
        <v>174</v>
      </c>
      <c r="L392" s="15">
        <v>2265177.0</v>
      </c>
      <c r="M392" s="15">
        <v>143.0</v>
      </c>
    </row>
    <row r="393" ht="22.5" customHeight="1">
      <c r="A393" s="7" t="s">
        <v>626</v>
      </c>
      <c r="B393" s="23">
        <v>46056.0</v>
      </c>
      <c r="C393" s="8" t="s">
        <v>23</v>
      </c>
      <c r="D393" s="8" t="s">
        <v>158</v>
      </c>
      <c r="E393" s="16" t="s">
        <v>422</v>
      </c>
      <c r="F393" s="8" t="s">
        <v>426</v>
      </c>
      <c r="G393" s="19"/>
      <c r="H393" s="18"/>
      <c r="I393" s="13">
        <v>7589.0</v>
      </c>
      <c r="J393" s="14" t="s">
        <v>103</v>
      </c>
      <c r="K393" s="8" t="s">
        <v>124</v>
      </c>
      <c r="L393" s="15">
        <v>1730993.0</v>
      </c>
      <c r="M393" s="15">
        <v>185.0</v>
      </c>
    </row>
    <row r="394" ht="22.5" customHeight="1">
      <c r="A394" s="7" t="s">
        <v>627</v>
      </c>
      <c r="B394" s="8" t="s">
        <v>340</v>
      </c>
      <c r="C394" s="8" t="s">
        <v>27</v>
      </c>
      <c r="D394" s="8" t="s">
        <v>94</v>
      </c>
      <c r="E394" s="16" t="s">
        <v>422</v>
      </c>
      <c r="F394" s="8" t="s">
        <v>426</v>
      </c>
      <c r="G394" s="19"/>
      <c r="H394" s="18"/>
      <c r="I394" s="13">
        <v>13515.0</v>
      </c>
      <c r="J394" s="14" t="s">
        <v>68</v>
      </c>
      <c r="K394" s="8" t="s">
        <v>518</v>
      </c>
      <c r="L394" s="15">
        <v>4057622.0</v>
      </c>
      <c r="M394" s="15">
        <v>74.0</v>
      </c>
    </row>
    <row r="395" ht="22.5" customHeight="1">
      <c r="A395" s="7" t="s">
        <v>272</v>
      </c>
      <c r="B395" s="8" t="s">
        <v>50</v>
      </c>
      <c r="C395" s="8" t="s">
        <v>27</v>
      </c>
      <c r="D395" s="8" t="s">
        <v>43</v>
      </c>
      <c r="E395" s="16" t="s">
        <v>422</v>
      </c>
      <c r="F395" s="10"/>
      <c r="G395" s="19"/>
      <c r="H395" s="18"/>
      <c r="I395" s="13">
        <v>24802.0</v>
      </c>
      <c r="J395" s="14" t="s">
        <v>20</v>
      </c>
      <c r="K395" s="8" t="s">
        <v>194</v>
      </c>
      <c r="L395" s="15">
        <v>5902255.0</v>
      </c>
      <c r="M395" s="15">
        <v>44.0</v>
      </c>
    </row>
    <row r="396" ht="22.5" customHeight="1">
      <c r="A396" s="7" t="s">
        <v>628</v>
      </c>
      <c r="B396" s="8" t="s">
        <v>58</v>
      </c>
      <c r="C396" s="8" t="s">
        <v>27</v>
      </c>
      <c r="D396" s="8" t="s">
        <v>238</v>
      </c>
      <c r="E396" s="16" t="s">
        <v>422</v>
      </c>
      <c r="F396" s="10"/>
      <c r="G396" s="19"/>
      <c r="H396" s="18"/>
      <c r="I396" s="13">
        <v>20574.0</v>
      </c>
      <c r="J396" s="14" t="s">
        <v>103</v>
      </c>
      <c r="K396" s="8" t="s">
        <v>241</v>
      </c>
      <c r="L396" s="15">
        <v>1113187.0</v>
      </c>
      <c r="M396" s="15">
        <v>273.0</v>
      </c>
    </row>
    <row r="397" ht="22.5" customHeight="1">
      <c r="A397" s="7" t="s">
        <v>629</v>
      </c>
      <c r="B397" s="8" t="s">
        <v>145</v>
      </c>
      <c r="C397" s="8" t="s">
        <v>145</v>
      </c>
      <c r="D397" s="8" t="s">
        <v>146</v>
      </c>
      <c r="E397" s="16" t="s">
        <v>422</v>
      </c>
      <c r="F397" s="10"/>
      <c r="G397" s="19"/>
      <c r="H397" s="18"/>
      <c r="I397" s="13" t="s">
        <v>227</v>
      </c>
      <c r="J397" s="14" t="s">
        <v>147</v>
      </c>
      <c r="K397" s="4" t="s">
        <v>629</v>
      </c>
      <c r="L397" s="15"/>
      <c r="M397" s="15"/>
    </row>
    <row r="398" ht="22.5" customHeight="1">
      <c r="A398" s="7" t="s">
        <v>630</v>
      </c>
      <c r="B398" s="8" t="s">
        <v>145</v>
      </c>
      <c r="C398" s="8" t="s">
        <v>145</v>
      </c>
      <c r="D398" s="8" t="s">
        <v>146</v>
      </c>
      <c r="E398" s="16" t="s">
        <v>422</v>
      </c>
      <c r="F398" s="10"/>
      <c r="G398" s="19"/>
      <c r="H398" s="18"/>
      <c r="I398" s="7">
        <v>1886.0</v>
      </c>
      <c r="J398" s="14" t="s">
        <v>147</v>
      </c>
      <c r="K398" s="8" t="s">
        <v>630</v>
      </c>
      <c r="L398" s="15"/>
      <c r="M398" s="15"/>
    </row>
    <row r="399" ht="22.5" customHeight="1">
      <c r="A399" s="7" t="s">
        <v>631</v>
      </c>
      <c r="B399" s="8" t="s">
        <v>14</v>
      </c>
      <c r="C399" s="8" t="s">
        <v>15</v>
      </c>
      <c r="D399" s="8" t="s">
        <v>16</v>
      </c>
      <c r="E399" s="16" t="s">
        <v>422</v>
      </c>
      <c r="F399" s="10"/>
      <c r="G399" s="19"/>
      <c r="H399" s="18"/>
      <c r="I399" s="13">
        <v>10423.0</v>
      </c>
      <c r="J399" s="14" t="s">
        <v>68</v>
      </c>
      <c r="K399" s="8" t="s">
        <v>616</v>
      </c>
      <c r="L399" s="15">
        <v>1712600.0</v>
      </c>
      <c r="M399" s="15">
        <v>188.0</v>
      </c>
    </row>
    <row r="400" ht="22.5" customHeight="1">
      <c r="A400" s="7" t="s">
        <v>631</v>
      </c>
      <c r="B400" s="8" t="s">
        <v>191</v>
      </c>
      <c r="C400" s="8" t="s">
        <v>15</v>
      </c>
      <c r="D400" s="8" t="s">
        <v>248</v>
      </c>
      <c r="E400" s="16" t="s">
        <v>422</v>
      </c>
      <c r="F400" s="10"/>
      <c r="G400" s="19"/>
      <c r="H400" s="18"/>
      <c r="I400" s="13" t="s">
        <v>632</v>
      </c>
      <c r="J400" s="14" t="s">
        <v>103</v>
      </c>
      <c r="K400" s="8" t="s">
        <v>262</v>
      </c>
      <c r="L400" s="15">
        <v>1221794.0</v>
      </c>
      <c r="M400" s="15">
        <v>251.0</v>
      </c>
    </row>
    <row r="401" ht="22.5" customHeight="1">
      <c r="A401" s="7" t="s">
        <v>633</v>
      </c>
      <c r="B401" s="8" t="s">
        <v>247</v>
      </c>
      <c r="C401" s="8" t="s">
        <v>15</v>
      </c>
      <c r="D401" s="8" t="s">
        <v>248</v>
      </c>
      <c r="E401" s="16" t="s">
        <v>422</v>
      </c>
      <c r="F401" s="10"/>
      <c r="G401" s="19"/>
      <c r="H401" s="18"/>
      <c r="I401" s="13" t="s">
        <v>249</v>
      </c>
      <c r="J401" s="14" t="s">
        <v>103</v>
      </c>
      <c r="K401" s="8" t="s">
        <v>174</v>
      </c>
      <c r="L401" s="15">
        <v>671482.0</v>
      </c>
      <c r="M401" s="15">
        <v>350.0</v>
      </c>
    </row>
    <row r="402" ht="22.5" customHeight="1">
      <c r="A402" s="7" t="s">
        <v>634</v>
      </c>
      <c r="B402" s="8" t="s">
        <v>237</v>
      </c>
      <c r="C402" s="8" t="s">
        <v>27</v>
      </c>
      <c r="D402" s="8" t="s">
        <v>28</v>
      </c>
      <c r="E402" s="16" t="s">
        <v>422</v>
      </c>
      <c r="F402" s="10"/>
      <c r="G402" s="19"/>
      <c r="H402" s="18"/>
      <c r="I402" s="13">
        <v>12229.0</v>
      </c>
      <c r="J402" s="14" t="s">
        <v>103</v>
      </c>
      <c r="K402" s="8" t="s">
        <v>593</v>
      </c>
      <c r="L402" s="15">
        <v>2213320.0</v>
      </c>
      <c r="M402" s="15">
        <v>150.0</v>
      </c>
    </row>
    <row r="403" ht="22.5" customHeight="1">
      <c r="A403" s="7" t="s">
        <v>635</v>
      </c>
      <c r="B403" s="8">
        <v>1.0</v>
      </c>
      <c r="C403" s="8" t="s">
        <v>23</v>
      </c>
      <c r="D403" s="8" t="s">
        <v>24</v>
      </c>
      <c r="E403" s="16" t="s">
        <v>422</v>
      </c>
      <c r="F403" s="10"/>
      <c r="G403" s="19"/>
      <c r="H403" s="18"/>
      <c r="I403" s="13">
        <v>6757.0</v>
      </c>
      <c r="J403" s="14" t="s">
        <v>20</v>
      </c>
      <c r="K403" s="8" t="s">
        <v>188</v>
      </c>
      <c r="L403" s="15">
        <v>3067997.0</v>
      </c>
      <c r="M403" s="15">
        <v>106.0</v>
      </c>
    </row>
    <row r="404" ht="22.5" customHeight="1">
      <c r="A404" s="7" t="s">
        <v>636</v>
      </c>
      <c r="B404" s="8" t="s">
        <v>637</v>
      </c>
      <c r="C404" s="8" t="s">
        <v>27</v>
      </c>
      <c r="D404" s="8" t="s">
        <v>638</v>
      </c>
      <c r="E404" s="16" t="s">
        <v>422</v>
      </c>
      <c r="F404" s="8" t="s">
        <v>426</v>
      </c>
      <c r="G404" s="19"/>
      <c r="H404" s="18"/>
      <c r="I404" s="13">
        <v>13249.0</v>
      </c>
      <c r="J404" s="14" t="s">
        <v>103</v>
      </c>
      <c r="K404" s="8" t="s">
        <v>156</v>
      </c>
      <c r="L404" s="15">
        <v>2866434.0</v>
      </c>
      <c r="M404" s="15">
        <v>118.0</v>
      </c>
    </row>
    <row r="405" ht="22.5" customHeight="1">
      <c r="A405" s="7" t="s">
        <v>639</v>
      </c>
      <c r="B405" s="8" t="s">
        <v>145</v>
      </c>
      <c r="C405" s="8" t="s">
        <v>145</v>
      </c>
      <c r="D405" s="8" t="s">
        <v>146</v>
      </c>
      <c r="E405" s="16" t="s">
        <v>422</v>
      </c>
      <c r="F405" s="8" t="s">
        <v>426</v>
      </c>
      <c r="G405" s="19"/>
      <c r="H405" s="18"/>
      <c r="I405" s="13" t="s">
        <v>378</v>
      </c>
      <c r="J405" s="14" t="s">
        <v>147</v>
      </c>
      <c r="K405" s="8" t="s">
        <v>639</v>
      </c>
      <c r="L405" s="15"/>
      <c r="M405" s="15"/>
    </row>
    <row r="406" ht="22.5" customHeight="1">
      <c r="A406" s="7" t="s">
        <v>640</v>
      </c>
      <c r="B406" s="8">
        <v>7.0</v>
      </c>
      <c r="C406" s="8" t="s">
        <v>23</v>
      </c>
      <c r="D406" s="8" t="s">
        <v>85</v>
      </c>
      <c r="E406" s="16" t="s">
        <v>422</v>
      </c>
      <c r="F406" s="10"/>
      <c r="G406" s="19"/>
      <c r="H406" s="18"/>
      <c r="I406" s="13">
        <v>5890.0</v>
      </c>
      <c r="J406" s="14" t="s">
        <v>68</v>
      </c>
      <c r="K406" s="8" t="s">
        <v>69</v>
      </c>
      <c r="L406" s="15">
        <v>1023393.0</v>
      </c>
      <c r="M406" s="15">
        <v>287.0</v>
      </c>
    </row>
    <row r="407" ht="22.5" customHeight="1">
      <c r="A407" s="7" t="s">
        <v>641</v>
      </c>
      <c r="B407" s="23">
        <v>46058.0</v>
      </c>
      <c r="C407" s="8" t="s">
        <v>23</v>
      </c>
      <c r="D407" s="8" t="s">
        <v>75</v>
      </c>
      <c r="E407" s="16" t="s">
        <v>422</v>
      </c>
      <c r="F407" s="10"/>
      <c r="G407" s="19"/>
      <c r="H407" s="18"/>
      <c r="I407" s="13">
        <v>3773.0</v>
      </c>
      <c r="J407" s="14" t="s">
        <v>53</v>
      </c>
      <c r="K407" s="8" t="s">
        <v>231</v>
      </c>
      <c r="L407" s="15">
        <v>535565.0</v>
      </c>
      <c r="M407" s="15">
        <v>377.0</v>
      </c>
    </row>
    <row r="408" ht="22.5" customHeight="1">
      <c r="A408" s="7" t="s">
        <v>642</v>
      </c>
      <c r="B408" s="23">
        <v>46058.0</v>
      </c>
      <c r="C408" s="8" t="s">
        <v>23</v>
      </c>
      <c r="D408" s="8" t="s">
        <v>75</v>
      </c>
      <c r="E408" s="16" t="s">
        <v>422</v>
      </c>
      <c r="F408" s="10"/>
      <c r="G408" s="19"/>
      <c r="H408" s="18"/>
      <c r="I408" s="13">
        <v>1792.0</v>
      </c>
      <c r="J408" s="14" t="s">
        <v>53</v>
      </c>
      <c r="K408" s="8" t="s">
        <v>643</v>
      </c>
      <c r="L408" s="15">
        <v>924682.0</v>
      </c>
      <c r="M408" s="15">
        <v>308.0</v>
      </c>
    </row>
    <row r="409" ht="22.5" customHeight="1">
      <c r="A409" s="7" t="s">
        <v>644</v>
      </c>
      <c r="B409" s="8" t="s">
        <v>145</v>
      </c>
      <c r="C409" s="8" t="s">
        <v>145</v>
      </c>
      <c r="D409" s="8" t="s">
        <v>146</v>
      </c>
      <c r="E409" s="16" t="s">
        <v>422</v>
      </c>
      <c r="F409" s="10"/>
      <c r="G409" s="19"/>
      <c r="H409" s="18"/>
      <c r="I409" s="7">
        <v>1937.0</v>
      </c>
      <c r="J409" s="14" t="s">
        <v>147</v>
      </c>
      <c r="K409" s="8" t="s">
        <v>645</v>
      </c>
      <c r="L409" s="15"/>
      <c r="M409" s="15"/>
    </row>
    <row r="410" ht="22.5" customHeight="1">
      <c r="A410" s="7" t="s">
        <v>646</v>
      </c>
      <c r="B410" s="8" t="s">
        <v>14</v>
      </c>
      <c r="C410" s="8" t="s">
        <v>15</v>
      </c>
      <c r="D410" s="8" t="s">
        <v>16</v>
      </c>
      <c r="E410" s="16" t="s">
        <v>422</v>
      </c>
      <c r="F410" s="8" t="s">
        <v>426</v>
      </c>
      <c r="G410" s="19"/>
      <c r="H410" s="18"/>
      <c r="I410" s="13">
        <v>10423.0</v>
      </c>
      <c r="J410" s="14" t="s">
        <v>103</v>
      </c>
      <c r="K410" s="8" t="s">
        <v>222</v>
      </c>
      <c r="L410" s="15">
        <v>2285957.0</v>
      </c>
      <c r="M410" s="15">
        <v>141.0</v>
      </c>
    </row>
    <row r="411" ht="22.5" customHeight="1">
      <c r="A411" s="7" t="s">
        <v>647</v>
      </c>
      <c r="B411" s="8">
        <v>3.0</v>
      </c>
      <c r="C411" s="8" t="s">
        <v>23</v>
      </c>
      <c r="D411" s="8" t="s">
        <v>648</v>
      </c>
      <c r="E411" s="16" t="s">
        <v>422</v>
      </c>
      <c r="F411" s="8" t="s">
        <v>426</v>
      </c>
      <c r="G411" s="19"/>
      <c r="H411" s="18"/>
      <c r="I411" s="13">
        <v>7632.0</v>
      </c>
      <c r="J411" s="14" t="s">
        <v>103</v>
      </c>
      <c r="K411" s="8" t="s">
        <v>326</v>
      </c>
      <c r="L411" s="15">
        <v>495941.0</v>
      </c>
      <c r="M411" s="15">
        <v>384.0</v>
      </c>
    </row>
    <row r="412" ht="22.5" customHeight="1">
      <c r="A412" s="7" t="s">
        <v>313</v>
      </c>
      <c r="B412" s="8" t="s">
        <v>300</v>
      </c>
      <c r="C412" s="8" t="s">
        <v>27</v>
      </c>
      <c r="D412" s="8" t="s">
        <v>126</v>
      </c>
      <c r="E412" s="16" t="s">
        <v>422</v>
      </c>
      <c r="F412" s="8" t="s">
        <v>426</v>
      </c>
      <c r="G412" s="19"/>
      <c r="H412" s="18"/>
      <c r="I412" s="13">
        <v>7015.0</v>
      </c>
      <c r="J412" s="14" t="s">
        <v>103</v>
      </c>
      <c r="K412" s="8" t="s">
        <v>514</v>
      </c>
      <c r="L412" s="15">
        <v>764764.0</v>
      </c>
      <c r="M412" s="15">
        <v>337.0</v>
      </c>
    </row>
    <row r="413" ht="22.5" customHeight="1">
      <c r="A413" s="7" t="s">
        <v>313</v>
      </c>
      <c r="B413" s="8" t="s">
        <v>110</v>
      </c>
      <c r="C413" s="8" t="s">
        <v>15</v>
      </c>
      <c r="D413" s="8" t="s">
        <v>111</v>
      </c>
      <c r="E413" s="16" t="s">
        <v>422</v>
      </c>
      <c r="F413" s="8" t="s">
        <v>426</v>
      </c>
      <c r="G413" s="19"/>
      <c r="H413" s="18"/>
      <c r="I413" s="13">
        <v>5652.0</v>
      </c>
      <c r="J413" s="14" t="s">
        <v>103</v>
      </c>
      <c r="K413" s="8" t="s">
        <v>514</v>
      </c>
      <c r="L413" s="15">
        <v>1297592.0</v>
      </c>
      <c r="M413" s="15">
        <v>240.0</v>
      </c>
    </row>
    <row r="414" ht="22.5" customHeight="1">
      <c r="A414" s="7" t="s">
        <v>649</v>
      </c>
      <c r="B414" s="8">
        <v>3.0</v>
      </c>
      <c r="C414" s="8" t="s">
        <v>23</v>
      </c>
      <c r="D414" s="8" t="s">
        <v>158</v>
      </c>
      <c r="E414" s="16" t="s">
        <v>422</v>
      </c>
      <c r="F414" s="10"/>
      <c r="G414" s="19"/>
      <c r="H414" s="18"/>
      <c r="I414" s="13">
        <v>7541.0</v>
      </c>
      <c r="J414" s="14" t="s">
        <v>103</v>
      </c>
      <c r="K414" s="8" t="s">
        <v>219</v>
      </c>
      <c r="L414" s="15">
        <v>987378.0</v>
      </c>
      <c r="M414" s="15">
        <v>294.0</v>
      </c>
    </row>
    <row r="415" ht="22.5" customHeight="1">
      <c r="A415" s="7" t="s">
        <v>650</v>
      </c>
      <c r="B415" s="8" t="s">
        <v>446</v>
      </c>
      <c r="C415" s="8" t="s">
        <v>27</v>
      </c>
      <c r="D415" s="8" t="s">
        <v>238</v>
      </c>
      <c r="E415" s="16" t="s">
        <v>422</v>
      </c>
      <c r="F415" s="10"/>
      <c r="G415" s="19"/>
      <c r="H415" s="18"/>
      <c r="I415" s="13">
        <v>13249.0</v>
      </c>
      <c r="J415" s="14" t="s">
        <v>103</v>
      </c>
      <c r="K415" s="8" t="s">
        <v>262</v>
      </c>
      <c r="L415" s="15">
        <v>1541318.0</v>
      </c>
      <c r="M415" s="15">
        <v>207.0</v>
      </c>
    </row>
    <row r="416" ht="22.5" customHeight="1">
      <c r="A416" s="7" t="s">
        <v>651</v>
      </c>
      <c r="B416" s="8" t="s">
        <v>66</v>
      </c>
      <c r="C416" s="8" t="s">
        <v>15</v>
      </c>
      <c r="D416" s="8" t="s">
        <v>331</v>
      </c>
      <c r="E416" s="16" t="s">
        <v>422</v>
      </c>
      <c r="F416" s="10"/>
      <c r="G416" s="19"/>
      <c r="H416" s="18"/>
      <c r="I416" s="13" t="s">
        <v>652</v>
      </c>
      <c r="J416" s="14" t="s">
        <v>103</v>
      </c>
      <c r="K416" s="8" t="s">
        <v>222</v>
      </c>
      <c r="L416" s="15">
        <v>919957.0</v>
      </c>
      <c r="M416" s="15">
        <v>311.0</v>
      </c>
    </row>
    <row r="417" ht="22.5" customHeight="1">
      <c r="A417" s="7" t="s">
        <v>653</v>
      </c>
      <c r="B417" s="8" t="s">
        <v>191</v>
      </c>
      <c r="C417" s="8" t="s">
        <v>15</v>
      </c>
      <c r="D417" s="8" t="s">
        <v>248</v>
      </c>
      <c r="E417" s="16" t="s">
        <v>422</v>
      </c>
      <c r="F417" s="10"/>
      <c r="G417" s="19"/>
      <c r="H417" s="18"/>
      <c r="I417" s="13" t="s">
        <v>249</v>
      </c>
      <c r="J417" s="14" t="s">
        <v>103</v>
      </c>
      <c r="K417" s="8" t="s">
        <v>262</v>
      </c>
      <c r="L417" s="15">
        <v>1310254.0</v>
      </c>
      <c r="M417" s="15">
        <v>238.0</v>
      </c>
    </row>
    <row r="418" ht="22.5" customHeight="1">
      <c r="A418" s="7" t="s">
        <v>654</v>
      </c>
      <c r="B418" s="8" t="s">
        <v>446</v>
      </c>
      <c r="C418" s="8" t="s">
        <v>27</v>
      </c>
      <c r="D418" s="8" t="s">
        <v>238</v>
      </c>
      <c r="E418" s="16" t="s">
        <v>422</v>
      </c>
      <c r="F418" s="10"/>
      <c r="G418" s="19"/>
      <c r="H418" s="18"/>
      <c r="I418" s="13">
        <v>13249.0</v>
      </c>
      <c r="J418" s="14" t="s">
        <v>103</v>
      </c>
      <c r="K418" s="8" t="s">
        <v>622</v>
      </c>
      <c r="L418" s="15">
        <v>1365749.0</v>
      </c>
      <c r="M418" s="15">
        <v>233.0</v>
      </c>
    </row>
    <row r="419" ht="22.5" customHeight="1">
      <c r="A419" s="7" t="s">
        <v>321</v>
      </c>
      <c r="B419" s="8" t="s">
        <v>655</v>
      </c>
      <c r="C419" s="8" t="s">
        <v>27</v>
      </c>
      <c r="D419" s="8" t="s">
        <v>94</v>
      </c>
      <c r="E419" s="16" t="s">
        <v>422</v>
      </c>
      <c r="F419" s="10"/>
      <c r="G419" s="19"/>
      <c r="H419" s="18"/>
      <c r="I419" s="13">
        <v>12285.0</v>
      </c>
      <c r="J419" s="14" t="s">
        <v>20</v>
      </c>
      <c r="K419" s="8" t="s">
        <v>82</v>
      </c>
      <c r="L419" s="15">
        <v>1.2536617E7</v>
      </c>
      <c r="M419" s="15">
        <v>12.0</v>
      </c>
    </row>
    <row r="420" ht="22.5" customHeight="1">
      <c r="A420" s="7" t="s">
        <v>656</v>
      </c>
      <c r="B420" s="8" t="s">
        <v>446</v>
      </c>
      <c r="C420" s="8" t="s">
        <v>27</v>
      </c>
      <c r="D420" s="8" t="s">
        <v>238</v>
      </c>
      <c r="E420" s="16" t="s">
        <v>422</v>
      </c>
      <c r="F420" s="10"/>
      <c r="G420" s="19"/>
      <c r="H420" s="18"/>
      <c r="I420" s="13">
        <v>17865.0</v>
      </c>
      <c r="J420" s="14" t="s">
        <v>103</v>
      </c>
      <c r="K420" s="8" t="s">
        <v>241</v>
      </c>
      <c r="L420" s="15">
        <v>505130.0</v>
      </c>
      <c r="M420" s="15">
        <v>383.0</v>
      </c>
    </row>
    <row r="421" ht="22.5" customHeight="1">
      <c r="A421" s="7" t="s">
        <v>657</v>
      </c>
      <c r="B421" s="8">
        <v>6.0</v>
      </c>
      <c r="C421" s="8" t="s">
        <v>23</v>
      </c>
      <c r="D421" s="8" t="s">
        <v>230</v>
      </c>
      <c r="E421" s="16" t="s">
        <v>422</v>
      </c>
      <c r="F421" s="10"/>
      <c r="G421" s="19"/>
      <c r="H421" s="18"/>
      <c r="I421" s="13">
        <v>6947.0</v>
      </c>
      <c r="J421" s="14" t="s">
        <v>53</v>
      </c>
      <c r="K421" s="8" t="s">
        <v>231</v>
      </c>
      <c r="L421" s="15">
        <v>670300.0</v>
      </c>
      <c r="M421" s="15">
        <v>351.0</v>
      </c>
    </row>
    <row r="422" ht="22.5" customHeight="1">
      <c r="A422" s="7" t="s">
        <v>658</v>
      </c>
      <c r="B422" s="8" t="s">
        <v>247</v>
      </c>
      <c r="C422" s="8" t="s">
        <v>15</v>
      </c>
      <c r="D422" s="8" t="s">
        <v>248</v>
      </c>
      <c r="E422" s="16" t="s">
        <v>422</v>
      </c>
      <c r="F422" s="10"/>
      <c r="G422" s="19"/>
      <c r="H422" s="18"/>
      <c r="I422" s="13" t="s">
        <v>249</v>
      </c>
      <c r="J422" s="14" t="s">
        <v>103</v>
      </c>
      <c r="K422" s="8" t="s">
        <v>174</v>
      </c>
      <c r="L422" s="15">
        <v>907287.0</v>
      </c>
      <c r="M422" s="15">
        <v>313.0</v>
      </c>
    </row>
    <row r="423" ht="22.5" customHeight="1">
      <c r="A423" s="7" t="s">
        <v>659</v>
      </c>
      <c r="B423" s="8">
        <v>1.0</v>
      </c>
      <c r="C423" s="8" t="s">
        <v>23</v>
      </c>
      <c r="D423" s="8" t="s">
        <v>24</v>
      </c>
      <c r="E423" s="16" t="s">
        <v>422</v>
      </c>
      <c r="F423" s="10"/>
      <c r="G423" s="19"/>
      <c r="H423" s="18"/>
      <c r="I423" s="13">
        <v>2571.0</v>
      </c>
      <c r="J423" s="14" t="s">
        <v>20</v>
      </c>
      <c r="K423" s="8" t="s">
        <v>660</v>
      </c>
      <c r="L423" s="15">
        <v>1008592.0</v>
      </c>
      <c r="M423" s="15">
        <v>289.0</v>
      </c>
    </row>
    <row r="424" ht="22.5" customHeight="1">
      <c r="A424" s="7" t="s">
        <v>661</v>
      </c>
      <c r="B424" s="8">
        <v>7.0</v>
      </c>
      <c r="C424" s="8" t="s">
        <v>23</v>
      </c>
      <c r="D424" s="8" t="s">
        <v>85</v>
      </c>
      <c r="E424" s="16" t="s">
        <v>422</v>
      </c>
      <c r="F424" s="10"/>
      <c r="G424" s="19"/>
      <c r="H424" s="18"/>
      <c r="I424" s="13">
        <v>9989.0</v>
      </c>
      <c r="J424" s="14" t="s">
        <v>68</v>
      </c>
      <c r="K424" s="8" t="s">
        <v>662</v>
      </c>
      <c r="L424" s="15">
        <v>1928104.0</v>
      </c>
      <c r="M424" s="15">
        <v>169.0</v>
      </c>
    </row>
    <row r="425" ht="22.5" customHeight="1">
      <c r="A425" s="7" t="s">
        <v>663</v>
      </c>
      <c r="B425" s="8">
        <v>6.0</v>
      </c>
      <c r="C425" s="8" t="s">
        <v>23</v>
      </c>
      <c r="D425" s="8" t="s">
        <v>230</v>
      </c>
      <c r="E425" s="16" t="s">
        <v>422</v>
      </c>
      <c r="F425" s="8" t="s">
        <v>426</v>
      </c>
      <c r="G425" s="19"/>
      <c r="H425" s="18"/>
      <c r="I425" s="13">
        <v>7660.0</v>
      </c>
      <c r="J425" s="14" t="s">
        <v>53</v>
      </c>
      <c r="K425" s="8" t="s">
        <v>347</v>
      </c>
      <c r="L425" s="15">
        <v>400435.0</v>
      </c>
      <c r="M425" s="15">
        <v>400.0</v>
      </c>
    </row>
    <row r="426" ht="22.5" customHeight="1">
      <c r="A426" s="7" t="s">
        <v>664</v>
      </c>
      <c r="B426" s="8" t="s">
        <v>14</v>
      </c>
      <c r="C426" s="8" t="s">
        <v>15</v>
      </c>
      <c r="D426" s="8" t="s">
        <v>16</v>
      </c>
      <c r="E426" s="16" t="s">
        <v>422</v>
      </c>
      <c r="F426" s="10"/>
      <c r="G426" s="19"/>
      <c r="H426" s="18"/>
      <c r="I426" s="13">
        <v>8948.0</v>
      </c>
      <c r="J426" s="14" t="s">
        <v>103</v>
      </c>
      <c r="K426" s="8" t="s">
        <v>665</v>
      </c>
      <c r="L426" s="15">
        <v>1710697.0</v>
      </c>
      <c r="M426" s="15">
        <v>190.0</v>
      </c>
    </row>
    <row r="427" ht="22.5" customHeight="1">
      <c r="A427" s="7" t="s">
        <v>666</v>
      </c>
      <c r="B427" s="8" t="s">
        <v>14</v>
      </c>
      <c r="C427" s="8" t="s">
        <v>15</v>
      </c>
      <c r="D427" s="8" t="s">
        <v>16</v>
      </c>
      <c r="E427" s="16" t="s">
        <v>422</v>
      </c>
      <c r="F427" s="10"/>
      <c r="G427" s="19"/>
      <c r="H427" s="18"/>
      <c r="I427" s="13">
        <v>10423.0</v>
      </c>
      <c r="J427" s="14" t="s">
        <v>103</v>
      </c>
      <c r="K427" s="8" t="s">
        <v>665</v>
      </c>
      <c r="L427" s="15">
        <v>1792079.0</v>
      </c>
      <c r="M427" s="15">
        <v>177.0</v>
      </c>
    </row>
    <row r="428" ht="22.5" customHeight="1">
      <c r="A428" s="7" t="s">
        <v>667</v>
      </c>
      <c r="B428" s="8">
        <v>5.0</v>
      </c>
      <c r="C428" s="8" t="s">
        <v>23</v>
      </c>
      <c r="D428" s="8" t="s">
        <v>282</v>
      </c>
      <c r="E428" s="16" t="s">
        <v>422</v>
      </c>
      <c r="F428" s="10"/>
      <c r="G428" s="19"/>
      <c r="H428" s="18"/>
      <c r="I428" s="13">
        <v>15111.0</v>
      </c>
      <c r="J428" s="14" t="s">
        <v>53</v>
      </c>
      <c r="K428" s="8" t="s">
        <v>667</v>
      </c>
      <c r="L428" s="15">
        <v>528231.0</v>
      </c>
      <c r="M428" s="15">
        <v>379.0</v>
      </c>
    </row>
    <row r="429" ht="22.5" customHeight="1">
      <c r="A429" s="7" t="s">
        <v>668</v>
      </c>
      <c r="B429" s="8">
        <v>6.0</v>
      </c>
      <c r="C429" s="8" t="s">
        <v>23</v>
      </c>
      <c r="D429" s="8" t="s">
        <v>230</v>
      </c>
      <c r="E429" s="16" t="s">
        <v>422</v>
      </c>
      <c r="F429" s="8" t="s">
        <v>426</v>
      </c>
      <c r="G429" s="19"/>
      <c r="H429" s="18"/>
      <c r="I429" s="13">
        <v>7456.0</v>
      </c>
      <c r="J429" s="14" t="s">
        <v>53</v>
      </c>
      <c r="K429" s="8" t="s">
        <v>612</v>
      </c>
      <c r="L429" s="15">
        <v>1063493.0</v>
      </c>
      <c r="M429" s="15">
        <v>282.0</v>
      </c>
    </row>
    <row r="430" ht="22.5" customHeight="1">
      <c r="A430" s="7" t="s">
        <v>669</v>
      </c>
      <c r="B430" s="8">
        <v>4.0</v>
      </c>
      <c r="C430" s="8" t="s">
        <v>23</v>
      </c>
      <c r="D430" s="8" t="s">
        <v>55</v>
      </c>
      <c r="E430" s="16" t="s">
        <v>422</v>
      </c>
      <c r="F430" s="10"/>
      <c r="G430" s="19"/>
      <c r="H430" s="18"/>
      <c r="I430" s="13">
        <v>6363.0</v>
      </c>
      <c r="J430" s="14" t="s">
        <v>53</v>
      </c>
      <c r="K430" s="8" t="s">
        <v>54</v>
      </c>
      <c r="L430" s="15">
        <v>941014.0</v>
      </c>
      <c r="M430" s="15">
        <v>304.0</v>
      </c>
    </row>
    <row r="431" ht="22.5" customHeight="1">
      <c r="A431" s="7" t="s">
        <v>670</v>
      </c>
      <c r="B431" s="8" t="s">
        <v>328</v>
      </c>
      <c r="C431" s="8" t="s">
        <v>15</v>
      </c>
      <c r="D431" s="8" t="s">
        <v>248</v>
      </c>
      <c r="E431" s="16" t="s">
        <v>422</v>
      </c>
      <c r="F431" s="8" t="s">
        <v>426</v>
      </c>
      <c r="G431" s="19"/>
      <c r="H431" s="18"/>
      <c r="I431" s="13" t="s">
        <v>249</v>
      </c>
      <c r="J431" s="14" t="s">
        <v>103</v>
      </c>
      <c r="K431" s="8" t="s">
        <v>262</v>
      </c>
      <c r="L431" s="15">
        <v>2788090.0</v>
      </c>
      <c r="M431" s="15">
        <v>126.0</v>
      </c>
    </row>
    <row r="432" ht="22.5" customHeight="1">
      <c r="A432" s="7" t="s">
        <v>671</v>
      </c>
      <c r="B432" s="8" t="s">
        <v>215</v>
      </c>
      <c r="C432" s="8" t="s">
        <v>27</v>
      </c>
      <c r="D432" s="8" t="s">
        <v>216</v>
      </c>
      <c r="E432" s="16" t="s">
        <v>422</v>
      </c>
      <c r="F432" s="8" t="s">
        <v>426</v>
      </c>
      <c r="G432" s="19"/>
      <c r="H432" s="18"/>
      <c r="I432" s="13">
        <v>13697.0</v>
      </c>
      <c r="J432" s="14" t="s">
        <v>103</v>
      </c>
      <c r="K432" s="8" t="s">
        <v>262</v>
      </c>
      <c r="L432" s="15">
        <v>1081569.0</v>
      </c>
      <c r="M432" s="15">
        <v>279.0</v>
      </c>
    </row>
    <row r="433" ht="22.5" customHeight="1">
      <c r="A433" s="7" t="s">
        <v>672</v>
      </c>
      <c r="B433" s="8" t="s">
        <v>215</v>
      </c>
      <c r="C433" s="8" t="s">
        <v>27</v>
      </c>
      <c r="D433" s="8" t="s">
        <v>216</v>
      </c>
      <c r="E433" s="16" t="s">
        <v>422</v>
      </c>
      <c r="F433" s="10"/>
      <c r="G433" s="19"/>
      <c r="H433" s="18"/>
      <c r="I433" s="13">
        <v>12285.0</v>
      </c>
      <c r="J433" s="14" t="s">
        <v>103</v>
      </c>
      <c r="K433" s="8" t="s">
        <v>280</v>
      </c>
      <c r="L433" s="15">
        <v>2204846.0</v>
      </c>
      <c r="M433" s="15">
        <v>151.0</v>
      </c>
    </row>
    <row r="434" ht="22.5" customHeight="1">
      <c r="A434" s="7" t="s">
        <v>673</v>
      </c>
      <c r="B434" s="8" t="s">
        <v>128</v>
      </c>
      <c r="C434" s="8" t="s">
        <v>15</v>
      </c>
      <c r="D434" s="8" t="s">
        <v>123</v>
      </c>
      <c r="E434" s="16" t="s">
        <v>422</v>
      </c>
      <c r="F434" s="10"/>
      <c r="G434" s="19"/>
      <c r="H434" s="18"/>
      <c r="I434" s="13">
        <v>2792.0</v>
      </c>
      <c r="J434" s="14" t="s">
        <v>103</v>
      </c>
      <c r="K434" s="8" t="s">
        <v>536</v>
      </c>
      <c r="L434" s="15">
        <v>972084.0</v>
      </c>
      <c r="M434" s="15">
        <v>298.0</v>
      </c>
    </row>
    <row r="435" ht="22.5" customHeight="1">
      <c r="A435" s="7" t="s">
        <v>674</v>
      </c>
      <c r="B435" s="8" t="s">
        <v>300</v>
      </c>
      <c r="C435" s="8" t="s">
        <v>27</v>
      </c>
      <c r="D435" s="8" t="s">
        <v>126</v>
      </c>
      <c r="E435" s="16" t="s">
        <v>422</v>
      </c>
      <c r="F435" s="8" t="s">
        <v>426</v>
      </c>
      <c r="G435" s="19"/>
      <c r="H435" s="18"/>
      <c r="I435" s="13">
        <v>7427.0</v>
      </c>
      <c r="J435" s="14" t="s">
        <v>103</v>
      </c>
      <c r="K435" s="8" t="s">
        <v>213</v>
      </c>
      <c r="L435" s="15">
        <v>317976.0</v>
      </c>
      <c r="M435" s="15">
        <v>410.0</v>
      </c>
    </row>
    <row r="436" ht="22.5" customHeight="1">
      <c r="A436" s="7" t="s">
        <v>675</v>
      </c>
      <c r="B436" s="23">
        <v>46058.0</v>
      </c>
      <c r="C436" s="8" t="s">
        <v>23</v>
      </c>
      <c r="D436" s="8" t="s">
        <v>75</v>
      </c>
      <c r="E436" s="16" t="s">
        <v>422</v>
      </c>
      <c r="F436" s="10"/>
      <c r="G436" s="19"/>
      <c r="H436" s="18"/>
      <c r="I436" s="13">
        <v>6300.0</v>
      </c>
      <c r="J436" s="14" t="s">
        <v>53</v>
      </c>
      <c r="K436" s="8" t="s">
        <v>76</v>
      </c>
      <c r="L436" s="15">
        <v>519303.0</v>
      </c>
      <c r="M436" s="15">
        <v>382.0</v>
      </c>
    </row>
    <row r="437" ht="22.5" customHeight="1">
      <c r="A437" s="7" t="s">
        <v>676</v>
      </c>
      <c r="B437" s="8" t="s">
        <v>264</v>
      </c>
      <c r="C437" s="8" t="s">
        <v>23</v>
      </c>
      <c r="D437" s="8" t="s">
        <v>158</v>
      </c>
      <c r="E437" s="16" t="s">
        <v>422</v>
      </c>
      <c r="F437" s="10"/>
      <c r="G437" s="19"/>
      <c r="H437" s="18"/>
      <c r="I437" s="13">
        <v>3044.0</v>
      </c>
      <c r="J437" s="14" t="s">
        <v>103</v>
      </c>
      <c r="K437" s="8" t="s">
        <v>156</v>
      </c>
      <c r="L437" s="15">
        <v>2243094.0</v>
      </c>
      <c r="M437" s="15">
        <v>146.0</v>
      </c>
    </row>
    <row r="438" ht="22.5" customHeight="1">
      <c r="A438" s="7" t="s">
        <v>677</v>
      </c>
      <c r="B438" s="8" t="s">
        <v>14</v>
      </c>
      <c r="C438" s="8" t="s">
        <v>15</v>
      </c>
      <c r="D438" s="8" t="s">
        <v>16</v>
      </c>
      <c r="E438" s="16" t="s">
        <v>422</v>
      </c>
      <c r="F438" s="8" t="s">
        <v>426</v>
      </c>
      <c r="G438" s="19"/>
      <c r="H438" s="18"/>
      <c r="I438" s="13">
        <v>2401.0</v>
      </c>
      <c r="J438" s="14" t="s">
        <v>103</v>
      </c>
      <c r="K438" s="8" t="s">
        <v>326</v>
      </c>
      <c r="L438" s="15">
        <v>686824.0</v>
      </c>
      <c r="M438" s="15">
        <v>347.0</v>
      </c>
    </row>
    <row r="439" ht="22.5" customHeight="1">
      <c r="A439" s="7" t="s">
        <v>677</v>
      </c>
      <c r="B439" s="8">
        <v>3.0</v>
      </c>
      <c r="C439" s="8" t="s">
        <v>23</v>
      </c>
      <c r="D439" s="8" t="s">
        <v>648</v>
      </c>
      <c r="E439" s="16" t="s">
        <v>422</v>
      </c>
      <c r="F439" s="8" t="s">
        <v>426</v>
      </c>
      <c r="G439" s="19"/>
      <c r="H439" s="18"/>
      <c r="I439" s="13">
        <v>8325.0</v>
      </c>
      <c r="J439" s="14" t="s">
        <v>103</v>
      </c>
      <c r="K439" s="8" t="s">
        <v>241</v>
      </c>
      <c r="L439" s="15">
        <v>991222.0</v>
      </c>
      <c r="M439" s="15">
        <v>293.0</v>
      </c>
    </row>
    <row r="440" ht="22.5" customHeight="1">
      <c r="A440" s="7" t="s">
        <v>678</v>
      </c>
      <c r="B440" s="23">
        <v>46058.0</v>
      </c>
      <c r="C440" s="8" t="s">
        <v>23</v>
      </c>
      <c r="D440" s="8" t="s">
        <v>206</v>
      </c>
      <c r="E440" s="16" t="s">
        <v>422</v>
      </c>
      <c r="F440" s="10"/>
      <c r="G440" s="19"/>
      <c r="H440" s="18"/>
      <c r="I440" s="13">
        <v>7541.0</v>
      </c>
      <c r="J440" s="14" t="s">
        <v>103</v>
      </c>
      <c r="K440" s="8" t="s">
        <v>204</v>
      </c>
      <c r="L440" s="15">
        <v>1446054.0</v>
      </c>
      <c r="M440" s="15">
        <v>221.0</v>
      </c>
    </row>
    <row r="441" ht="22.5" customHeight="1">
      <c r="A441" s="7" t="s">
        <v>679</v>
      </c>
      <c r="B441" s="8" t="s">
        <v>314</v>
      </c>
      <c r="C441" s="8" t="s">
        <v>15</v>
      </c>
      <c r="D441" s="8" t="s">
        <v>123</v>
      </c>
      <c r="E441" s="16" t="s">
        <v>422</v>
      </c>
      <c r="F441" s="10"/>
      <c r="G441" s="19"/>
      <c r="H441" s="18"/>
      <c r="I441" s="13">
        <v>2792.0</v>
      </c>
      <c r="J441" s="14" t="s">
        <v>103</v>
      </c>
      <c r="K441" s="8" t="s">
        <v>680</v>
      </c>
      <c r="L441" s="15">
        <v>2146924.0</v>
      </c>
      <c r="M441" s="15">
        <v>156.0</v>
      </c>
    </row>
    <row r="442" ht="22.5" customHeight="1">
      <c r="A442" s="7" t="s">
        <v>681</v>
      </c>
      <c r="B442" s="8" t="s">
        <v>266</v>
      </c>
      <c r="C442" s="8" t="s">
        <v>15</v>
      </c>
      <c r="D442" s="8" t="s">
        <v>248</v>
      </c>
      <c r="E442" s="16" t="s">
        <v>422</v>
      </c>
      <c r="F442" s="8" t="s">
        <v>426</v>
      </c>
      <c r="G442" s="19"/>
      <c r="H442" s="18"/>
      <c r="I442" s="13" t="s">
        <v>596</v>
      </c>
      <c r="J442" s="14" t="s">
        <v>103</v>
      </c>
      <c r="K442" s="8" t="s">
        <v>603</v>
      </c>
      <c r="L442" s="15">
        <v>468898.0</v>
      </c>
      <c r="M442" s="15">
        <v>391.0</v>
      </c>
    </row>
    <row r="443" ht="22.5" customHeight="1">
      <c r="A443" s="7" t="s">
        <v>682</v>
      </c>
      <c r="B443" s="8" t="s">
        <v>115</v>
      </c>
      <c r="C443" s="8" t="s">
        <v>27</v>
      </c>
      <c r="D443" s="8" t="s">
        <v>51</v>
      </c>
      <c r="E443" s="16" t="s">
        <v>422</v>
      </c>
      <c r="F443" s="8" t="s">
        <v>426</v>
      </c>
      <c r="G443" s="19"/>
      <c r="H443" s="18"/>
      <c r="I443" s="13">
        <v>12236.0</v>
      </c>
      <c r="J443" s="14" t="s">
        <v>53</v>
      </c>
      <c r="K443" s="8" t="s">
        <v>683</v>
      </c>
      <c r="L443" s="15">
        <v>1290515.0</v>
      </c>
      <c r="M443" s="15">
        <v>242.0</v>
      </c>
    </row>
    <row r="444" ht="22.5" customHeight="1">
      <c r="A444" s="7" t="s">
        <v>684</v>
      </c>
      <c r="B444" s="8">
        <v>3.0</v>
      </c>
      <c r="C444" s="8" t="s">
        <v>23</v>
      </c>
      <c r="D444" s="8" t="s">
        <v>158</v>
      </c>
      <c r="E444" s="16" t="s">
        <v>422</v>
      </c>
      <c r="F444" s="8" t="s">
        <v>426</v>
      </c>
      <c r="G444" s="19"/>
      <c r="H444" s="18"/>
      <c r="I444" s="13">
        <v>7541.0</v>
      </c>
      <c r="J444" s="14" t="s">
        <v>103</v>
      </c>
      <c r="K444" s="8" t="s">
        <v>219</v>
      </c>
      <c r="L444" s="15">
        <v>813825.0</v>
      </c>
      <c r="M444" s="15">
        <v>327.0</v>
      </c>
    </row>
    <row r="445" ht="22.5" customHeight="1">
      <c r="A445" s="7" t="s">
        <v>684</v>
      </c>
      <c r="B445" s="8" t="s">
        <v>237</v>
      </c>
      <c r="C445" s="8" t="s">
        <v>27</v>
      </c>
      <c r="D445" s="8" t="s">
        <v>238</v>
      </c>
      <c r="E445" s="16" t="s">
        <v>422</v>
      </c>
      <c r="F445" s="8" t="s">
        <v>426</v>
      </c>
      <c r="G445" s="19"/>
      <c r="H445" s="18"/>
      <c r="I445" s="13">
        <v>13249.0</v>
      </c>
      <c r="J445" s="14" t="s">
        <v>103</v>
      </c>
      <c r="K445" s="8" t="s">
        <v>262</v>
      </c>
      <c r="L445" s="15">
        <v>3923075.0</v>
      </c>
      <c r="M445" s="15">
        <v>81.0</v>
      </c>
    </row>
    <row r="446" ht="22.5" customHeight="1">
      <c r="A446" s="7" t="s">
        <v>685</v>
      </c>
      <c r="B446" s="8" t="s">
        <v>145</v>
      </c>
      <c r="C446" s="8" t="s">
        <v>145</v>
      </c>
      <c r="D446" s="8" t="s">
        <v>146</v>
      </c>
      <c r="E446" s="16" t="s">
        <v>422</v>
      </c>
      <c r="F446" s="10"/>
      <c r="G446" s="19"/>
      <c r="H446" s="18"/>
      <c r="I446" s="13" t="s">
        <v>227</v>
      </c>
      <c r="J446" s="14" t="s">
        <v>147</v>
      </c>
      <c r="K446" s="8" t="s">
        <v>686</v>
      </c>
      <c r="L446" s="15"/>
      <c r="M446" s="15"/>
    </row>
    <row r="447" ht="22.5" customHeight="1">
      <c r="A447" s="7" t="s">
        <v>687</v>
      </c>
      <c r="B447" s="8" t="s">
        <v>128</v>
      </c>
      <c r="C447" s="8" t="s">
        <v>15</v>
      </c>
      <c r="D447" s="8" t="s">
        <v>123</v>
      </c>
      <c r="E447" s="16" t="s">
        <v>422</v>
      </c>
      <c r="F447" s="10"/>
      <c r="G447" s="19"/>
      <c r="H447" s="18"/>
      <c r="I447" s="13">
        <v>6322.0</v>
      </c>
      <c r="J447" s="14" t="s">
        <v>103</v>
      </c>
      <c r="K447" s="8" t="s">
        <v>565</v>
      </c>
      <c r="L447" s="15">
        <v>683765.0</v>
      </c>
      <c r="M447" s="15">
        <v>348.0</v>
      </c>
    </row>
    <row r="448" ht="22.5" customHeight="1">
      <c r="A448" s="7" t="s">
        <v>688</v>
      </c>
      <c r="B448" s="8" t="s">
        <v>145</v>
      </c>
      <c r="C448" s="8" t="s">
        <v>145</v>
      </c>
      <c r="D448" s="8" t="s">
        <v>146</v>
      </c>
      <c r="E448" s="16" t="s">
        <v>422</v>
      </c>
      <c r="F448" s="10"/>
      <c r="G448" s="19"/>
      <c r="H448" s="18"/>
      <c r="I448" s="7">
        <v>1937.0</v>
      </c>
      <c r="J448" s="14" t="s">
        <v>147</v>
      </c>
      <c r="K448" s="8" t="s">
        <v>688</v>
      </c>
      <c r="L448" s="15"/>
      <c r="M448" s="15"/>
    </row>
    <row r="449" ht="22.5" customHeight="1">
      <c r="A449" s="7" t="s">
        <v>689</v>
      </c>
      <c r="B449" s="8" t="s">
        <v>128</v>
      </c>
      <c r="C449" s="8" t="s">
        <v>15</v>
      </c>
      <c r="D449" s="8" t="s">
        <v>123</v>
      </c>
      <c r="E449" s="16" t="s">
        <v>422</v>
      </c>
      <c r="F449" s="10"/>
      <c r="G449" s="19"/>
      <c r="H449" s="18"/>
      <c r="I449" s="13">
        <v>1921.0</v>
      </c>
      <c r="J449" s="14" t="s">
        <v>103</v>
      </c>
      <c r="K449" s="8" t="s">
        <v>690</v>
      </c>
      <c r="L449" s="15">
        <v>1511379.0</v>
      </c>
      <c r="M449" s="15">
        <v>213.0</v>
      </c>
    </row>
    <row r="450" ht="22.5" customHeight="1">
      <c r="A450" s="7" t="s">
        <v>691</v>
      </c>
      <c r="B450" s="8" t="s">
        <v>300</v>
      </c>
      <c r="C450" s="8" t="s">
        <v>27</v>
      </c>
      <c r="D450" s="8" t="s">
        <v>94</v>
      </c>
      <c r="E450" s="16" t="s">
        <v>422</v>
      </c>
      <c r="F450" s="8" t="s">
        <v>426</v>
      </c>
      <c r="G450" s="19"/>
      <c r="H450" s="18"/>
      <c r="I450" s="13">
        <v>13629.0</v>
      </c>
      <c r="J450" s="14" t="s">
        <v>68</v>
      </c>
      <c r="K450" s="8" t="s">
        <v>298</v>
      </c>
      <c r="L450" s="15">
        <v>1576622.0</v>
      </c>
      <c r="M450" s="15">
        <v>204.0</v>
      </c>
    </row>
    <row r="451" ht="22.5" customHeight="1">
      <c r="A451" s="7" t="s">
        <v>348</v>
      </c>
      <c r="B451" s="8">
        <v>5.0</v>
      </c>
      <c r="C451" s="8" t="s">
        <v>23</v>
      </c>
      <c r="D451" s="8" t="s">
        <v>282</v>
      </c>
      <c r="E451" s="16" t="s">
        <v>422</v>
      </c>
      <c r="F451" s="10"/>
      <c r="G451" s="19"/>
      <c r="H451" s="18"/>
      <c r="I451" s="13">
        <v>15111.0</v>
      </c>
      <c r="J451" s="14" t="s">
        <v>53</v>
      </c>
      <c r="K451" s="8" t="s">
        <v>692</v>
      </c>
      <c r="L451" s="15">
        <v>572550.0</v>
      </c>
      <c r="M451" s="15">
        <v>363.0</v>
      </c>
    </row>
    <row r="452" ht="22.5" customHeight="1">
      <c r="A452" s="7" t="s">
        <v>693</v>
      </c>
      <c r="B452" s="8">
        <v>3.0</v>
      </c>
      <c r="C452" s="8" t="s">
        <v>23</v>
      </c>
      <c r="D452" s="8" t="s">
        <v>648</v>
      </c>
      <c r="E452" s="16" t="s">
        <v>422</v>
      </c>
      <c r="F452" s="10"/>
      <c r="G452" s="19"/>
      <c r="H452" s="18"/>
      <c r="I452" s="13">
        <v>7664.0</v>
      </c>
      <c r="J452" s="14" t="s">
        <v>103</v>
      </c>
      <c r="K452" s="8" t="s">
        <v>241</v>
      </c>
      <c r="L452" s="15">
        <v>783925.0</v>
      </c>
      <c r="M452" s="15">
        <v>331.0</v>
      </c>
    </row>
    <row r="453" ht="22.5" customHeight="1">
      <c r="A453" s="7" t="s">
        <v>694</v>
      </c>
      <c r="B453" s="8" t="s">
        <v>145</v>
      </c>
      <c r="C453" s="8" t="s">
        <v>145</v>
      </c>
      <c r="D453" s="8" t="s">
        <v>146</v>
      </c>
      <c r="E453" s="16" t="s">
        <v>422</v>
      </c>
      <c r="F453" s="10"/>
      <c r="G453" s="19"/>
      <c r="H453" s="18"/>
      <c r="I453" s="13" t="s">
        <v>378</v>
      </c>
      <c r="J453" s="14" t="s">
        <v>147</v>
      </c>
      <c r="K453" s="8" t="s">
        <v>694</v>
      </c>
      <c r="L453" s="15"/>
      <c r="M453" s="15"/>
    </row>
    <row r="454" ht="22.5" customHeight="1">
      <c r="A454" s="7" t="s">
        <v>695</v>
      </c>
      <c r="B454" s="23">
        <v>46058.0</v>
      </c>
      <c r="C454" s="8" t="s">
        <v>23</v>
      </c>
      <c r="D454" s="8" t="s">
        <v>206</v>
      </c>
      <c r="E454" s="16" t="s">
        <v>422</v>
      </c>
      <c r="F454" s="8" t="s">
        <v>426</v>
      </c>
      <c r="G454" s="19"/>
      <c r="H454" s="18"/>
      <c r="I454" s="13">
        <v>7541.0</v>
      </c>
      <c r="J454" s="14" t="s">
        <v>103</v>
      </c>
      <c r="K454" s="8" t="s">
        <v>219</v>
      </c>
      <c r="L454" s="15">
        <v>749838.0</v>
      </c>
      <c r="M454" s="15">
        <v>338.0</v>
      </c>
    </row>
    <row r="455" ht="22.5" customHeight="1">
      <c r="A455" s="7" t="s">
        <v>696</v>
      </c>
      <c r="B455" s="8" t="s">
        <v>697</v>
      </c>
      <c r="C455" s="8" t="s">
        <v>15</v>
      </c>
      <c r="D455" s="8" t="s">
        <v>39</v>
      </c>
      <c r="E455" s="16" t="s">
        <v>422</v>
      </c>
      <c r="F455" s="10"/>
      <c r="G455" s="19"/>
      <c r="H455" s="18"/>
      <c r="I455" s="13">
        <v>6457.0</v>
      </c>
      <c r="J455" s="14" t="s">
        <v>20</v>
      </c>
      <c r="K455" s="8" t="s">
        <v>579</v>
      </c>
      <c r="L455" s="15">
        <v>3216188.0</v>
      </c>
      <c r="M455" s="15">
        <v>100.0</v>
      </c>
    </row>
    <row r="456" ht="22.5" customHeight="1">
      <c r="A456" s="7" t="s">
        <v>698</v>
      </c>
      <c r="B456" s="8" t="s">
        <v>145</v>
      </c>
      <c r="C456" s="8" t="s">
        <v>145</v>
      </c>
      <c r="D456" s="8" t="s">
        <v>146</v>
      </c>
      <c r="E456" s="16" t="s">
        <v>422</v>
      </c>
      <c r="F456" s="8" t="s">
        <v>426</v>
      </c>
      <c r="G456" s="19"/>
      <c r="H456" s="18"/>
      <c r="I456" s="13" t="s">
        <v>378</v>
      </c>
      <c r="J456" s="14" t="s">
        <v>147</v>
      </c>
      <c r="K456" s="8" t="s">
        <v>698</v>
      </c>
      <c r="L456" s="15"/>
      <c r="M456" s="15"/>
    </row>
    <row r="457" ht="22.5" customHeight="1">
      <c r="A457" s="7" t="s">
        <v>699</v>
      </c>
      <c r="B457" s="8" t="s">
        <v>134</v>
      </c>
      <c r="C457" s="8" t="s">
        <v>15</v>
      </c>
      <c r="D457" s="8" t="s">
        <v>100</v>
      </c>
      <c r="E457" s="16" t="s">
        <v>422</v>
      </c>
      <c r="F457" s="8" t="s">
        <v>426</v>
      </c>
      <c r="G457" s="19"/>
      <c r="H457" s="18"/>
      <c r="I457" s="13">
        <v>5652.0</v>
      </c>
      <c r="J457" s="14" t="s">
        <v>103</v>
      </c>
      <c r="K457" s="8" t="s">
        <v>700</v>
      </c>
      <c r="L457" s="15">
        <v>1336248.0</v>
      </c>
      <c r="M457" s="15">
        <v>236.0</v>
      </c>
    </row>
    <row r="458" ht="22.5" customHeight="1">
      <c r="A458" s="7" t="s">
        <v>699</v>
      </c>
      <c r="B458" s="26" t="s">
        <v>78</v>
      </c>
      <c r="C458" s="8" t="s">
        <v>23</v>
      </c>
      <c r="D458" s="8" t="s">
        <v>75</v>
      </c>
      <c r="E458" s="16" t="s">
        <v>422</v>
      </c>
      <c r="F458" s="8" t="s">
        <v>426</v>
      </c>
      <c r="G458" s="19"/>
      <c r="H458" s="18"/>
      <c r="I458" s="13">
        <v>1792.0</v>
      </c>
      <c r="J458" s="14" t="s">
        <v>53</v>
      </c>
      <c r="K458" s="8" t="s">
        <v>231</v>
      </c>
      <c r="L458" s="15">
        <v>1202994.0</v>
      </c>
      <c r="M458" s="15">
        <v>254.0</v>
      </c>
    </row>
    <row r="459" ht="22.5" customHeight="1">
      <c r="A459" s="7" t="s">
        <v>701</v>
      </c>
      <c r="B459" s="8" t="s">
        <v>446</v>
      </c>
      <c r="C459" s="8" t="s">
        <v>27</v>
      </c>
      <c r="D459" s="8" t="s">
        <v>238</v>
      </c>
      <c r="E459" s="16" t="s">
        <v>422</v>
      </c>
      <c r="F459" s="10"/>
      <c r="G459" s="19"/>
      <c r="H459" s="18"/>
      <c r="I459" s="13">
        <v>13249.0</v>
      </c>
      <c r="J459" s="14" t="s">
        <v>103</v>
      </c>
      <c r="K459" s="8" t="s">
        <v>262</v>
      </c>
      <c r="L459" s="15">
        <v>1093924.0</v>
      </c>
      <c r="M459" s="15">
        <v>276.0</v>
      </c>
    </row>
    <row r="460" ht="22.5" customHeight="1">
      <c r="A460" s="7" t="s">
        <v>702</v>
      </c>
      <c r="B460" s="8" t="s">
        <v>199</v>
      </c>
      <c r="C460" s="8" t="s">
        <v>15</v>
      </c>
      <c r="D460" s="8" t="s">
        <v>39</v>
      </c>
      <c r="E460" s="16" t="s">
        <v>422</v>
      </c>
      <c r="F460" s="10"/>
      <c r="G460" s="19"/>
      <c r="H460" s="18"/>
      <c r="I460" s="13">
        <v>6580.0</v>
      </c>
      <c r="J460" s="14" t="s">
        <v>20</v>
      </c>
      <c r="K460" s="8" t="s">
        <v>184</v>
      </c>
      <c r="L460" s="15">
        <v>1212917.0</v>
      </c>
      <c r="M460" s="15">
        <v>252.0</v>
      </c>
    </row>
    <row r="461" ht="22.5" customHeight="1">
      <c r="A461" s="7" t="s">
        <v>702</v>
      </c>
      <c r="B461" s="8">
        <v>1.0</v>
      </c>
      <c r="C461" s="8" t="s">
        <v>23</v>
      </c>
      <c r="D461" s="8" t="s">
        <v>24</v>
      </c>
      <c r="E461" s="16" t="s">
        <v>422</v>
      </c>
      <c r="F461" s="10"/>
      <c r="G461" s="19"/>
      <c r="H461" s="18"/>
      <c r="I461" s="13">
        <v>6757.0</v>
      </c>
      <c r="J461" s="14" t="s">
        <v>20</v>
      </c>
      <c r="K461" s="8" t="s">
        <v>184</v>
      </c>
      <c r="L461" s="15">
        <v>1669671.0</v>
      </c>
      <c r="M461" s="15">
        <v>198.0</v>
      </c>
    </row>
    <row r="462" ht="22.5" customHeight="1">
      <c r="A462" s="7" t="s">
        <v>703</v>
      </c>
      <c r="B462" s="8" t="s">
        <v>145</v>
      </c>
      <c r="C462" s="8" t="s">
        <v>145</v>
      </c>
      <c r="D462" s="8" t="s">
        <v>146</v>
      </c>
      <c r="E462" s="16" t="s">
        <v>422</v>
      </c>
      <c r="F462" s="10"/>
      <c r="G462" s="19"/>
      <c r="H462" s="18"/>
      <c r="I462" s="13" t="s">
        <v>378</v>
      </c>
      <c r="J462" s="14" t="s">
        <v>147</v>
      </c>
      <c r="K462" s="8" t="s">
        <v>703</v>
      </c>
      <c r="L462" s="15"/>
      <c r="M462" s="15"/>
    </row>
    <row r="463" ht="22.5" customHeight="1">
      <c r="A463" s="7" t="s">
        <v>704</v>
      </c>
      <c r="B463" s="8" t="s">
        <v>446</v>
      </c>
      <c r="C463" s="8" t="s">
        <v>27</v>
      </c>
      <c r="D463" s="8" t="s">
        <v>238</v>
      </c>
      <c r="E463" s="16" t="s">
        <v>422</v>
      </c>
      <c r="F463" s="10"/>
      <c r="G463" s="19"/>
      <c r="H463" s="18"/>
      <c r="I463" s="13">
        <v>13249.0</v>
      </c>
      <c r="J463" s="14" t="s">
        <v>103</v>
      </c>
      <c r="K463" s="8" t="s">
        <v>262</v>
      </c>
      <c r="L463" s="15">
        <v>1186961.0</v>
      </c>
      <c r="M463" s="15">
        <v>258.0</v>
      </c>
    </row>
    <row r="464" ht="22.5" customHeight="1">
      <c r="A464" s="7" t="s">
        <v>704</v>
      </c>
      <c r="B464" s="8">
        <v>3.0</v>
      </c>
      <c r="C464" s="8" t="s">
        <v>23</v>
      </c>
      <c r="D464" s="8" t="s">
        <v>648</v>
      </c>
      <c r="E464" s="16" t="s">
        <v>422</v>
      </c>
      <c r="F464" s="10"/>
      <c r="G464" s="19"/>
      <c r="H464" s="18"/>
      <c r="I464" s="13">
        <v>7632.0</v>
      </c>
      <c r="J464" s="14" t="s">
        <v>103</v>
      </c>
      <c r="K464" s="8" t="s">
        <v>326</v>
      </c>
      <c r="L464" s="15">
        <v>939532.0</v>
      </c>
      <c r="M464" s="15">
        <v>306.0</v>
      </c>
    </row>
    <row r="465" ht="22.5" customHeight="1">
      <c r="A465" s="7" t="s">
        <v>705</v>
      </c>
      <c r="B465" s="8" t="s">
        <v>58</v>
      </c>
      <c r="C465" s="8" t="s">
        <v>27</v>
      </c>
      <c r="D465" s="8" t="s">
        <v>238</v>
      </c>
      <c r="E465" s="16" t="s">
        <v>422</v>
      </c>
      <c r="F465" s="8" t="s">
        <v>426</v>
      </c>
      <c r="G465" s="19"/>
      <c r="H465" s="18"/>
      <c r="I465" s="13">
        <v>5747.0</v>
      </c>
      <c r="J465" s="14" t="s">
        <v>68</v>
      </c>
      <c r="K465" s="8" t="s">
        <v>143</v>
      </c>
      <c r="L465" s="15">
        <v>1486223.0</v>
      </c>
      <c r="M465" s="15">
        <v>214.0</v>
      </c>
    </row>
    <row r="466" ht="22.5" customHeight="1">
      <c r="A466" s="7" t="s">
        <v>706</v>
      </c>
      <c r="B466" s="8">
        <v>3.0</v>
      </c>
      <c r="C466" s="8" t="s">
        <v>23</v>
      </c>
      <c r="D466" s="8" t="s">
        <v>648</v>
      </c>
      <c r="E466" s="16" t="s">
        <v>422</v>
      </c>
      <c r="F466" s="10"/>
      <c r="G466" s="19"/>
      <c r="H466" s="18"/>
      <c r="I466" s="13">
        <v>7632.0</v>
      </c>
      <c r="J466" s="14" t="s">
        <v>103</v>
      </c>
      <c r="K466" s="8" t="s">
        <v>326</v>
      </c>
      <c r="L466" s="15">
        <v>920003.0</v>
      </c>
      <c r="M466" s="15">
        <v>310.0</v>
      </c>
    </row>
    <row r="467" ht="22.5" customHeight="1">
      <c r="A467" s="7" t="s">
        <v>707</v>
      </c>
      <c r="B467" s="8" t="s">
        <v>66</v>
      </c>
      <c r="C467" s="8" t="s">
        <v>15</v>
      </c>
      <c r="D467" s="8" t="s">
        <v>331</v>
      </c>
      <c r="E467" s="16" t="s">
        <v>422</v>
      </c>
      <c r="F467" s="10"/>
      <c r="G467" s="19"/>
      <c r="H467" s="18"/>
      <c r="I467" s="13">
        <v>5532.0</v>
      </c>
      <c r="J467" s="14" t="s">
        <v>68</v>
      </c>
      <c r="K467" s="8" t="s">
        <v>616</v>
      </c>
      <c r="L467" s="15">
        <v>655571.0</v>
      </c>
      <c r="M467" s="15">
        <v>354.0</v>
      </c>
    </row>
    <row r="468" ht="22.5" customHeight="1">
      <c r="A468" s="7" t="s">
        <v>708</v>
      </c>
      <c r="B468" s="8" t="s">
        <v>446</v>
      </c>
      <c r="C468" s="8" t="s">
        <v>27</v>
      </c>
      <c r="D468" s="8" t="s">
        <v>238</v>
      </c>
      <c r="E468" s="16" t="s">
        <v>422</v>
      </c>
      <c r="F468" s="10"/>
      <c r="G468" s="19"/>
      <c r="H468" s="18"/>
      <c r="I468" s="13">
        <v>17865.0</v>
      </c>
      <c r="J468" s="14" t="s">
        <v>103</v>
      </c>
      <c r="K468" s="8" t="s">
        <v>241</v>
      </c>
      <c r="L468" s="15">
        <v>542990.0</v>
      </c>
      <c r="M468" s="15">
        <v>375.0</v>
      </c>
    </row>
    <row r="469" ht="22.5" customHeight="1">
      <c r="A469" s="7" t="s">
        <v>709</v>
      </c>
      <c r="B469" s="8" t="s">
        <v>125</v>
      </c>
      <c r="C469" s="8" t="s">
        <v>27</v>
      </c>
      <c r="D469" s="8" t="s">
        <v>126</v>
      </c>
      <c r="E469" s="16" t="s">
        <v>422</v>
      </c>
      <c r="F469" s="8" t="s">
        <v>426</v>
      </c>
      <c r="G469" s="19"/>
      <c r="H469" s="18"/>
      <c r="I469" s="13">
        <v>12334.0</v>
      </c>
      <c r="J469" s="14" t="s">
        <v>103</v>
      </c>
      <c r="K469" s="8" t="s">
        <v>700</v>
      </c>
      <c r="L469" s="15">
        <v>959212.0</v>
      </c>
      <c r="M469" s="15">
        <v>303.0</v>
      </c>
    </row>
    <row r="470" ht="22.5" customHeight="1">
      <c r="A470" s="7" t="s">
        <v>710</v>
      </c>
      <c r="B470" s="8">
        <v>6.0</v>
      </c>
      <c r="C470" s="8" t="s">
        <v>23</v>
      </c>
      <c r="D470" s="8" t="s">
        <v>230</v>
      </c>
      <c r="E470" s="16" t="s">
        <v>422</v>
      </c>
      <c r="F470" s="10"/>
      <c r="G470" s="19"/>
      <c r="H470" s="18"/>
      <c r="I470" s="13">
        <v>7456.0</v>
      </c>
      <c r="J470" s="14" t="s">
        <v>53</v>
      </c>
      <c r="K470" s="8" t="s">
        <v>345</v>
      </c>
      <c r="L470" s="15">
        <v>731490.0</v>
      </c>
      <c r="M470" s="15">
        <v>341.0</v>
      </c>
    </row>
    <row r="471" ht="22.5" customHeight="1">
      <c r="A471" s="7" t="s">
        <v>711</v>
      </c>
      <c r="B471" s="8" t="s">
        <v>145</v>
      </c>
      <c r="C471" s="8" t="s">
        <v>145</v>
      </c>
      <c r="D471" s="8" t="s">
        <v>146</v>
      </c>
      <c r="E471" s="16" t="s">
        <v>422</v>
      </c>
      <c r="F471" s="10"/>
      <c r="G471" s="19"/>
      <c r="H471" s="18"/>
      <c r="I471" s="13" t="s">
        <v>712</v>
      </c>
      <c r="J471" s="14" t="s">
        <v>147</v>
      </c>
      <c r="K471" s="8" t="s">
        <v>711</v>
      </c>
      <c r="L471" s="15"/>
      <c r="M471" s="15"/>
    </row>
    <row r="472" ht="22.5" customHeight="1">
      <c r="A472" s="7" t="s">
        <v>713</v>
      </c>
      <c r="B472" s="8" t="s">
        <v>483</v>
      </c>
      <c r="C472" s="8" t="s">
        <v>27</v>
      </c>
      <c r="D472" s="8" t="s">
        <v>94</v>
      </c>
      <c r="E472" s="16" t="s">
        <v>422</v>
      </c>
      <c r="F472" s="8" t="s">
        <v>426</v>
      </c>
      <c r="G472" s="19"/>
      <c r="H472" s="18"/>
      <c r="I472" s="13">
        <v>12285.0</v>
      </c>
      <c r="J472" s="14" t="s">
        <v>68</v>
      </c>
      <c r="K472" s="8" t="s">
        <v>153</v>
      </c>
      <c r="L472" s="15">
        <v>2877338.0</v>
      </c>
      <c r="M472" s="15">
        <v>116.0</v>
      </c>
    </row>
    <row r="473" ht="22.5" customHeight="1">
      <c r="A473" s="7" t="s">
        <v>714</v>
      </c>
      <c r="B473" s="26" t="s">
        <v>78</v>
      </c>
      <c r="C473" s="8" t="s">
        <v>23</v>
      </c>
      <c r="D473" s="8" t="s">
        <v>206</v>
      </c>
      <c r="E473" s="16" t="s">
        <v>422</v>
      </c>
      <c r="F473" s="8" t="s">
        <v>426</v>
      </c>
      <c r="G473" s="19"/>
      <c r="H473" s="18"/>
      <c r="I473" s="13">
        <v>7541.0</v>
      </c>
      <c r="J473" s="14" t="s">
        <v>103</v>
      </c>
      <c r="K473" s="8" t="s">
        <v>690</v>
      </c>
      <c r="L473" s="15">
        <v>1256701.0</v>
      </c>
      <c r="M473" s="15">
        <v>247.0</v>
      </c>
    </row>
    <row r="474" ht="22.5" customHeight="1">
      <c r="A474" s="7" t="s">
        <v>715</v>
      </c>
      <c r="B474" s="8" t="s">
        <v>300</v>
      </c>
      <c r="C474" s="8" t="s">
        <v>27</v>
      </c>
      <c r="D474" s="8" t="s">
        <v>94</v>
      </c>
      <c r="E474" s="16" t="s">
        <v>422</v>
      </c>
      <c r="F474" s="10"/>
      <c r="G474" s="19"/>
      <c r="H474" s="18"/>
      <c r="I474" s="13">
        <v>13629.0</v>
      </c>
      <c r="J474" s="14" t="s">
        <v>68</v>
      </c>
      <c r="K474" s="8" t="s">
        <v>298</v>
      </c>
      <c r="L474" s="15">
        <v>965688.0</v>
      </c>
      <c r="M474" s="15">
        <v>301.0</v>
      </c>
    </row>
    <row r="475" ht="22.5" customHeight="1">
      <c r="A475" s="7" t="s">
        <v>716</v>
      </c>
      <c r="B475" s="8" t="s">
        <v>14</v>
      </c>
      <c r="C475" s="8" t="s">
        <v>15</v>
      </c>
      <c r="D475" s="8" t="s">
        <v>16</v>
      </c>
      <c r="E475" s="16" t="s">
        <v>422</v>
      </c>
      <c r="F475" s="10"/>
      <c r="G475" s="19"/>
      <c r="H475" s="18"/>
      <c r="I475" s="13">
        <v>2401.0</v>
      </c>
      <c r="J475" s="14" t="s">
        <v>103</v>
      </c>
      <c r="K475" s="8" t="s">
        <v>326</v>
      </c>
      <c r="L475" s="15">
        <v>538062.0</v>
      </c>
      <c r="M475" s="15">
        <v>376.0</v>
      </c>
    </row>
    <row r="476" ht="22.5" customHeight="1">
      <c r="A476" s="7" t="s">
        <v>717</v>
      </c>
      <c r="B476" s="8">
        <v>3.0</v>
      </c>
      <c r="C476" s="8" t="s">
        <v>23</v>
      </c>
      <c r="D476" s="8" t="s">
        <v>648</v>
      </c>
      <c r="E476" s="16" t="s">
        <v>422</v>
      </c>
      <c r="F476" s="10"/>
      <c r="G476" s="19"/>
      <c r="H476" s="18"/>
      <c r="I476" s="13">
        <v>7632.0</v>
      </c>
      <c r="J476" s="14" t="s">
        <v>103</v>
      </c>
      <c r="K476" s="8" t="s">
        <v>207</v>
      </c>
      <c r="L476" s="15">
        <v>1256701.0</v>
      </c>
      <c r="M476" s="15">
        <v>246.0</v>
      </c>
    </row>
    <row r="477" ht="22.5" customHeight="1">
      <c r="A477" s="7" t="s">
        <v>718</v>
      </c>
      <c r="B477" s="8" t="s">
        <v>145</v>
      </c>
      <c r="C477" s="8" t="s">
        <v>145</v>
      </c>
      <c r="D477" s="8" t="s">
        <v>146</v>
      </c>
      <c r="E477" s="16" t="s">
        <v>422</v>
      </c>
      <c r="F477" s="10"/>
      <c r="G477" s="19"/>
      <c r="H477" s="18"/>
      <c r="I477" s="13" t="s">
        <v>712</v>
      </c>
      <c r="J477" s="14" t="s">
        <v>147</v>
      </c>
      <c r="K477" s="8" t="s">
        <v>718</v>
      </c>
      <c r="L477" s="15"/>
      <c r="M477" s="15"/>
    </row>
    <row r="478" ht="22.5" customHeight="1">
      <c r="A478" s="7" t="s">
        <v>719</v>
      </c>
      <c r="B478" s="8" t="s">
        <v>134</v>
      </c>
      <c r="C478" s="8" t="s">
        <v>15</v>
      </c>
      <c r="D478" s="8" t="s">
        <v>100</v>
      </c>
      <c r="E478" s="16" t="s">
        <v>422</v>
      </c>
      <c r="F478" s="10"/>
      <c r="G478" s="19"/>
      <c r="H478" s="18"/>
      <c r="I478" s="13">
        <v>5652.0</v>
      </c>
      <c r="J478" s="14" t="s">
        <v>103</v>
      </c>
      <c r="K478" s="8" t="s">
        <v>124</v>
      </c>
      <c r="L478" s="15">
        <v>1810611.0</v>
      </c>
      <c r="M478" s="15">
        <v>175.0</v>
      </c>
    </row>
    <row r="479" ht="22.5" customHeight="1">
      <c r="A479" s="7" t="s">
        <v>720</v>
      </c>
      <c r="B479" s="8">
        <v>1.0</v>
      </c>
      <c r="C479" s="8" t="s">
        <v>23</v>
      </c>
      <c r="D479" s="8" t="s">
        <v>24</v>
      </c>
      <c r="E479" s="16" t="s">
        <v>422</v>
      </c>
      <c r="F479" s="8" t="s">
        <v>426</v>
      </c>
      <c r="G479" s="19"/>
      <c r="H479" s="18"/>
      <c r="I479" s="13">
        <v>3136.0</v>
      </c>
      <c r="J479" s="14" t="s">
        <v>53</v>
      </c>
      <c r="K479" s="8" t="s">
        <v>721</v>
      </c>
      <c r="L479" s="15">
        <v>1385093.0</v>
      </c>
      <c r="M479" s="15">
        <v>230.0</v>
      </c>
    </row>
    <row r="480" ht="22.5" customHeight="1">
      <c r="A480" s="7" t="s">
        <v>722</v>
      </c>
      <c r="B480" s="8" t="s">
        <v>446</v>
      </c>
      <c r="C480" s="8" t="s">
        <v>27</v>
      </c>
      <c r="D480" s="8" t="s">
        <v>238</v>
      </c>
      <c r="E480" s="16" t="s">
        <v>422</v>
      </c>
      <c r="F480" s="8" t="s">
        <v>426</v>
      </c>
      <c r="G480" s="19"/>
      <c r="H480" s="18"/>
      <c r="I480" s="13">
        <v>17865.0</v>
      </c>
      <c r="J480" s="14" t="s">
        <v>103</v>
      </c>
      <c r="K480" s="8" t="s">
        <v>241</v>
      </c>
      <c r="L480" s="15">
        <v>557300.0</v>
      </c>
      <c r="M480" s="15">
        <v>372.0</v>
      </c>
    </row>
    <row r="481" ht="22.5" customHeight="1">
      <c r="A481" s="7" t="s">
        <v>722</v>
      </c>
      <c r="B481" s="8" t="s">
        <v>392</v>
      </c>
      <c r="C481" s="8" t="s">
        <v>15</v>
      </c>
      <c r="D481" s="8" t="s">
        <v>248</v>
      </c>
      <c r="E481" s="16" t="s">
        <v>422</v>
      </c>
      <c r="F481" s="8" t="s">
        <v>426</v>
      </c>
      <c r="G481" s="19"/>
      <c r="H481" s="18"/>
      <c r="I481" s="13" t="s">
        <v>723</v>
      </c>
      <c r="J481" s="14" t="s">
        <v>103</v>
      </c>
      <c r="K481" s="8" t="s">
        <v>241</v>
      </c>
      <c r="L481" s="15">
        <v>529233.0</v>
      </c>
      <c r="M481" s="15">
        <v>378.0</v>
      </c>
    </row>
    <row r="482" ht="22.5" customHeight="1">
      <c r="A482" s="7" t="s">
        <v>722</v>
      </c>
      <c r="B482" s="8">
        <v>3.0</v>
      </c>
      <c r="C482" s="8" t="s">
        <v>23</v>
      </c>
      <c r="D482" s="8" t="s">
        <v>648</v>
      </c>
      <c r="E482" s="16" t="s">
        <v>422</v>
      </c>
      <c r="F482" s="8" t="s">
        <v>426</v>
      </c>
      <c r="G482" s="19"/>
      <c r="H482" s="18"/>
      <c r="I482" s="13">
        <v>8325.0</v>
      </c>
      <c r="J482" s="14" t="s">
        <v>103</v>
      </c>
      <c r="K482" s="8" t="s">
        <v>241</v>
      </c>
      <c r="L482" s="15">
        <v>478373.0</v>
      </c>
      <c r="M482" s="15">
        <v>388.0</v>
      </c>
    </row>
    <row r="483" ht="22.5" customHeight="1">
      <c r="A483" s="7" t="s">
        <v>724</v>
      </c>
      <c r="B483" s="8">
        <v>7.0</v>
      </c>
      <c r="C483" s="8" t="s">
        <v>23</v>
      </c>
      <c r="D483" s="8" t="s">
        <v>85</v>
      </c>
      <c r="E483" s="16" t="s">
        <v>422</v>
      </c>
      <c r="F483" s="10"/>
      <c r="G483" s="19"/>
      <c r="H483" s="18"/>
      <c r="I483" s="13">
        <v>5652.0</v>
      </c>
      <c r="J483" s="14" t="s">
        <v>68</v>
      </c>
      <c r="K483" s="8" t="s">
        <v>69</v>
      </c>
      <c r="L483" s="15">
        <v>3859105.0</v>
      </c>
      <c r="M483" s="15">
        <v>80.0</v>
      </c>
    </row>
    <row r="484" ht="22.5" customHeight="1">
      <c r="A484" s="7" t="s">
        <v>725</v>
      </c>
      <c r="B484" s="8">
        <v>2.0</v>
      </c>
      <c r="C484" s="8" t="s">
        <v>23</v>
      </c>
      <c r="D484" s="8" t="s">
        <v>75</v>
      </c>
      <c r="E484" s="16" t="s">
        <v>422</v>
      </c>
      <c r="F484" s="8" t="s">
        <v>426</v>
      </c>
      <c r="G484" s="19"/>
      <c r="H484" s="18"/>
      <c r="I484" s="13">
        <v>7653.0</v>
      </c>
      <c r="J484" s="14" t="s">
        <v>53</v>
      </c>
      <c r="K484" s="8" t="s">
        <v>76</v>
      </c>
      <c r="L484" s="15">
        <v>778337.0</v>
      </c>
      <c r="M484" s="15">
        <v>332.0</v>
      </c>
    </row>
    <row r="485" ht="22.5" customHeight="1">
      <c r="A485" s="7" t="s">
        <v>726</v>
      </c>
      <c r="B485" s="26" t="s">
        <v>35</v>
      </c>
      <c r="C485" s="8" t="s">
        <v>23</v>
      </c>
      <c r="D485" s="8" t="s">
        <v>24</v>
      </c>
      <c r="E485" s="16" t="s">
        <v>422</v>
      </c>
      <c r="F485" s="10"/>
      <c r="G485" s="19"/>
      <c r="H485" s="18"/>
      <c r="I485" s="13">
        <v>6757.0</v>
      </c>
      <c r="J485" s="14" t="s">
        <v>20</v>
      </c>
      <c r="K485" s="8" t="s">
        <v>184</v>
      </c>
      <c r="L485" s="15">
        <v>4112164.0</v>
      </c>
      <c r="M485" s="15">
        <v>72.0</v>
      </c>
    </row>
    <row r="486" ht="22.5" customHeight="1">
      <c r="A486" s="7" t="s">
        <v>726</v>
      </c>
      <c r="B486" s="26" t="s">
        <v>182</v>
      </c>
      <c r="C486" s="8" t="s">
        <v>23</v>
      </c>
      <c r="D486" s="8" t="s">
        <v>32</v>
      </c>
      <c r="E486" s="16" t="s">
        <v>422</v>
      </c>
      <c r="F486" s="10"/>
      <c r="G486" s="19"/>
      <c r="H486" s="18"/>
      <c r="I486" s="13">
        <v>1990.0</v>
      </c>
      <c r="J486" s="14" t="s">
        <v>20</v>
      </c>
      <c r="K486" s="8" t="s">
        <v>184</v>
      </c>
      <c r="L486" s="15">
        <v>3602663.0</v>
      </c>
      <c r="M486" s="15">
        <v>90.0</v>
      </c>
    </row>
    <row r="487" ht="22.5" customHeight="1">
      <c r="A487" s="7" t="s">
        <v>727</v>
      </c>
      <c r="B487" s="8" t="s">
        <v>728</v>
      </c>
      <c r="C487" s="8" t="s">
        <v>210</v>
      </c>
      <c r="D487" s="8" t="s">
        <v>729</v>
      </c>
      <c r="E487" s="16" t="s">
        <v>422</v>
      </c>
      <c r="F487" s="10"/>
      <c r="G487" s="19"/>
      <c r="H487" s="18"/>
      <c r="I487" s="13">
        <v>7079.0</v>
      </c>
      <c r="J487" s="14" t="s">
        <v>103</v>
      </c>
      <c r="K487" s="8" t="s">
        <v>213</v>
      </c>
      <c r="L487" s="15">
        <v>603367.0</v>
      </c>
      <c r="M487" s="15">
        <v>357.0</v>
      </c>
    </row>
    <row r="488" ht="22.5" customHeight="1">
      <c r="A488" s="7" t="s">
        <v>730</v>
      </c>
      <c r="B488" s="26" t="s">
        <v>78</v>
      </c>
      <c r="C488" s="8" t="s">
        <v>23</v>
      </c>
      <c r="D488" s="8" t="s">
        <v>75</v>
      </c>
      <c r="E488" s="16" t="s">
        <v>422</v>
      </c>
      <c r="F488" s="8" t="s">
        <v>426</v>
      </c>
      <c r="G488" s="19"/>
      <c r="H488" s="18"/>
      <c r="I488" s="13">
        <v>1792.0</v>
      </c>
      <c r="J488" s="14" t="s">
        <v>53</v>
      </c>
      <c r="K488" s="8" t="s">
        <v>731</v>
      </c>
      <c r="L488" s="15">
        <v>970899.0</v>
      </c>
      <c r="M488" s="15">
        <v>299.0</v>
      </c>
    </row>
    <row r="489" ht="22.5" customHeight="1">
      <c r="A489" s="7" t="s">
        <v>732</v>
      </c>
      <c r="B489" s="8">
        <v>6.0</v>
      </c>
      <c r="C489" s="8" t="s">
        <v>23</v>
      </c>
      <c r="D489" s="8" t="s">
        <v>230</v>
      </c>
      <c r="E489" s="16" t="s">
        <v>422</v>
      </c>
      <c r="F489" s="10"/>
      <c r="G489" s="19"/>
      <c r="H489" s="18"/>
      <c r="I489" s="13">
        <v>7456.0</v>
      </c>
      <c r="J489" s="14" t="s">
        <v>53</v>
      </c>
      <c r="K489" s="8" t="s">
        <v>733</v>
      </c>
      <c r="L489" s="15">
        <v>359232.0</v>
      </c>
      <c r="M489" s="15">
        <v>407.0</v>
      </c>
    </row>
    <row r="490" ht="22.5" customHeight="1">
      <c r="A490" s="7" t="s">
        <v>734</v>
      </c>
      <c r="B490" s="26" t="s">
        <v>78</v>
      </c>
      <c r="C490" s="8" t="s">
        <v>23</v>
      </c>
      <c r="D490" s="8" t="s">
        <v>206</v>
      </c>
      <c r="E490" s="16" t="s">
        <v>422</v>
      </c>
      <c r="F490" s="10"/>
      <c r="G490" s="19"/>
      <c r="H490" s="18"/>
      <c r="I490" s="13">
        <v>7541.0</v>
      </c>
      <c r="J490" s="14" t="s">
        <v>103</v>
      </c>
      <c r="K490" s="8" t="s">
        <v>690</v>
      </c>
      <c r="L490" s="15">
        <v>1660594.0</v>
      </c>
      <c r="M490" s="15">
        <v>199.0</v>
      </c>
    </row>
    <row r="491" ht="22.5" customHeight="1">
      <c r="A491" s="7" t="s">
        <v>391</v>
      </c>
      <c r="B491" s="8" t="s">
        <v>483</v>
      </c>
      <c r="C491" s="8" t="s">
        <v>27</v>
      </c>
      <c r="D491" s="8" t="s">
        <v>94</v>
      </c>
      <c r="E491" s="16" t="s">
        <v>422</v>
      </c>
      <c r="F491" s="8" t="s">
        <v>426</v>
      </c>
      <c r="G491" s="19"/>
      <c r="H491" s="18"/>
      <c r="I491" s="13">
        <v>13515.0</v>
      </c>
      <c r="J491" s="14" t="s">
        <v>68</v>
      </c>
      <c r="K491" s="8" t="s">
        <v>518</v>
      </c>
      <c r="L491" s="15">
        <v>4227526.0</v>
      </c>
      <c r="M491" s="15">
        <v>68.0</v>
      </c>
    </row>
    <row r="492" ht="22.5" customHeight="1">
      <c r="A492" s="7" t="s">
        <v>735</v>
      </c>
      <c r="B492" s="8">
        <v>4.0</v>
      </c>
      <c r="C492" s="8" t="s">
        <v>23</v>
      </c>
      <c r="D492" s="8" t="s">
        <v>55</v>
      </c>
      <c r="E492" s="16" t="s">
        <v>422</v>
      </c>
      <c r="F492" s="8" t="s">
        <v>426</v>
      </c>
      <c r="G492" s="19"/>
      <c r="H492" s="18"/>
      <c r="I492" s="13">
        <v>6680.0</v>
      </c>
      <c r="J492" s="14" t="s">
        <v>53</v>
      </c>
      <c r="K492" s="8" t="s">
        <v>683</v>
      </c>
      <c r="L492" s="15">
        <v>1302003.0</v>
      </c>
      <c r="M492" s="15">
        <v>239.0</v>
      </c>
    </row>
    <row r="493" ht="22.5" customHeight="1">
      <c r="A493" s="7" t="s">
        <v>736</v>
      </c>
      <c r="B493" s="8" t="s">
        <v>300</v>
      </c>
      <c r="C493" s="8" t="s">
        <v>27</v>
      </c>
      <c r="D493" s="8" t="s">
        <v>43</v>
      </c>
      <c r="E493" s="16" t="s">
        <v>422</v>
      </c>
      <c r="F493" s="8" t="s">
        <v>737</v>
      </c>
      <c r="G493" s="19"/>
      <c r="H493" s="18"/>
      <c r="I493" s="13">
        <v>13249.0</v>
      </c>
      <c r="J493" s="14" t="s">
        <v>103</v>
      </c>
      <c r="K493" s="8" t="s">
        <v>738</v>
      </c>
      <c r="L493" s="15">
        <v>3603306.0</v>
      </c>
      <c r="M493" s="15">
        <v>89.0</v>
      </c>
    </row>
    <row r="494" ht="22.5" customHeight="1">
      <c r="A494" s="7" t="s">
        <v>739</v>
      </c>
      <c r="B494" s="8">
        <v>6.0</v>
      </c>
      <c r="C494" s="8" t="s">
        <v>23</v>
      </c>
      <c r="D494" s="8" t="s">
        <v>230</v>
      </c>
      <c r="E494" s="16" t="s">
        <v>422</v>
      </c>
      <c r="F494" s="10"/>
      <c r="G494" s="19"/>
      <c r="H494" s="18"/>
      <c r="I494" s="13">
        <v>7603.0</v>
      </c>
      <c r="J494" s="14" t="s">
        <v>53</v>
      </c>
      <c r="K494" s="8" t="s">
        <v>390</v>
      </c>
      <c r="L494" s="15">
        <v>484950.0</v>
      </c>
      <c r="M494" s="15">
        <v>387.0</v>
      </c>
    </row>
  </sheetData>
  <dataValidations>
    <dataValidation type="list" allowBlank="1" showErrorMessage="1" sqref="J2:J494">
      <formula1>"Manhattan,The Bronx,Brooklyn,Queens,Staten Island"</formula1>
    </dataValidation>
    <dataValidation type="custom" allowBlank="1" showDropDown="1" sqref="I2:I494">
      <formula1>OR(NOT(ISERROR(DATEVALUE(I2))), AND(ISNUMBER(I2), LEFT(CELL("format", I2))="D"))</formula1>
    </dataValidation>
    <dataValidation type="custom" allowBlank="1" showDropDown="1" sqref="L2:M494">
      <formula1>AND(ISNUMBER(L2),(NOT(OR(NOT(ISERROR(DATEVALUE(L2))), AND(ISNUMBER(L2), LEFT(CELL("format", L2))="D")))))</formula1>
    </dataValidation>
    <dataValidation allowBlank="1" showDropDown="1" sqref="G2:G494"/>
  </dataValidations>
  <hyperlinks>
    <hyperlink r:id="rId1" ref="H2"/>
    <hyperlink r:id="rId2" ref="H33"/>
    <hyperlink r:id="rId3" ref="H34"/>
    <hyperlink r:id="rId4" ref="H38"/>
    <hyperlink r:id="rId5" ref="H39"/>
    <hyperlink r:id="rId6" ref="H45"/>
    <hyperlink r:id="rId7" ref="H47"/>
    <hyperlink r:id="rId8" ref="H48"/>
    <hyperlink r:id="rId9" ref="H51"/>
    <hyperlink r:id="rId10" ref="H52"/>
    <hyperlink r:id="rId11" ref="H54"/>
    <hyperlink r:id="rId12" ref="H59"/>
    <hyperlink r:id="rId13" ref="H60"/>
    <hyperlink r:id="rId14" ref="H61"/>
    <hyperlink r:id="rId15" ref="H62"/>
    <hyperlink r:id="rId16" ref="H63"/>
    <hyperlink r:id="rId17" ref="H64"/>
    <hyperlink r:id="rId18" ref="H67"/>
    <hyperlink r:id="rId19" ref="H68"/>
    <hyperlink r:id="rId20" ref="H92"/>
    <hyperlink r:id="rId21" ref="H110"/>
    <hyperlink r:id="rId22" ref="H112"/>
    <hyperlink r:id="rId23" ref="H113"/>
    <hyperlink r:id="rId24" ref="H123"/>
    <hyperlink r:id="rId25" ref="H124"/>
    <hyperlink r:id="rId26" ref="H128"/>
    <hyperlink r:id="rId27" ref="H138"/>
    <hyperlink r:id="rId28" ref="H165"/>
    <hyperlink r:id="rId29" ref="H171"/>
    <hyperlink r:id="rId30" ref="H178"/>
    <hyperlink r:id="rId31" ref="H181"/>
  </hyperlinks>
  <drawing r:id="rId32"/>
  <tableParts count="1">
    <tablePart r:id="rId3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29.75"/>
    <col customWidth="1" min="2" max="2" width="23.38"/>
    <col customWidth="1" min="3" max="3" width="10.75"/>
    <col customWidth="1" min="4" max="4" width="18.25"/>
    <col customWidth="1" min="5" max="5" width="25.38"/>
    <col customWidth="1" min="6" max="6" width="14.88"/>
    <col customWidth="1" min="7" max="7" width="6.63"/>
    <col customWidth="1" min="8" max="8" width="5.25"/>
    <col customWidth="1" min="9" max="9" width="21.13"/>
    <col customWidth="1" min="10" max="10" width="20.0"/>
    <col customWidth="1" min="11" max="11" width="11.13"/>
    <col customWidth="1" min="12" max="12" width="12.13"/>
    <col customWidth="1" min="13" max="13" width="16.63"/>
    <col customWidth="1" min="14" max="14" width="20.5"/>
    <col customWidth="1" min="15" max="15" width="15.63"/>
    <col customWidth="1" min="16" max="16" width="12.75"/>
    <col customWidth="1" min="17" max="17" width="17.38"/>
    <col customWidth="1" min="18" max="18" width="23.13"/>
    <col customWidth="1" min="19" max="19" width="22.63"/>
    <col customWidth="1" min="20" max="20" width="26.13"/>
    <col customWidth="1" min="21" max="21" width="125.5"/>
    <col customWidth="1" min="22" max="22" width="26.88"/>
  </cols>
  <sheetData>
    <row r="1" ht="22.5" customHeight="1">
      <c r="A1" s="27" t="s">
        <v>0</v>
      </c>
      <c r="B1" s="27" t="s">
        <v>3</v>
      </c>
      <c r="C1" s="27" t="s">
        <v>9</v>
      </c>
      <c r="D1" s="27" t="s">
        <v>10</v>
      </c>
      <c r="E1" s="28" t="s">
        <v>8</v>
      </c>
      <c r="F1" s="28" t="s">
        <v>11</v>
      </c>
      <c r="G1" s="28" t="s">
        <v>12</v>
      </c>
      <c r="H1" s="29" t="s">
        <v>740</v>
      </c>
      <c r="I1" s="27" t="s">
        <v>741</v>
      </c>
      <c r="J1" s="27" t="s">
        <v>742</v>
      </c>
      <c r="K1" s="27" t="s">
        <v>743</v>
      </c>
      <c r="L1" s="27" t="s">
        <v>744</v>
      </c>
      <c r="M1" s="27" t="s">
        <v>745</v>
      </c>
      <c r="N1" s="27" t="s">
        <v>746</v>
      </c>
      <c r="O1" s="27" t="s">
        <v>747</v>
      </c>
      <c r="P1" s="27" t="s">
        <v>748</v>
      </c>
      <c r="Q1" s="27" t="s">
        <v>749</v>
      </c>
      <c r="R1" s="27" t="s">
        <v>750</v>
      </c>
      <c r="S1" s="27" t="s">
        <v>751</v>
      </c>
      <c r="T1" s="27" t="s">
        <v>752</v>
      </c>
      <c r="U1" s="27" t="s">
        <v>753</v>
      </c>
      <c r="V1" s="27" t="s">
        <v>754</v>
      </c>
    </row>
    <row r="2" ht="22.5" customHeight="1">
      <c r="A2" s="7" t="str">
        <f>IFERROR(__xludf.DUMMYFUNCTION("FILTER(ARRAYFORMULA({SUBSTITUTE(Sheet5!D2:D1494, "" - Station"", """"), IFERROR(VLOOKUP(SUBSTITUTE(Sheet5!D2:D1494, "" - Station"", """"), Elevators!A:M, 4, FALSE), """"), IFERROR(VLOOKUP(SUBSTITUTE(Sheet5!D2:D1494, "" - Station"", """"), Elevators!A:M, 1"&amp;"0, FALSE), """"), IFERROR(VLOOKUP(SUBSTITUTE(Sheet5!D2:D1494, "" - Station"", """"), Elevators!A:M, 11, FALSE), """"), IFERROR(VLOOKUP(SUBSTITUTE(Sheet5!D2:D1494, "" - Station"", """"), Elevators!A:M, 9, FALSE), """"), IFERROR(VLOOKUP(SUBSTITUTE(Sheet5!D2"&amp;":D1494, "" - Station"", """"), Elevators!A:M, 12, FALSE), """"), IFERROR(VLOOKUP(SUBSTITUTE(Sheet5!D2:D1494, "" - Station"", """"), Elevators!A:M, 13, FALSE), """"), IF(Sheet5!L2:L1494=""Removed-Non Functioning-Out of Service"", ""❌"", ""↗️""), Sheet5!I2:"&amp;"I1494, Sheet5!J2:J1494, Sheet5!M2:M1494, Sheet5!N2:N1494, Sheet5!O2:O1494, Sheet5!P2:P1494, Sheet5!Q2:Q1494, Sheet5!S2:S1494, Sheet5!T2:T1494, Sheet5!U2:U1494, Sheet5!Z2:Z1494, Sheet5!AA2:AA1494, Sheet5!AG2:AG1494, Sheet5!AN2:AN1494}), Sheet5!B2:B1494=""E"&amp;"scalator"")"),"Lexington Av/53 St")</f>
        <v>Lexington Av/53 St</v>
      </c>
      <c r="B2" s="8" t="str">
        <f>IFERROR(__xludf.DUMMYFUNCTION("""COMPUTED_VALUE"""),"")</f>
        <v/>
      </c>
      <c r="C2" s="8" t="str">
        <f>IFERROR(__xludf.DUMMYFUNCTION("""COMPUTED_VALUE"""),"")</f>
        <v/>
      </c>
      <c r="D2" s="8" t="str">
        <f>IFERROR(__xludf.DUMMYFUNCTION("""COMPUTED_VALUE"""),"")</f>
        <v/>
      </c>
      <c r="E2" s="30" t="str">
        <f>IFERROR(__xludf.DUMMYFUNCTION("""COMPUTED_VALUE"""),"")</f>
        <v/>
      </c>
      <c r="F2" s="10" t="str">
        <f>IFERROR(__xludf.DUMMYFUNCTION("""COMPUTED_VALUE"""),"")</f>
        <v/>
      </c>
      <c r="G2" s="17" t="str">
        <f>IFERROR(__xludf.DUMMYFUNCTION("""COMPUTED_VALUE"""),"")</f>
        <v/>
      </c>
      <c r="H2" s="31" t="str">
        <f>IFERROR(__xludf.DUMMYFUNCTION("""COMPUTED_VALUE"""),"↗️")</f>
        <v>↗️</v>
      </c>
      <c r="I2" s="13"/>
      <c r="J2" s="32">
        <f>IFERROR(__xludf.DUMMYFUNCTION("""COMPUTED_VALUE"""),3.0)</f>
        <v>3</v>
      </c>
      <c r="K2" s="8">
        <f>IFERROR(__xludf.DUMMYFUNCTION("""COMPUTED_VALUE"""),22.0)</f>
        <v>22</v>
      </c>
      <c r="L2" s="15" t="str">
        <f>IFERROR(__xludf.DUMMYFUNCTION("""COMPUTED_VALUE"""),"NO")</f>
        <v>NO</v>
      </c>
      <c r="M2" s="15" t="str">
        <f>IFERROR(__xludf.DUMMYFUNCTION("""COMPUTED_VALUE"""),"Private Contractor")</f>
        <v>Private Contractor</v>
      </c>
      <c r="N2" s="15" t="str">
        <f>IFERROR(__xludf.DUMMYFUNCTION("""COMPUTED_VALUE"""),"AM")</f>
        <v>AM</v>
      </c>
      <c r="O2" s="15" t="str">
        <f>IFERROR(__xludf.DUMMYFUNCTION("""COMPUTED_VALUE"""),"YES")</f>
        <v>YES</v>
      </c>
      <c r="P2" s="15" t="str">
        <f>IFERROR(__xludf.DUMMYFUNCTION("""COMPUTED_VALUE"""),"NO")</f>
        <v>NO</v>
      </c>
      <c r="Q2" s="15" t="str">
        <f>IFERROR(__xludf.DUMMYFUNCTION("""COMPUTED_VALUE"""),"NO")</f>
        <v>NO</v>
      </c>
      <c r="R2" s="15"/>
      <c r="S2" s="15"/>
      <c r="T2" s="15"/>
      <c r="U2" s="15" t="str">
        <f>IFERROR(__xludf.DUMMYFUNCTION("""COMPUTED_VALUE"""),"6/E/F mezzanine to 52 St &amp; Lexington Av (NE corner).")</f>
        <v>6/E/F mezzanine to 52 St &amp; Lexington Av (NE corner).</v>
      </c>
      <c r="V2" s="15" t="str">
        <f>IFERROR(__xludf.DUMMYFUNCTION("""COMPUTED_VALUE"""),"POINT (-73.970924 40.75814)")</f>
        <v>POINT (-73.970924 40.75814)</v>
      </c>
    </row>
    <row r="3" ht="22.5" customHeight="1">
      <c r="A3" s="7" t="str">
        <f>IFERROR(__xludf.DUMMYFUNCTION("""COMPUTED_VALUE"""),"34 St-Hudson Yards")</f>
        <v>34 St-Hudson Yards</v>
      </c>
      <c r="B3" s="8" t="str">
        <f>IFERROR(__xludf.DUMMYFUNCTION("""COMPUTED_VALUE"""),"Flushing Line")</f>
        <v>Flushing Line</v>
      </c>
      <c r="C3" s="8" t="str">
        <f>IFERROR(__xludf.DUMMYFUNCTION("""COMPUTED_VALUE"""),"Manhattan")</f>
        <v>Manhattan</v>
      </c>
      <c r="D3" s="8" t="str">
        <f>IFERROR(__xludf.DUMMYFUNCTION("""COMPUTED_VALUE"""),"Hell's Kitchen")</f>
        <v>Hell's Kitchen</v>
      </c>
      <c r="E3" s="33">
        <f>IFERROR(__xludf.DUMMYFUNCTION("""COMPUTED_VALUE"""),42260.0)</f>
        <v>42260</v>
      </c>
      <c r="F3" s="8">
        <f>IFERROR(__xludf.DUMMYFUNCTION("""COMPUTED_VALUE"""),6082370.0)</f>
        <v>6082370</v>
      </c>
      <c r="G3" s="17">
        <f>IFERROR(__xludf.DUMMYFUNCTION("""COMPUTED_VALUE"""),39.0)</f>
        <v>39</v>
      </c>
      <c r="H3" s="10" t="str">
        <f>IFERROR(__xludf.DUMMYFUNCTION("""COMPUTED_VALUE"""),"↗️")</f>
        <v>↗️</v>
      </c>
      <c r="I3" s="13">
        <f>IFERROR(__xludf.DUMMYFUNCTION("""COMPUTED_VALUE"""),42260.0)</f>
        <v>42260</v>
      </c>
      <c r="J3" s="32">
        <f>IFERROR(__xludf.DUMMYFUNCTION("""COMPUTED_VALUE"""),42260.0)</f>
        <v>42260</v>
      </c>
      <c r="K3" s="8">
        <f>IFERROR(__xludf.DUMMYFUNCTION("""COMPUTED_VALUE"""),22.0)</f>
        <v>22</v>
      </c>
      <c r="L3" s="15" t="str">
        <f>IFERROR(__xludf.DUMMYFUNCTION("""COMPUTED_VALUE"""),"YES")</f>
        <v>YES</v>
      </c>
      <c r="M3" s="15" t="str">
        <f>IFERROR(__xludf.DUMMYFUNCTION("""COMPUTED_VALUE"""),"NYCT")</f>
        <v>NYCT</v>
      </c>
      <c r="N3" s="15" t="str">
        <f>IFERROR(__xludf.DUMMYFUNCTION("""COMPUTED_VALUE"""),"KONE")</f>
        <v>KONE</v>
      </c>
      <c r="O3" s="15" t="str">
        <f>IFERROR(__xludf.DUMMYFUNCTION("""COMPUTED_VALUE"""),"YES")</f>
        <v>YES</v>
      </c>
      <c r="P3" s="15" t="str">
        <f>IFERROR(__xludf.DUMMYFUNCTION("""COMPUTED_VALUE"""),"YES")</f>
        <v>YES</v>
      </c>
      <c r="Q3" s="15" t="str">
        <f>IFERROR(__xludf.DUMMYFUNCTION("""COMPUTED_VALUE"""),"YES")</f>
        <v>YES</v>
      </c>
      <c r="R3" s="15" t="str">
        <f>IFERROR(__xludf.DUMMYFUNCTION("""COMPUTED_VALUE"""),"30'")</f>
        <v>30'</v>
      </c>
      <c r="S3" s="15">
        <f>IFERROR(__xludf.DUMMYFUNCTION("""COMPUTED_VALUE"""),110.0)</f>
        <v>110</v>
      </c>
      <c r="T3" s="15">
        <f>IFERROR(__xludf.DUMMYFUNCTION("""COMPUTED_VALUE"""),24.0)</f>
        <v>24</v>
      </c>
      <c r="U3" s="15" t="str">
        <f>IFERROR(__xludf.DUMMYFUNCTION("""COMPUTED_VALUE"""),"Hudson Blvd E (between 33 St &amp; 34 St) to upper mezzanine")</f>
        <v>Hudson Blvd E (between 33 St &amp; 34 St) to upper mezzanine</v>
      </c>
      <c r="V3" s="15" t="str">
        <f>IFERROR(__xludf.DUMMYFUNCTION("""COMPUTED_VALUE"""),"POINT (-74.00103 40.754982)")</f>
        <v>POINT (-74.00103 40.754982)</v>
      </c>
    </row>
    <row r="4" ht="22.5" customHeight="1">
      <c r="A4" s="7" t="str">
        <f>IFERROR(__xludf.DUMMYFUNCTION("""COMPUTED_VALUE"""),"Fulton St")</f>
        <v>Fulton St</v>
      </c>
      <c r="B4" s="8" t="str">
        <f>IFERROR(__xludf.DUMMYFUNCTION("""COMPUTED_VALUE"""),"Broadway-7 Av Line")</f>
        <v>Broadway-7 Av Line</v>
      </c>
      <c r="C4" s="8" t="str">
        <f>IFERROR(__xludf.DUMMYFUNCTION("""COMPUTED_VALUE"""),"Manhattan")</f>
        <v>Manhattan</v>
      </c>
      <c r="D4" s="8" t="str">
        <f>IFERROR(__xludf.DUMMYFUNCTION("""COMPUTED_VALUE"""),"Financial District")</f>
        <v>Financial District</v>
      </c>
      <c r="E4" s="33">
        <f>IFERROR(__xludf.DUMMYFUNCTION("""COMPUTED_VALUE"""),6757.0)</f>
        <v>6757</v>
      </c>
      <c r="F4" s="8">
        <f>IFERROR(__xludf.DUMMYFUNCTION("""COMPUTED_VALUE"""),1.9221396E7)</f>
        <v>19221396</v>
      </c>
      <c r="G4" s="17">
        <f>IFERROR(__xludf.DUMMYFUNCTION("""COMPUTED_VALUE"""),5.0)</f>
        <v>5</v>
      </c>
      <c r="H4" s="10" t="str">
        <f>IFERROR(__xludf.DUMMYFUNCTION("""COMPUTED_VALUE"""),"↗️")</f>
        <v>↗️</v>
      </c>
      <c r="I4" s="13"/>
      <c r="J4" s="32">
        <f>IFERROR(__xludf.DUMMYFUNCTION("""COMPUTED_VALUE"""),41110.0)</f>
        <v>41110</v>
      </c>
      <c r="K4" s="8">
        <f>IFERROR(__xludf.DUMMYFUNCTION("""COMPUTED_VALUE"""),22.0)</f>
        <v>22</v>
      </c>
      <c r="L4" s="15" t="str">
        <f>IFERROR(__xludf.DUMMYFUNCTION("""COMPUTED_VALUE"""),"NO")</f>
        <v>NO</v>
      </c>
      <c r="M4" s="15" t="str">
        <f>IFERROR(__xludf.DUMMYFUNCTION("""COMPUTED_VALUE"""),"Private Contractor")</f>
        <v>Private Contractor</v>
      </c>
      <c r="N4" s="15" t="str">
        <f>IFERROR(__xludf.DUMMYFUNCTION("""COMPUTED_VALUE"""),"OTIS")</f>
        <v>OTIS</v>
      </c>
      <c r="O4" s="15" t="str">
        <f>IFERROR(__xludf.DUMMYFUNCTION("""COMPUTED_VALUE"""),"YES")</f>
        <v>YES</v>
      </c>
      <c r="P4" s="15" t="str">
        <f>IFERROR(__xludf.DUMMYFUNCTION("""COMPUTED_VALUE"""),"NO")</f>
        <v>NO</v>
      </c>
      <c r="Q4" s="15" t="str">
        <f>IFERROR(__xludf.DUMMYFUNCTION("""COMPUTED_VALUE"""),"NO")</f>
        <v>NO</v>
      </c>
      <c r="R4" s="15"/>
      <c r="S4" s="15"/>
      <c r="T4" s="15"/>
      <c r="U4" s="15" t="str">
        <f>IFERROR(__xludf.DUMMYFUNCTION("""COMPUTED_VALUE"""),"Broad St-bound J/Z platform to Nassau St (between Maiden Lane &amp; John St)")</f>
        <v>Broad St-bound J/Z platform to Nassau St (between Maiden Lane &amp; John St)</v>
      </c>
      <c r="V4" s="15" t="str">
        <f>IFERROR(__xludf.DUMMYFUNCTION("""COMPUTED_VALUE"""),"POINT (-74.008354 40.70928)")</f>
        <v>POINT (-74.008354 40.70928)</v>
      </c>
    </row>
    <row r="5" ht="22.5" customHeight="1">
      <c r="A5" s="7" t="str">
        <f>IFERROR(__xludf.DUMMYFUNCTION("""COMPUTED_VALUE"""),"96 St")</f>
        <v>96 St</v>
      </c>
      <c r="B5" s="8" t="str">
        <f>IFERROR(__xludf.DUMMYFUNCTION("""COMPUTED_VALUE"""),"Broadway-7 Av Line")</f>
        <v>Broadway-7 Av Line</v>
      </c>
      <c r="C5" s="8" t="str">
        <f>IFERROR(__xludf.DUMMYFUNCTION("""COMPUTED_VALUE"""),"Manhattan")</f>
        <v>Manhattan</v>
      </c>
      <c r="D5" s="8" t="str">
        <f>IFERROR(__xludf.DUMMYFUNCTION("""COMPUTED_VALUE"""),"Upper West Side")</f>
        <v>Upper West Side</v>
      </c>
      <c r="E5" s="33">
        <f>IFERROR(__xludf.DUMMYFUNCTION("""COMPUTED_VALUE"""),1762.0)</f>
        <v>1762</v>
      </c>
      <c r="F5" s="8">
        <f>IFERROR(__xludf.DUMMYFUNCTION("""COMPUTED_VALUE"""),8250940.0)</f>
        <v>8250940</v>
      </c>
      <c r="G5" s="17">
        <f>IFERROR(__xludf.DUMMYFUNCTION("""COMPUTED_VALUE"""),26.0)</f>
        <v>26</v>
      </c>
      <c r="H5" s="10" t="str">
        <f>IFERROR(__xludf.DUMMYFUNCTION("""COMPUTED_VALUE"""),"↗️")</f>
        <v>↗️</v>
      </c>
      <c r="I5" s="13">
        <f>IFERROR(__xludf.DUMMYFUNCTION("""COMPUTED_VALUE"""),42736.0)</f>
        <v>42736</v>
      </c>
      <c r="J5" s="32">
        <f>IFERROR(__xludf.DUMMYFUNCTION("""COMPUTED_VALUE"""),42736.0)</f>
        <v>42736</v>
      </c>
      <c r="K5" s="8">
        <f>IFERROR(__xludf.DUMMYFUNCTION("""COMPUTED_VALUE"""),22.0)</f>
        <v>22</v>
      </c>
      <c r="L5" s="15" t="str">
        <f>IFERROR(__xludf.DUMMYFUNCTION("""COMPUTED_VALUE"""),"YES")</f>
        <v>YES</v>
      </c>
      <c r="M5" s="15" t="str">
        <f>IFERROR(__xludf.DUMMYFUNCTION("""COMPUTED_VALUE"""),"NYCT")</f>
        <v>NYCT</v>
      </c>
      <c r="N5" s="15" t="str">
        <f>IFERROR(__xludf.DUMMYFUNCTION("""COMPUTED_VALUE"""),"KONE")</f>
        <v>KONE</v>
      </c>
      <c r="O5" s="15" t="str">
        <f>IFERROR(__xludf.DUMMYFUNCTION("""COMPUTED_VALUE"""),"YES")</f>
        <v>YES</v>
      </c>
      <c r="P5" s="15" t="str">
        <f>IFERROR(__xludf.DUMMYFUNCTION("""COMPUTED_VALUE"""),"NO")</f>
        <v>NO</v>
      </c>
      <c r="Q5" s="15" t="str">
        <f>IFERROR(__xludf.DUMMYFUNCTION("""COMPUTED_VALUE"""),"NO")</f>
        <v>NO</v>
      </c>
      <c r="R5" s="15" t="str">
        <f>IFERROR(__xludf.DUMMYFUNCTION("""COMPUTED_VALUE"""),"5042mm (16' 6 1/2in)")</f>
        <v>5042mm (16' 6 1/2in)</v>
      </c>
      <c r="S5" s="15">
        <f>IFERROR(__xludf.DUMMYFUNCTION("""COMPUTED_VALUE"""),76.0)</f>
        <v>76</v>
      </c>
      <c r="T5" s="15" t="str">
        <f>IFERROR(__xludf.DUMMYFUNCTION("""COMPUTED_VALUE"""),"1000 mm (39 3/8in)")</f>
        <v>1000 mm (39 3/8in)</v>
      </c>
      <c r="U5" s="15" t="str">
        <f>IFERROR(__xludf.DUMMYFUNCTION("""COMPUTED_VALUE"""),"platform to mezzanine")</f>
        <v>platform to mezzanine</v>
      </c>
      <c r="V5" s="15" t="str">
        <f>IFERROR(__xludf.DUMMYFUNCTION("""COMPUTED_VALUE"""),"POINT (-73.94761 40.783447)")</f>
        <v>POINT (-73.94761 40.783447)</v>
      </c>
    </row>
    <row r="6" ht="22.5" customHeight="1">
      <c r="A6" s="7" t="str">
        <f>IFERROR(__xludf.DUMMYFUNCTION("""COMPUTED_VALUE"""),"Roosevelt Island")</f>
        <v>Roosevelt Island</v>
      </c>
      <c r="B6" s="8" t="str">
        <f>IFERROR(__xludf.DUMMYFUNCTION("""COMPUTED_VALUE"""),"63rd St Line")</f>
        <v>63rd St Line</v>
      </c>
      <c r="C6" s="8" t="str">
        <f>IFERROR(__xludf.DUMMYFUNCTION("""COMPUTED_VALUE"""),"Manhattan")</f>
        <v>Manhattan</v>
      </c>
      <c r="D6" s="8" t="str">
        <f>IFERROR(__xludf.DUMMYFUNCTION("""COMPUTED_VALUE"""),"Roosevelt Island")</f>
        <v>Roosevelt Island</v>
      </c>
      <c r="E6" s="33">
        <f>IFERROR(__xludf.DUMMYFUNCTION("""COMPUTED_VALUE"""),32810.0)</f>
        <v>32810</v>
      </c>
      <c r="F6" s="10">
        <f>IFERROR(__xludf.DUMMYFUNCTION("""COMPUTED_VALUE"""),1885823.0)</f>
        <v>1885823</v>
      </c>
      <c r="G6" s="19">
        <f>IFERROR(__xludf.DUMMYFUNCTION("""COMPUTED_VALUE"""),171.0)</f>
        <v>171</v>
      </c>
      <c r="H6" s="10" t="str">
        <f>IFERROR(__xludf.DUMMYFUNCTION("""COMPUTED_VALUE"""),"↗️")</f>
        <v>↗️</v>
      </c>
      <c r="I6" s="13">
        <f>IFERROR(__xludf.DUMMYFUNCTION("""COMPUTED_VALUE"""),32782.0)</f>
        <v>32782</v>
      </c>
      <c r="J6" s="32">
        <f>IFERROR(__xludf.DUMMYFUNCTION("""COMPUTED_VALUE"""),39405.0)</f>
        <v>39405</v>
      </c>
      <c r="K6" s="8">
        <f>IFERROR(__xludf.DUMMYFUNCTION("""COMPUTED_VALUE"""),22.0)</f>
        <v>22</v>
      </c>
      <c r="L6" s="15" t="str">
        <f>IFERROR(__xludf.DUMMYFUNCTION("""COMPUTED_VALUE"""),"YES")</f>
        <v>YES</v>
      </c>
      <c r="M6" s="15" t="str">
        <f>IFERROR(__xludf.DUMMYFUNCTION("""COMPUTED_VALUE"""),"NYCT")</f>
        <v>NYCT</v>
      </c>
      <c r="N6" s="15" t="str">
        <f>IFERROR(__xludf.DUMMYFUNCTION("""COMPUTED_VALUE"""),"KONE")</f>
        <v>KONE</v>
      </c>
      <c r="O6" s="15" t="str">
        <f>IFERROR(__xludf.DUMMYFUNCTION("""COMPUTED_VALUE"""),"YES")</f>
        <v>YES</v>
      </c>
      <c r="P6" s="15" t="str">
        <f>IFERROR(__xludf.DUMMYFUNCTION("""COMPUTED_VALUE"""),"NO")</f>
        <v>NO</v>
      </c>
      <c r="Q6" s="15" t="str">
        <f>IFERROR(__xludf.DUMMYFUNCTION("""COMPUTED_VALUE"""),"NO")</f>
        <v>NO</v>
      </c>
      <c r="R6" s="15" t="str">
        <f>IFERROR(__xludf.DUMMYFUNCTION("""COMPUTED_VALUE"""),"36'")</f>
        <v>36'</v>
      </c>
      <c r="S6" s="15">
        <f>IFERROR(__xludf.DUMMYFUNCTION("""COMPUTED_VALUE"""),129.0)</f>
        <v>129</v>
      </c>
      <c r="T6" s="15">
        <f>IFERROR(__xludf.DUMMYFUNCTION("""COMPUTED_VALUE"""),40.0)</f>
        <v>40</v>
      </c>
      <c r="U6" s="15" t="str">
        <f>IFERROR(__xludf.DUMMYFUNCTION("""COMPUTED_VALUE"""),"intermediate mezzanine to lower mezzanine")</f>
        <v>intermediate mezzanine to lower mezzanine</v>
      </c>
      <c r="V6" s="15" t="str">
        <f>IFERROR(__xludf.DUMMYFUNCTION("""COMPUTED_VALUE"""),"POINT (-73.952866 40.7589)")</f>
        <v>POINT (-73.952866 40.7589)</v>
      </c>
    </row>
    <row r="7" ht="22.5" customHeight="1">
      <c r="A7" s="7" t="str">
        <f>IFERROR(__xludf.DUMMYFUNCTION("""COMPUTED_VALUE"""),"Bowling Green")</f>
        <v>Bowling Green</v>
      </c>
      <c r="B7" s="8" t="str">
        <f>IFERROR(__xludf.DUMMYFUNCTION("""COMPUTED_VALUE"""),"Lexington Av Line")</f>
        <v>Lexington Av Line</v>
      </c>
      <c r="C7" s="8" t="str">
        <f>IFERROR(__xludf.DUMMYFUNCTION("""COMPUTED_VALUE"""),"Manhattan")</f>
        <v>Manhattan</v>
      </c>
      <c r="D7" s="8" t="str">
        <f>IFERROR(__xludf.DUMMYFUNCTION("""COMPUTED_VALUE"""),"Financial District")</f>
        <v>Financial District</v>
      </c>
      <c r="E7" s="33">
        <f>IFERROR(__xludf.DUMMYFUNCTION("""COMPUTED_VALUE"""),2018.0)</f>
        <v>2018</v>
      </c>
      <c r="F7" s="10">
        <f>IFERROR(__xludf.DUMMYFUNCTION("""COMPUTED_VALUE"""),4676646.0)</f>
        <v>4676646</v>
      </c>
      <c r="G7" s="17">
        <f>IFERROR(__xludf.DUMMYFUNCTION("""COMPUTED_VALUE"""),62.0)</f>
        <v>62</v>
      </c>
      <c r="H7" s="10" t="str">
        <f>IFERROR(__xludf.DUMMYFUNCTION("""COMPUTED_VALUE"""),"↗️")</f>
        <v>↗️</v>
      </c>
      <c r="I7" s="13">
        <f>IFERROR(__xludf.DUMMYFUNCTION("""COMPUTED_VALUE"""),28216.0)</f>
        <v>28216</v>
      </c>
      <c r="J7" s="32">
        <f>IFERROR(__xludf.DUMMYFUNCTION("""COMPUTED_VALUE"""),38062.0)</f>
        <v>38062</v>
      </c>
      <c r="K7" s="8">
        <f>IFERROR(__xludf.DUMMYFUNCTION("""COMPUTED_VALUE"""),22.0)</f>
        <v>22</v>
      </c>
      <c r="L7" s="15" t="str">
        <f>IFERROR(__xludf.DUMMYFUNCTION("""COMPUTED_VALUE"""),"YES")</f>
        <v>YES</v>
      </c>
      <c r="M7" s="15" t="str">
        <f>IFERROR(__xludf.DUMMYFUNCTION("""COMPUTED_VALUE"""),"NYCT")</f>
        <v>NYCT</v>
      </c>
      <c r="N7" s="15" t="str">
        <f>IFERROR(__xludf.DUMMYFUNCTION("""COMPUTED_VALUE"""),"FUJITEC")</f>
        <v>FUJITEC</v>
      </c>
      <c r="O7" s="15" t="str">
        <f>IFERROR(__xludf.DUMMYFUNCTION("""COMPUTED_VALUE"""),"YES")</f>
        <v>YES</v>
      </c>
      <c r="P7" s="15" t="str">
        <f>IFERROR(__xludf.DUMMYFUNCTION("""COMPUTED_VALUE"""),"NO")</f>
        <v>NO</v>
      </c>
      <c r="Q7" s="15" t="str">
        <f>IFERROR(__xludf.DUMMYFUNCTION("""COMPUTED_VALUE"""),"NO")</f>
        <v>NO</v>
      </c>
      <c r="R7" s="15" t="str">
        <f>IFERROR(__xludf.DUMMYFUNCTION("""COMPUTED_VALUE"""),"20'")</f>
        <v>20'</v>
      </c>
      <c r="S7" s="15">
        <f>IFERROR(__xludf.DUMMYFUNCTION("""COMPUTED_VALUE"""),80.0)</f>
        <v>80</v>
      </c>
      <c r="T7" s="15">
        <f>IFERROR(__xludf.DUMMYFUNCTION("""COMPUTED_VALUE"""),40.0)</f>
        <v>40</v>
      </c>
      <c r="U7" s="15" t="str">
        <f>IFERROR(__xludf.DUMMYFUNCTION("""COMPUTED_VALUE"""),"lower mezzanine to upper mezzanine for Battery Pl &amp; Broadway exit")</f>
        <v>lower mezzanine to upper mezzanine for Battery Pl &amp; Broadway exit</v>
      </c>
      <c r="V7" s="15" t="str">
        <f>IFERROR(__xludf.DUMMYFUNCTION("""COMPUTED_VALUE"""),"POINT (-74.01438 40.70474)")</f>
        <v>POINT (-74.01438 40.70474)</v>
      </c>
    </row>
    <row r="8" ht="22.5" customHeight="1">
      <c r="A8" s="7" t="str">
        <f>IFERROR(__xludf.DUMMYFUNCTION("""COMPUTED_VALUE"""),"Times Sq-42 St")</f>
        <v>Times Sq-42 St</v>
      </c>
      <c r="B8" s="8" t="str">
        <f>IFERROR(__xludf.DUMMYFUNCTION("""COMPUTED_VALUE"""),"42nd St Line")</f>
        <v>42nd St Line</v>
      </c>
      <c r="C8" s="8" t="str">
        <f>IFERROR(__xludf.DUMMYFUNCTION("""COMPUTED_VALUE"""),"Manhattan")</f>
        <v>Manhattan</v>
      </c>
      <c r="D8" s="8" t="str">
        <f>IFERROR(__xludf.DUMMYFUNCTION("""COMPUTED_VALUE"""),"Times Square")</f>
        <v>Times Square</v>
      </c>
      <c r="E8" s="33">
        <f>IFERROR(__xludf.DUMMYFUNCTION("""COMPUTED_VALUE"""),1762.0)</f>
        <v>1762</v>
      </c>
      <c r="F8" s="10">
        <f>IFERROR(__xludf.DUMMYFUNCTION("""COMPUTED_VALUE"""),5.7743486E7)</f>
        <v>57743486</v>
      </c>
      <c r="G8" s="17">
        <f>IFERROR(__xludf.DUMMYFUNCTION("""COMPUTED_VALUE"""),1.0)</f>
        <v>1</v>
      </c>
      <c r="H8" s="10" t="str">
        <f>IFERROR(__xludf.DUMMYFUNCTION("""COMPUTED_VALUE"""),"↗️")</f>
        <v>↗️</v>
      </c>
      <c r="I8" s="13">
        <f>IFERROR(__xludf.DUMMYFUNCTION("""COMPUTED_VALUE"""),9935.0)</f>
        <v>9935</v>
      </c>
      <c r="J8" s="32">
        <f>IFERROR(__xludf.DUMMYFUNCTION("""COMPUTED_VALUE"""),38934.0)</f>
        <v>38934</v>
      </c>
      <c r="K8" s="8">
        <f>IFERROR(__xludf.DUMMYFUNCTION("""COMPUTED_VALUE"""),22.0)</f>
        <v>22</v>
      </c>
      <c r="L8" s="15" t="str">
        <f>IFERROR(__xludf.DUMMYFUNCTION("""COMPUTED_VALUE"""),"YES")</f>
        <v>YES</v>
      </c>
      <c r="M8" s="15" t="str">
        <f>IFERROR(__xludf.DUMMYFUNCTION("""COMPUTED_VALUE"""),"NYCT")</f>
        <v>NYCT</v>
      </c>
      <c r="N8" s="15" t="str">
        <f>IFERROR(__xludf.DUMMYFUNCTION("""COMPUTED_VALUE"""),"KONE")</f>
        <v>KONE</v>
      </c>
      <c r="O8" s="15" t="str">
        <f>IFERROR(__xludf.DUMMYFUNCTION("""COMPUTED_VALUE"""),"YES")</f>
        <v>YES</v>
      </c>
      <c r="P8" s="15" t="str">
        <f>IFERROR(__xludf.DUMMYFUNCTION("""COMPUTED_VALUE"""),"NO")</f>
        <v>NO</v>
      </c>
      <c r="Q8" s="15" t="str">
        <f>IFERROR(__xludf.DUMMYFUNCTION("""COMPUTED_VALUE"""),"NO")</f>
        <v>NO</v>
      </c>
      <c r="R8" s="15" t="str">
        <f>IFERROR(__xludf.DUMMYFUNCTION("""COMPUTED_VALUE"""),"37'")</f>
        <v>37'</v>
      </c>
      <c r="S8" s="15">
        <f>IFERROR(__xludf.DUMMYFUNCTION("""COMPUTED_VALUE"""),134.0)</f>
        <v>134</v>
      </c>
      <c r="T8" s="15">
        <f>IFERROR(__xludf.DUMMYFUNCTION("""COMPUTED_VALUE"""),40.0)</f>
        <v>40</v>
      </c>
      <c r="U8" s="15" t="str">
        <f>IFERROR(__xludf.DUMMYFUNCTION("""COMPUTED_VALUE"""),"upper mezzanine (41 St &amp; 7 Ave) to 7 platform for service in both directions")</f>
        <v>upper mezzanine (41 St &amp; 7 Ave) to 7 platform for service in both directions</v>
      </c>
      <c r="V8" s="15" t="str">
        <f>IFERROR(__xludf.DUMMYFUNCTION("""COMPUTED_VALUE"""),"POINT (-73.98772 40.755516)")</f>
        <v>POINT (-73.98772 40.755516)</v>
      </c>
    </row>
    <row r="9" ht="22.5" customHeight="1">
      <c r="A9" s="7" t="str">
        <f>IFERROR(__xludf.DUMMYFUNCTION("""COMPUTED_VALUE"""),"34 St-Herald Sq")</f>
        <v>34 St-Herald Sq</v>
      </c>
      <c r="B9" s="8" t="str">
        <f>IFERROR(__xludf.DUMMYFUNCTION("""COMPUTED_VALUE"""),"Broadway Line")</f>
        <v>Broadway Line</v>
      </c>
      <c r="C9" s="8" t="str">
        <f>IFERROR(__xludf.DUMMYFUNCTION("""COMPUTED_VALUE"""),"Manhattan")</f>
        <v>Manhattan</v>
      </c>
      <c r="D9" s="8" t="str">
        <f>IFERROR(__xludf.DUMMYFUNCTION("""COMPUTED_VALUE"""),"Midtown")</f>
        <v>Midtown</v>
      </c>
      <c r="E9" s="33">
        <f>IFERROR(__xludf.DUMMYFUNCTION("""COMPUTED_VALUE"""),6580.0)</f>
        <v>6580</v>
      </c>
      <c r="F9" s="10">
        <f>IFERROR(__xludf.DUMMYFUNCTION("""COMPUTED_VALUE"""),2.5012549E7)</f>
        <v>25012549</v>
      </c>
      <c r="G9" s="19">
        <f>IFERROR(__xludf.DUMMYFUNCTION("""COMPUTED_VALUE"""),3.0)</f>
        <v>3</v>
      </c>
      <c r="H9" s="10" t="str">
        <f>IFERROR(__xludf.DUMMYFUNCTION("""COMPUTED_VALUE"""),"↗️")</f>
        <v>↗️</v>
      </c>
      <c r="I9" s="13">
        <f>IFERROR(__xludf.DUMMYFUNCTION("""COMPUTED_VALUE"""),14960.0)</f>
        <v>14960</v>
      </c>
      <c r="J9" s="32">
        <f>IFERROR(__xludf.DUMMYFUNCTION("""COMPUTED_VALUE"""),39044.0)</f>
        <v>39044</v>
      </c>
      <c r="K9" s="8">
        <f>IFERROR(__xludf.DUMMYFUNCTION("""COMPUTED_VALUE"""),22.0)</f>
        <v>22</v>
      </c>
      <c r="L9" s="15" t="str">
        <f>IFERROR(__xludf.DUMMYFUNCTION("""COMPUTED_VALUE"""),"YES")</f>
        <v>YES</v>
      </c>
      <c r="M9" s="15" t="str">
        <f>IFERROR(__xludf.DUMMYFUNCTION("""COMPUTED_VALUE"""),"NYCT")</f>
        <v>NYCT</v>
      </c>
      <c r="N9" s="15" t="str">
        <f>IFERROR(__xludf.DUMMYFUNCTION("""COMPUTED_VALUE"""),"FUJITEC")</f>
        <v>FUJITEC</v>
      </c>
      <c r="O9" s="15" t="str">
        <f>IFERROR(__xludf.DUMMYFUNCTION("""COMPUTED_VALUE"""),"YES")</f>
        <v>YES</v>
      </c>
      <c r="P9" s="15" t="str">
        <f>IFERROR(__xludf.DUMMYFUNCTION("""COMPUTED_VALUE"""),"NO")</f>
        <v>NO</v>
      </c>
      <c r="Q9" s="15" t="str">
        <f>IFERROR(__xludf.DUMMYFUNCTION("""COMPUTED_VALUE"""),"NO")</f>
        <v>NO</v>
      </c>
      <c r="R9" s="15" t="str">
        <f>IFERROR(__xludf.DUMMYFUNCTION("""COMPUTED_VALUE"""),"30'")</f>
        <v>30'</v>
      </c>
      <c r="S9" s="15">
        <f>IFERROR(__xludf.DUMMYFUNCTION("""COMPUTED_VALUE"""),110.0)</f>
        <v>110</v>
      </c>
      <c r="T9" s="15">
        <f>IFERROR(__xludf.DUMMYFUNCTION("""COMPUTED_VALUE"""),24.0)</f>
        <v>24</v>
      </c>
      <c r="U9" s="15" t="str">
        <f>IFERROR(__xludf.DUMMYFUNCTION("""COMPUTED_VALUE"""),"N/Q/R/W mezzanine to uptown B/D/F/M platform")</f>
        <v>N/Q/R/W mezzanine to uptown B/D/F/M platform</v>
      </c>
      <c r="V9" s="15" t="str">
        <f>IFERROR(__xludf.DUMMYFUNCTION("""COMPUTED_VALUE"""),"POINT (-73.98773 40.749763)")</f>
        <v>POINT (-73.98773 40.749763)</v>
      </c>
    </row>
    <row r="10" ht="22.5" customHeight="1">
      <c r="A10" s="7" t="str">
        <f>IFERROR(__xludf.DUMMYFUNCTION("""COMPUTED_VALUE"""),"Broadway Junction")</f>
        <v>Broadway Junction</v>
      </c>
      <c r="B10" s="8" t="str">
        <f>IFERROR(__xludf.DUMMYFUNCTION("""COMPUTED_VALUE"""),"Canarsie Line")</f>
        <v>Canarsie Line</v>
      </c>
      <c r="C10" s="8" t="str">
        <f>IFERROR(__xludf.DUMMYFUNCTION("""COMPUTED_VALUE"""),"Brooklyn")</f>
        <v>Brooklyn</v>
      </c>
      <c r="D10" s="8" t="str">
        <f>IFERROR(__xludf.DUMMYFUNCTION("""COMPUTED_VALUE"""),"East New York")</f>
        <v>East New York</v>
      </c>
      <c r="E10" s="33">
        <f>IFERROR(__xludf.DUMMYFUNCTION("""COMPUTED_VALUE"""),10423.0)</f>
        <v>10423</v>
      </c>
      <c r="F10" s="10">
        <f>IFERROR(__xludf.DUMMYFUNCTION("""COMPUTED_VALUE"""),1808472.0)</f>
        <v>1808472</v>
      </c>
      <c r="G10" s="19">
        <f>IFERROR(__xludf.DUMMYFUNCTION("""COMPUTED_VALUE"""),176.0)</f>
        <v>176</v>
      </c>
      <c r="H10" s="10" t="str">
        <f>IFERROR(__xludf.DUMMYFUNCTION("""COMPUTED_VALUE"""),"↗️")</f>
        <v>↗️</v>
      </c>
      <c r="I10" s="13">
        <f>IFERROR(__xludf.DUMMYFUNCTION("""COMPUTED_VALUE"""),17715.0)</f>
        <v>17715</v>
      </c>
      <c r="J10" s="32">
        <f>IFERROR(__xludf.DUMMYFUNCTION("""COMPUTED_VALUE"""),35384.0)</f>
        <v>35384</v>
      </c>
      <c r="K10" s="8">
        <f>IFERROR(__xludf.DUMMYFUNCTION("""COMPUTED_VALUE"""),22.0)</f>
        <v>22</v>
      </c>
      <c r="L10" s="15" t="str">
        <f>IFERROR(__xludf.DUMMYFUNCTION("""COMPUTED_VALUE"""),"YES")</f>
        <v>YES</v>
      </c>
      <c r="M10" s="15" t="str">
        <f>IFERROR(__xludf.DUMMYFUNCTION("""COMPUTED_VALUE"""),"NYCT")</f>
        <v>NYCT</v>
      </c>
      <c r="N10" s="15" t="str">
        <f>IFERROR(__xludf.DUMMYFUNCTION("""COMPUTED_VALUE"""),"OK")</f>
        <v>OK</v>
      </c>
      <c r="O10" s="15" t="str">
        <f>IFERROR(__xludf.DUMMYFUNCTION("""COMPUTED_VALUE"""),"YES")</f>
        <v>YES</v>
      </c>
      <c r="P10" s="15" t="str">
        <f>IFERROR(__xludf.DUMMYFUNCTION("""COMPUTED_VALUE"""),"YES")</f>
        <v>YES</v>
      </c>
      <c r="Q10" s="15" t="str">
        <f>IFERROR(__xludf.DUMMYFUNCTION("""COMPUTED_VALUE"""),"NO")</f>
        <v>NO</v>
      </c>
      <c r="R10" s="15" t="str">
        <f>IFERROR(__xludf.DUMMYFUNCTION("""COMPUTED_VALUE"""),"44'")</f>
        <v>44'</v>
      </c>
      <c r="S10" s="15">
        <f>IFERROR(__xludf.DUMMYFUNCTION("""COMPUTED_VALUE"""),153.0)</f>
        <v>153</v>
      </c>
      <c r="T10" s="15">
        <f>IFERROR(__xludf.DUMMYFUNCTION("""COMPUTED_VALUE"""),32.0)</f>
        <v>32</v>
      </c>
      <c r="U10" s="15" t="str">
        <f>IFERROR(__xludf.DUMMYFUNCTION("""COMPUTED_VALUE"""),"A/C mezzanine (Van Sinderen Ave) to upper mezzanine for J/Z and L service")</f>
        <v>A/C mezzanine (Van Sinderen Ave) to upper mezzanine for J/Z and L service</v>
      </c>
      <c r="V10" s="15" t="str">
        <f>IFERROR(__xludf.DUMMYFUNCTION("""COMPUTED_VALUE"""),"POINT (-73.90394 40.678566)")</f>
        <v>POINT (-73.90394 40.678566)</v>
      </c>
    </row>
    <row r="11" ht="22.5" customHeight="1">
      <c r="A11" s="7" t="str">
        <f>IFERROR(__xludf.DUMMYFUNCTION("""COMPUTED_VALUE"""),"Jamaica Van Wyck")</f>
        <v>Jamaica Van Wyck</v>
      </c>
      <c r="B11" s="8" t="str">
        <f>IFERROR(__xludf.DUMMYFUNCTION("""COMPUTED_VALUE"""),"")</f>
        <v/>
      </c>
      <c r="C11" s="8" t="str">
        <f>IFERROR(__xludf.DUMMYFUNCTION("""COMPUTED_VALUE"""),"")</f>
        <v/>
      </c>
      <c r="D11" s="8" t="str">
        <f>IFERROR(__xludf.DUMMYFUNCTION("""COMPUTED_VALUE"""),"")</f>
        <v/>
      </c>
      <c r="E11" s="33" t="str">
        <f>IFERROR(__xludf.DUMMYFUNCTION("""COMPUTED_VALUE"""),"")</f>
        <v/>
      </c>
      <c r="F11" s="10" t="str">
        <f>IFERROR(__xludf.DUMMYFUNCTION("""COMPUTED_VALUE"""),"")</f>
        <v/>
      </c>
      <c r="G11" s="19" t="str">
        <f>IFERROR(__xludf.DUMMYFUNCTION("""COMPUTED_VALUE"""),"")</f>
        <v/>
      </c>
      <c r="H11" s="10" t="str">
        <f>IFERROR(__xludf.DUMMYFUNCTION("""COMPUTED_VALUE"""),"↗️")</f>
        <v>↗️</v>
      </c>
      <c r="I11" s="13">
        <f>IFERROR(__xludf.DUMMYFUNCTION("""COMPUTED_VALUE"""),32478.0)</f>
        <v>32478</v>
      </c>
      <c r="J11" s="32">
        <f>IFERROR(__xludf.DUMMYFUNCTION("""COMPUTED_VALUE"""),39584.0)</f>
        <v>39584</v>
      </c>
      <c r="K11" s="8">
        <f>IFERROR(__xludf.DUMMYFUNCTION("""COMPUTED_VALUE"""),22.0)</f>
        <v>22</v>
      </c>
      <c r="L11" s="15" t="str">
        <f>IFERROR(__xludf.DUMMYFUNCTION("""COMPUTED_VALUE"""),"YES")</f>
        <v>YES</v>
      </c>
      <c r="M11" s="15" t="str">
        <f>IFERROR(__xludf.DUMMYFUNCTION("""COMPUTED_VALUE"""),"NYCT")</f>
        <v>NYCT</v>
      </c>
      <c r="N11" s="15" t="str">
        <f>IFERROR(__xludf.DUMMYFUNCTION("""COMPUTED_VALUE"""),"KONE")</f>
        <v>KONE</v>
      </c>
      <c r="O11" s="15" t="str">
        <f>IFERROR(__xludf.DUMMYFUNCTION("""COMPUTED_VALUE"""),"YES")</f>
        <v>YES</v>
      </c>
      <c r="P11" s="15" t="str">
        <f>IFERROR(__xludf.DUMMYFUNCTION("""COMPUTED_VALUE"""),"YES")</f>
        <v>YES</v>
      </c>
      <c r="Q11" s="15" t="str">
        <f>IFERROR(__xludf.DUMMYFUNCTION("""COMPUTED_VALUE"""),"YES")</f>
        <v>YES</v>
      </c>
      <c r="R11" s="15" t="str">
        <f>IFERROR(__xludf.DUMMYFUNCTION("""COMPUTED_VALUE"""),"28'")</f>
        <v>28'</v>
      </c>
      <c r="S11" s="15">
        <f>IFERROR(__xludf.DUMMYFUNCTION("""COMPUTED_VALUE"""),106.0)</f>
        <v>106</v>
      </c>
      <c r="T11" s="15" t="str">
        <f>IFERROR(__xludf.DUMMYFUNCTION("""COMPUTED_VALUE"""),"32in")</f>
        <v>32in</v>
      </c>
      <c r="U11" s="15" t="str">
        <f>IFERROR(__xludf.DUMMYFUNCTION("""COMPUTED_VALUE"""),"mezzanine to 89 Ave &amp; Van Wyck Expressway (SW corner)")</f>
        <v>mezzanine to 89 Ave &amp; Van Wyck Expressway (SW corner)</v>
      </c>
      <c r="V11" s="15" t="str">
        <f>IFERROR(__xludf.DUMMYFUNCTION("""COMPUTED_VALUE"""),"POINT (-73.8164 40.70101)")</f>
        <v>POINT (-73.8164 40.70101)</v>
      </c>
    </row>
    <row r="12" ht="22.5" customHeight="1">
      <c r="A12" s="7" t="str">
        <f>IFERROR(__xludf.DUMMYFUNCTION("""COMPUTED_VALUE"""),"72 St")</f>
        <v>72 St</v>
      </c>
      <c r="B12" s="8" t="str">
        <f>IFERROR(__xludf.DUMMYFUNCTION("""COMPUTED_VALUE"""),"Broadway-7 Av Line")</f>
        <v>Broadway-7 Av Line</v>
      </c>
      <c r="C12" s="8" t="str">
        <f>IFERROR(__xludf.DUMMYFUNCTION("""COMPUTED_VALUE"""),"Manhattan")</f>
        <v>Manhattan</v>
      </c>
      <c r="D12" s="8" t="str">
        <f>IFERROR(__xludf.DUMMYFUNCTION("""COMPUTED_VALUE"""),"Upper West Side")</f>
        <v>Upper West Side</v>
      </c>
      <c r="E12" s="33">
        <f>IFERROR(__xludf.DUMMYFUNCTION("""COMPUTED_VALUE"""),1762.0)</f>
        <v>1762</v>
      </c>
      <c r="F12" s="10">
        <f>IFERROR(__xludf.DUMMYFUNCTION("""COMPUTED_VALUE"""),9752193.0)</f>
        <v>9752193</v>
      </c>
      <c r="G12" s="19">
        <f>IFERROR(__xludf.DUMMYFUNCTION("""COMPUTED_VALUE"""),22.0)</f>
        <v>22</v>
      </c>
      <c r="H12" s="10" t="str">
        <f>IFERROR(__xludf.DUMMYFUNCTION("""COMPUTED_VALUE"""),"↗️")</f>
        <v>↗️</v>
      </c>
      <c r="I12" s="13">
        <f>IFERROR(__xludf.DUMMYFUNCTION("""COMPUTED_VALUE"""),42736.0)</f>
        <v>42736</v>
      </c>
      <c r="J12" s="32">
        <f>IFERROR(__xludf.DUMMYFUNCTION("""COMPUTED_VALUE"""),42736.0)</f>
        <v>42736</v>
      </c>
      <c r="K12" s="8">
        <f>IFERROR(__xludf.DUMMYFUNCTION("""COMPUTED_VALUE"""),22.0)</f>
        <v>22</v>
      </c>
      <c r="L12" s="15" t="str">
        <f>IFERROR(__xludf.DUMMYFUNCTION("""COMPUTED_VALUE"""),"YES")</f>
        <v>YES</v>
      </c>
      <c r="M12" s="15" t="str">
        <f>IFERROR(__xludf.DUMMYFUNCTION("""COMPUTED_VALUE"""),"NYCT")</f>
        <v>NYCT</v>
      </c>
      <c r="N12" s="15" t="str">
        <f>IFERROR(__xludf.DUMMYFUNCTION("""COMPUTED_VALUE"""),"SCHINDLER")</f>
        <v>SCHINDLER</v>
      </c>
      <c r="O12" s="15" t="str">
        <f>IFERROR(__xludf.DUMMYFUNCTION("""COMPUTED_VALUE"""),"YES")</f>
        <v>YES</v>
      </c>
      <c r="P12" s="15" t="str">
        <f>IFERROR(__xludf.DUMMYFUNCTION("""COMPUTED_VALUE"""),"NO")</f>
        <v>NO</v>
      </c>
      <c r="Q12" s="15" t="str">
        <f>IFERROR(__xludf.DUMMYFUNCTION("""COMPUTED_VALUE"""),"NO")</f>
        <v>NO</v>
      </c>
      <c r="R12" s="15" t="str">
        <f>IFERROR(__xludf.DUMMYFUNCTION("""COMPUTED_VALUE"""),"20828 mm (68'4in)")</f>
        <v>20828 mm (68'4in)</v>
      </c>
      <c r="S12" s="15">
        <f>IFERROR(__xludf.DUMMYFUNCTION("""COMPUTED_VALUE"""),0.0)</f>
        <v>0</v>
      </c>
      <c r="T12" s="15"/>
      <c r="U12" s="15" t="str">
        <f>IFERROR(__xludf.DUMMYFUNCTION("""COMPUTED_VALUE"""),"69 St &amp; 2nd Ave (NE corner) to upper mezzanine")</f>
        <v>69 St &amp; 2nd Ave (NE corner) to upper mezzanine</v>
      </c>
      <c r="V12" s="15" t="str">
        <f>IFERROR(__xludf.DUMMYFUNCTION("""COMPUTED_VALUE"""),"POINT (-73.95921 40.76722)")</f>
        <v>POINT (-73.95921 40.76722)</v>
      </c>
    </row>
    <row r="13" ht="22.5" customHeight="1">
      <c r="A13" s="7" t="str">
        <f>IFERROR(__xludf.DUMMYFUNCTION("""COMPUTED_VALUE"""),"Sutphin Blvd-Archer Av-JFK Airport")</f>
        <v>Sutphin Blvd-Archer Av-JFK Airport</v>
      </c>
      <c r="B13" s="8" t="str">
        <f>IFERROR(__xludf.DUMMYFUNCTION("""COMPUTED_VALUE"""),"Archer Av Line")</f>
        <v>Archer Av Line</v>
      </c>
      <c r="C13" s="8" t="str">
        <f>IFERROR(__xludf.DUMMYFUNCTION("""COMPUTED_VALUE"""),"Queens")</f>
        <v>Queens</v>
      </c>
      <c r="D13" s="8" t="str">
        <f>IFERROR(__xludf.DUMMYFUNCTION("""COMPUTED_VALUE"""),"Jamaica")</f>
        <v>Jamaica</v>
      </c>
      <c r="E13" s="33">
        <f>IFERROR(__xludf.DUMMYFUNCTION("""COMPUTED_VALUE"""),32488.0)</f>
        <v>32488</v>
      </c>
      <c r="F13" s="10">
        <f>IFERROR(__xludf.DUMMYFUNCTION("""COMPUTED_VALUE"""),6496357.0)</f>
        <v>6496357</v>
      </c>
      <c r="G13" s="19">
        <f>IFERROR(__xludf.DUMMYFUNCTION("""COMPUTED_VALUE"""),32.0)</f>
        <v>32</v>
      </c>
      <c r="H13" s="10" t="str">
        <f>IFERROR(__xludf.DUMMYFUNCTION("""COMPUTED_VALUE"""),"↗️")</f>
        <v>↗️</v>
      </c>
      <c r="I13" s="13"/>
      <c r="J13" s="32">
        <f>IFERROR(__xludf.DUMMYFUNCTION("""COMPUTED_VALUE"""),40760.0)</f>
        <v>40760</v>
      </c>
      <c r="K13" s="8">
        <f>IFERROR(__xludf.DUMMYFUNCTION("""COMPUTED_VALUE"""),22.0)</f>
        <v>22</v>
      </c>
      <c r="L13" s="15" t="str">
        <f>IFERROR(__xludf.DUMMYFUNCTION("""COMPUTED_VALUE"""),"NO")</f>
        <v>NO</v>
      </c>
      <c r="M13" s="15" t="str">
        <f>IFERROR(__xludf.DUMMYFUNCTION("""COMPUTED_VALUE"""),"Private Contractor")</f>
        <v>Private Contractor</v>
      </c>
      <c r="N13" s="15" t="str">
        <f>IFERROR(__xludf.DUMMYFUNCTION("""COMPUTED_VALUE"""),"KONE")</f>
        <v>KONE</v>
      </c>
      <c r="O13" s="15" t="str">
        <f>IFERROR(__xludf.DUMMYFUNCTION("""COMPUTED_VALUE"""),"YES")</f>
        <v>YES</v>
      </c>
      <c r="P13" s="15" t="str">
        <f>IFERROR(__xludf.DUMMYFUNCTION("""COMPUTED_VALUE"""),"NO")</f>
        <v>NO</v>
      </c>
      <c r="Q13" s="15" t="str">
        <f>IFERROR(__xludf.DUMMYFUNCTION("""COMPUTED_VALUE"""),"NO")</f>
        <v>NO</v>
      </c>
      <c r="R13" s="15"/>
      <c r="S13" s="15"/>
      <c r="T13" s="15"/>
      <c r="U13" s="15" t="str">
        <f>IFERROR(__xludf.DUMMYFUNCTION("""COMPUTED_VALUE"""),"mezzanine to Sutphin Blvd &amp; Archer Ave (SW corner) for connection to LIRR and AirTrain")</f>
        <v>mezzanine to Sutphin Blvd &amp; Archer Ave (SW corner) for connection to LIRR and AirTrain</v>
      </c>
      <c r="V13" s="15" t="str">
        <f>IFERROR(__xludf.DUMMYFUNCTION("""COMPUTED_VALUE"""),"POINT (-73.80781 40.700127)")</f>
        <v>POINT (-73.80781 40.700127)</v>
      </c>
    </row>
    <row r="14" ht="22.5" customHeight="1">
      <c r="A14" s="7" t="str">
        <f>IFERROR(__xludf.DUMMYFUNCTION("""COMPUTED_VALUE"""),"5 Av/53 St")</f>
        <v>5 Av/53 St</v>
      </c>
      <c r="B14" s="8" t="str">
        <f>IFERROR(__xludf.DUMMYFUNCTION("""COMPUTED_VALUE"""),"Queens Blvd Line")</f>
        <v>Queens Blvd Line</v>
      </c>
      <c r="C14" s="8" t="str">
        <f>IFERROR(__xludf.DUMMYFUNCTION("""COMPUTED_VALUE"""),"Manhattan")</f>
        <v>Manhattan</v>
      </c>
      <c r="D14" s="8" t="str">
        <f>IFERROR(__xludf.DUMMYFUNCTION("""COMPUTED_VALUE"""),"Midtown")</f>
        <v>Midtown</v>
      </c>
      <c r="E14" s="33">
        <f>IFERROR(__xludf.DUMMYFUNCTION("""COMPUTED_VALUE"""),12359.0)</f>
        <v>12359</v>
      </c>
      <c r="F14" s="10">
        <f>IFERROR(__xludf.DUMMYFUNCTION("""COMPUTED_VALUE"""),4590651.0)</f>
        <v>4590651</v>
      </c>
      <c r="G14" s="16">
        <f>IFERROR(__xludf.DUMMYFUNCTION("""COMPUTED_VALUE"""),64.0)</f>
        <v>64</v>
      </c>
      <c r="H14" s="10" t="str">
        <f>IFERROR(__xludf.DUMMYFUNCTION("""COMPUTED_VALUE"""),"↗️")</f>
        <v>↗️</v>
      </c>
      <c r="I14" s="13">
        <f>IFERROR(__xludf.DUMMYFUNCTION("""COMPUTED_VALUE"""),22087.0)</f>
        <v>22087</v>
      </c>
      <c r="J14" s="32">
        <f>IFERROR(__xludf.DUMMYFUNCTION("""COMPUTED_VALUE"""),46000.0)</f>
        <v>46000</v>
      </c>
      <c r="K14" s="8">
        <f>IFERROR(__xludf.DUMMYFUNCTION("""COMPUTED_VALUE"""),22.0)</f>
        <v>22</v>
      </c>
      <c r="L14" s="15" t="str">
        <f>IFERROR(__xludf.DUMMYFUNCTION("""COMPUTED_VALUE"""),"YES")</f>
        <v>YES</v>
      </c>
      <c r="M14" s="15" t="str">
        <f>IFERROR(__xludf.DUMMYFUNCTION("""COMPUTED_VALUE"""),"NYCT")</f>
        <v>NYCT</v>
      </c>
      <c r="N14" s="15" t="str">
        <f>IFERROR(__xludf.DUMMYFUNCTION("""COMPUTED_VALUE"""),"KONE")</f>
        <v>KONE</v>
      </c>
      <c r="O14" s="15" t="str">
        <f>IFERROR(__xludf.DUMMYFUNCTION("""COMPUTED_VALUE"""),"YES")</f>
        <v>YES</v>
      </c>
      <c r="P14" s="15" t="str">
        <f>IFERROR(__xludf.DUMMYFUNCTION("""COMPUTED_VALUE"""),"NO")</f>
        <v>NO</v>
      </c>
      <c r="Q14" s="15" t="str">
        <f>IFERROR(__xludf.DUMMYFUNCTION("""COMPUTED_VALUE"""),"NO")</f>
        <v>NO</v>
      </c>
      <c r="R14" s="15" t="str">
        <f>IFERROR(__xludf.DUMMYFUNCTION("""COMPUTED_VALUE"""),"48'")</f>
        <v>48'</v>
      </c>
      <c r="S14" s="15">
        <f>IFERROR(__xludf.DUMMYFUNCTION("""COMPUTED_VALUE"""),166.0)</f>
        <v>166</v>
      </c>
      <c r="T14" s="15">
        <f>IFERROR(__xludf.DUMMYFUNCTION("""COMPUTED_VALUE"""),40.0)</f>
        <v>40</v>
      </c>
      <c r="U14" s="15" t="str">
        <f>IFERROR(__xludf.DUMMYFUNCTION("""COMPUTED_VALUE"""),"downtown platform to mezzanine for 5th Ave &amp; 53 St exit")</f>
        <v>downtown platform to mezzanine for 5th Ave &amp; 53 St exit</v>
      </c>
      <c r="V14" s="15" t="str">
        <f>IFERROR(__xludf.DUMMYFUNCTION("""COMPUTED_VALUE"""),"POINT (-73.97628 40.76059)")</f>
        <v>POINT (-73.97628 40.76059)</v>
      </c>
    </row>
    <row r="15" ht="22.5" customHeight="1">
      <c r="A15" s="7" t="str">
        <f>IFERROR(__xludf.DUMMYFUNCTION("""COMPUTED_VALUE"""),"Lexington Av/53 St")</f>
        <v>Lexington Av/53 St</v>
      </c>
      <c r="B15" s="8" t="str">
        <f>IFERROR(__xludf.DUMMYFUNCTION("""COMPUTED_VALUE"""),"")</f>
        <v/>
      </c>
      <c r="C15" s="8" t="str">
        <f>IFERROR(__xludf.DUMMYFUNCTION("""COMPUTED_VALUE"""),"")</f>
        <v/>
      </c>
      <c r="D15" s="8" t="str">
        <f>IFERROR(__xludf.DUMMYFUNCTION("""COMPUTED_VALUE"""),"")</f>
        <v/>
      </c>
      <c r="E15" s="33" t="str">
        <f>IFERROR(__xludf.DUMMYFUNCTION("""COMPUTED_VALUE"""),"")</f>
        <v/>
      </c>
      <c r="F15" s="10" t="str">
        <f>IFERROR(__xludf.DUMMYFUNCTION("""COMPUTED_VALUE"""),"")</f>
        <v/>
      </c>
      <c r="G15" s="16" t="str">
        <f>IFERROR(__xludf.DUMMYFUNCTION("""COMPUTED_VALUE"""),"")</f>
        <v/>
      </c>
      <c r="H15" s="10" t="str">
        <f>IFERROR(__xludf.DUMMYFUNCTION("""COMPUTED_VALUE"""),"↗️")</f>
        <v>↗️</v>
      </c>
      <c r="I15" s="13">
        <f>IFERROR(__xludf.DUMMYFUNCTION("""COMPUTED_VALUE"""),3.0)</f>
        <v>3</v>
      </c>
      <c r="J15" s="32">
        <f>IFERROR(__xludf.DUMMYFUNCTION("""COMPUTED_VALUE"""),40700.0)</f>
        <v>40700</v>
      </c>
      <c r="K15" s="8">
        <f>IFERROR(__xludf.DUMMYFUNCTION("""COMPUTED_VALUE"""),22.0)</f>
        <v>22</v>
      </c>
      <c r="L15" s="20" t="str">
        <f>IFERROR(__xludf.DUMMYFUNCTION("""COMPUTED_VALUE"""),"NO")</f>
        <v>NO</v>
      </c>
      <c r="M15" s="20" t="str">
        <f>IFERROR(__xludf.DUMMYFUNCTION("""COMPUTED_VALUE"""),"Private Contractor")</f>
        <v>Private Contractor</v>
      </c>
      <c r="N15" s="20" t="str">
        <f>IFERROR(__xludf.DUMMYFUNCTION("""COMPUTED_VALUE"""),"AM")</f>
        <v>AM</v>
      </c>
      <c r="O15" s="20" t="str">
        <f>IFERROR(__xludf.DUMMYFUNCTION("""COMPUTED_VALUE"""),"YES")</f>
        <v>YES</v>
      </c>
      <c r="P15" s="20" t="str">
        <f>IFERROR(__xludf.DUMMYFUNCTION("""COMPUTED_VALUE"""),"NO")</f>
        <v>NO</v>
      </c>
      <c r="Q15" s="20" t="str">
        <f>IFERROR(__xludf.DUMMYFUNCTION("""COMPUTED_VALUE"""),"NO")</f>
        <v>NO</v>
      </c>
      <c r="R15" s="20"/>
      <c r="S15" s="20"/>
      <c r="T15" s="20"/>
      <c r="U15" s="20" t="str">
        <f>IFERROR(__xludf.DUMMYFUNCTION("""COMPUTED_VALUE"""),"Downtown 6 underpass to mezzanine for E/F service and 52 St &amp; Lexington Av exit.")</f>
        <v>Downtown 6 underpass to mezzanine for E/F service and 52 St &amp; Lexington Av exit.</v>
      </c>
      <c r="V15" s="20" t="str">
        <f>IFERROR(__xludf.DUMMYFUNCTION("""COMPUTED_VALUE"""),"POINT (-73.97133 40.757572)")</f>
        <v>POINT (-73.97133 40.757572)</v>
      </c>
    </row>
    <row r="16" ht="22.5" customHeight="1">
      <c r="A16" s="7" t="str">
        <f>IFERROR(__xludf.DUMMYFUNCTION("""COMPUTED_VALUE"""),"Pelham Pkwy")</f>
        <v>Pelham Pkwy</v>
      </c>
      <c r="B16" s="8" t="str">
        <f>IFERROR(__xludf.DUMMYFUNCTION("""COMPUTED_VALUE"""),"White Plains Rd Line")</f>
        <v>White Plains Rd Line</v>
      </c>
      <c r="C16" s="8" t="str">
        <f>IFERROR(__xludf.DUMMYFUNCTION("""COMPUTED_VALUE"""),"The Bronx")</f>
        <v>The Bronx</v>
      </c>
      <c r="D16" s="8" t="str">
        <f>IFERROR(__xludf.DUMMYFUNCTION("""COMPUTED_VALUE"""),"Pelham Parkway")</f>
        <v>Pelham Parkway</v>
      </c>
      <c r="E16" s="33">
        <f>IFERROR(__xludf.DUMMYFUNCTION("""COMPUTED_VALUE"""),6272.0)</f>
        <v>6272</v>
      </c>
      <c r="F16" s="10">
        <f>IFERROR(__xludf.DUMMYFUNCTION("""COMPUTED_VALUE"""),1514724.0)</f>
        <v>1514724</v>
      </c>
      <c r="G16" s="19">
        <f>IFERROR(__xludf.DUMMYFUNCTION("""COMPUTED_VALUE"""),212.0)</f>
        <v>212</v>
      </c>
      <c r="H16" s="10" t="str">
        <f>IFERROR(__xludf.DUMMYFUNCTION("""COMPUTED_VALUE"""),"↗️")</f>
        <v>↗️</v>
      </c>
      <c r="I16" s="13">
        <f>IFERROR(__xludf.DUMMYFUNCTION("""COMPUTED_VALUE"""),35405.0)</f>
        <v>35405</v>
      </c>
      <c r="J16" s="32">
        <f>IFERROR(__xludf.DUMMYFUNCTION("""COMPUTED_VALUE"""),44987.0)</f>
        <v>44987</v>
      </c>
      <c r="K16" s="8">
        <f>IFERROR(__xludf.DUMMYFUNCTION("""COMPUTED_VALUE"""),22.0)</f>
        <v>22</v>
      </c>
      <c r="L16" s="15" t="str">
        <f>IFERROR(__xludf.DUMMYFUNCTION("""COMPUTED_VALUE"""),"YES")</f>
        <v>YES</v>
      </c>
      <c r="M16" s="15" t="str">
        <f>IFERROR(__xludf.DUMMYFUNCTION("""COMPUTED_VALUE"""),"NYCT")</f>
        <v>NYCT</v>
      </c>
      <c r="N16" s="15" t="str">
        <f>IFERROR(__xludf.DUMMYFUNCTION("""COMPUTED_VALUE"""),"KONE")</f>
        <v>KONE</v>
      </c>
      <c r="O16" s="15" t="str">
        <f>IFERROR(__xludf.DUMMYFUNCTION("""COMPUTED_VALUE"""),"YES")</f>
        <v>YES</v>
      </c>
      <c r="P16" s="15" t="str">
        <f>IFERROR(__xludf.DUMMYFUNCTION("""COMPUTED_VALUE"""),"NO")</f>
        <v>NO</v>
      </c>
      <c r="Q16" s="15" t="str">
        <f>IFERROR(__xludf.DUMMYFUNCTION("""COMPUTED_VALUE"""),"YES")</f>
        <v>YES</v>
      </c>
      <c r="R16" s="15" t="str">
        <f>IFERROR(__xludf.DUMMYFUNCTION("""COMPUTED_VALUE"""),"3518 mm (11'-6 1/2in)")</f>
        <v>3518 mm (11'-6 1/2in)</v>
      </c>
      <c r="S16" s="15">
        <f>IFERROR(__xludf.DUMMYFUNCTION("""COMPUTED_VALUE"""),74.0)</f>
        <v>74</v>
      </c>
      <c r="T16" s="15" t="str">
        <f>IFERROR(__xludf.DUMMYFUNCTION("""COMPUTED_VALUE"""),"1000mm (40in NOMINAL)")</f>
        <v>1000mm (40in NOMINAL)</v>
      </c>
      <c r="U16" s="15" t="str">
        <f>IFERROR(__xludf.DUMMYFUNCTION("""COMPUTED_VALUE"""),"mezzanine to Manhattan-bound platform")</f>
        <v>mezzanine to Manhattan-bound platform</v>
      </c>
      <c r="V16" s="15" t="str">
        <f>IFERROR(__xludf.DUMMYFUNCTION("""COMPUTED_VALUE"""),"POINT (-73.86772 40.856728)")</f>
        <v>POINT (-73.86772 40.856728)</v>
      </c>
    </row>
    <row r="17" ht="22.5" customHeight="1">
      <c r="A17" s="7" t="str">
        <f>IFERROR(__xludf.DUMMYFUNCTION("""COMPUTED_VALUE"""),"59 St-Columbus Circle")</f>
        <v>59 St-Columbus Circle</v>
      </c>
      <c r="B17" s="8" t="str">
        <f>IFERROR(__xludf.DUMMYFUNCTION("""COMPUTED_VALUE"""),"Broadway-7 Av Line")</f>
        <v>Broadway-7 Av Line</v>
      </c>
      <c r="C17" s="8" t="str">
        <f>IFERROR(__xludf.DUMMYFUNCTION("""COMPUTED_VALUE"""),"Manhattan")</f>
        <v>Manhattan</v>
      </c>
      <c r="D17" s="8" t="str">
        <f>IFERROR(__xludf.DUMMYFUNCTION("""COMPUTED_VALUE"""),"Midtown")</f>
        <v>Midtown</v>
      </c>
      <c r="E17" s="33">
        <f>IFERROR(__xludf.DUMMYFUNCTION("""COMPUTED_VALUE"""),1762.0)</f>
        <v>1762</v>
      </c>
      <c r="F17" s="10">
        <f>IFERROR(__xludf.DUMMYFUNCTION("""COMPUTED_VALUE"""),1.6884912E7)</f>
        <v>16884912</v>
      </c>
      <c r="G17" s="16">
        <f>IFERROR(__xludf.DUMMYFUNCTION("""COMPUTED_VALUE"""),7.0)</f>
        <v>7</v>
      </c>
      <c r="H17" s="10" t="str">
        <f>IFERROR(__xludf.DUMMYFUNCTION("""COMPUTED_VALUE"""),"↗️")</f>
        <v>↗️</v>
      </c>
      <c r="I17" s="13">
        <f>IFERROR(__xludf.DUMMYFUNCTION("""COMPUTED_VALUE"""),3.0)</f>
        <v>3</v>
      </c>
      <c r="J17" s="32">
        <f>IFERROR(__xludf.DUMMYFUNCTION("""COMPUTED_VALUE"""),40664.0)</f>
        <v>40664</v>
      </c>
      <c r="K17" s="8">
        <f>IFERROR(__xludf.DUMMYFUNCTION("""COMPUTED_VALUE"""),22.0)</f>
        <v>22</v>
      </c>
      <c r="L17" s="15" t="str">
        <f>IFERROR(__xludf.DUMMYFUNCTION("""COMPUTED_VALUE"""),"NO")</f>
        <v>NO</v>
      </c>
      <c r="M17" s="15" t="str">
        <f>IFERROR(__xludf.DUMMYFUNCTION("""COMPUTED_VALUE"""),"Private Contractor")</f>
        <v>Private Contractor</v>
      </c>
      <c r="N17" s="15" t="str">
        <f>IFERROR(__xludf.DUMMYFUNCTION("""COMPUTED_VALUE"""),"OK")</f>
        <v>OK</v>
      </c>
      <c r="O17" s="15" t="str">
        <f>IFERROR(__xludf.DUMMYFUNCTION("""COMPUTED_VALUE"""),"YES")</f>
        <v>YES</v>
      </c>
      <c r="P17" s="15" t="str">
        <f>IFERROR(__xludf.DUMMYFUNCTION("""COMPUTED_VALUE"""),"NO")</f>
        <v>NO</v>
      </c>
      <c r="Q17" s="15" t="str">
        <f>IFERROR(__xludf.DUMMYFUNCTION("""COMPUTED_VALUE"""),"NO")</f>
        <v>NO</v>
      </c>
      <c r="R17" s="15"/>
      <c r="S17" s="15">
        <f>IFERROR(__xludf.DUMMYFUNCTION("""COMPUTED_VALUE"""),0.0)</f>
        <v>0</v>
      </c>
      <c r="T17" s="15"/>
      <c r="U17" s="15" t="str">
        <f>IFERROR(__xludf.DUMMYFUNCTION("""COMPUTED_VALUE"""),"A/B/C/D mezzanine to 8th Ave &amp; 58 St (NW corner)")</f>
        <v>A/B/C/D mezzanine to 8th Ave &amp; 58 St (NW corner)</v>
      </c>
      <c r="V17" s="15" t="str">
        <f>IFERROR(__xludf.DUMMYFUNCTION("""COMPUTED_VALUE"""),"POINT (-73.98249 40.767677)")</f>
        <v>POINT (-73.98249 40.767677)</v>
      </c>
    </row>
    <row r="18" ht="22.5" customHeight="1">
      <c r="A18" s="7" t="str">
        <f>IFERROR(__xludf.DUMMYFUNCTION("""COMPUTED_VALUE"""),"Roosevelt Island")</f>
        <v>Roosevelt Island</v>
      </c>
      <c r="B18" s="8" t="str">
        <f>IFERROR(__xludf.DUMMYFUNCTION("""COMPUTED_VALUE"""),"63rd St Line")</f>
        <v>63rd St Line</v>
      </c>
      <c r="C18" s="8" t="str">
        <f>IFERROR(__xludf.DUMMYFUNCTION("""COMPUTED_VALUE"""),"Manhattan")</f>
        <v>Manhattan</v>
      </c>
      <c r="D18" s="8" t="str">
        <f>IFERROR(__xludf.DUMMYFUNCTION("""COMPUTED_VALUE"""),"Roosevelt Island")</f>
        <v>Roosevelt Island</v>
      </c>
      <c r="E18" s="33">
        <f>IFERROR(__xludf.DUMMYFUNCTION("""COMPUTED_VALUE"""),32810.0)</f>
        <v>32810</v>
      </c>
      <c r="F18" s="10">
        <f>IFERROR(__xludf.DUMMYFUNCTION("""COMPUTED_VALUE"""),1885823.0)</f>
        <v>1885823</v>
      </c>
      <c r="G18" s="19">
        <f>IFERROR(__xludf.DUMMYFUNCTION("""COMPUTED_VALUE"""),171.0)</f>
        <v>171</v>
      </c>
      <c r="H18" s="10" t="str">
        <f>IFERROR(__xludf.DUMMYFUNCTION("""COMPUTED_VALUE"""),"↗️")</f>
        <v>↗️</v>
      </c>
      <c r="I18" s="13">
        <f>IFERROR(__xludf.DUMMYFUNCTION("""COMPUTED_VALUE"""),32782.0)</f>
        <v>32782</v>
      </c>
      <c r="J18" s="32">
        <f>IFERROR(__xludf.DUMMYFUNCTION("""COMPUTED_VALUE"""),39647.0)</f>
        <v>39647</v>
      </c>
      <c r="K18" s="8">
        <f>IFERROR(__xludf.DUMMYFUNCTION("""COMPUTED_VALUE"""),22.0)</f>
        <v>22</v>
      </c>
      <c r="L18" s="15" t="str">
        <f>IFERROR(__xludf.DUMMYFUNCTION("""COMPUTED_VALUE"""),"YES")</f>
        <v>YES</v>
      </c>
      <c r="M18" s="15" t="str">
        <f>IFERROR(__xludf.DUMMYFUNCTION("""COMPUTED_VALUE"""),"NYCT")</f>
        <v>NYCT</v>
      </c>
      <c r="N18" s="15" t="str">
        <f>IFERROR(__xludf.DUMMYFUNCTION("""COMPUTED_VALUE"""),"KONE")</f>
        <v>KONE</v>
      </c>
      <c r="O18" s="15" t="str">
        <f>IFERROR(__xludf.DUMMYFUNCTION("""COMPUTED_VALUE"""),"YES")</f>
        <v>YES</v>
      </c>
      <c r="P18" s="15" t="str">
        <f>IFERROR(__xludf.DUMMYFUNCTION("""COMPUTED_VALUE"""),"NO")</f>
        <v>NO</v>
      </c>
      <c r="Q18" s="15" t="str">
        <f>IFERROR(__xludf.DUMMYFUNCTION("""COMPUTED_VALUE"""),"NO")</f>
        <v>NO</v>
      </c>
      <c r="R18" s="15" t="str">
        <f>IFERROR(__xludf.DUMMYFUNCTION("""COMPUTED_VALUE"""),"14'")</f>
        <v>14'</v>
      </c>
      <c r="S18" s="15">
        <f>IFERROR(__xludf.DUMMYFUNCTION("""COMPUTED_VALUE"""),56.0)</f>
        <v>56</v>
      </c>
      <c r="T18" s="15">
        <f>IFERROR(__xludf.DUMMYFUNCTION("""COMPUTED_VALUE"""),40.0)</f>
        <v>40</v>
      </c>
      <c r="U18" s="15" t="str">
        <f>IFERROR(__xludf.DUMMYFUNCTION("""COMPUTED_VALUE"""),"Manhattan-bound platform to lower mezzanine")</f>
        <v>Manhattan-bound platform to lower mezzanine</v>
      </c>
      <c r="V18" s="15" t="str">
        <f>IFERROR(__xludf.DUMMYFUNCTION("""COMPUTED_VALUE"""),"POINT (-73.952354 40.75876)")</f>
        <v>POINT (-73.952354 40.75876)</v>
      </c>
    </row>
    <row r="19" ht="22.5" customHeight="1">
      <c r="A19" s="7" t="str">
        <f>IFERROR(__xludf.DUMMYFUNCTION("""COMPUTED_VALUE"""),"Bowling Green")</f>
        <v>Bowling Green</v>
      </c>
      <c r="B19" s="8" t="str">
        <f>IFERROR(__xludf.DUMMYFUNCTION("""COMPUTED_VALUE"""),"Lexington Av Line")</f>
        <v>Lexington Av Line</v>
      </c>
      <c r="C19" s="8" t="str">
        <f>IFERROR(__xludf.DUMMYFUNCTION("""COMPUTED_VALUE"""),"Manhattan")</f>
        <v>Manhattan</v>
      </c>
      <c r="D19" s="8" t="str">
        <f>IFERROR(__xludf.DUMMYFUNCTION("""COMPUTED_VALUE"""),"Financial District")</f>
        <v>Financial District</v>
      </c>
      <c r="E19" s="33">
        <f>IFERROR(__xludf.DUMMYFUNCTION("""COMPUTED_VALUE"""),2018.0)</f>
        <v>2018</v>
      </c>
      <c r="F19" s="8">
        <f>IFERROR(__xludf.DUMMYFUNCTION("""COMPUTED_VALUE"""),4676646.0)</f>
        <v>4676646</v>
      </c>
      <c r="G19" s="16">
        <f>IFERROR(__xludf.DUMMYFUNCTION("""COMPUTED_VALUE"""),62.0)</f>
        <v>62</v>
      </c>
      <c r="H19" s="10" t="str">
        <f>IFERROR(__xludf.DUMMYFUNCTION("""COMPUTED_VALUE"""),"↗️")</f>
        <v>↗️</v>
      </c>
      <c r="I19" s="13">
        <f>IFERROR(__xludf.DUMMYFUNCTION("""COMPUTED_VALUE"""),28216.0)</f>
        <v>28216</v>
      </c>
      <c r="J19" s="32">
        <f>IFERROR(__xludf.DUMMYFUNCTION("""COMPUTED_VALUE"""),38430.0)</f>
        <v>38430</v>
      </c>
      <c r="K19" s="8">
        <f>IFERROR(__xludf.DUMMYFUNCTION("""COMPUTED_VALUE"""),22.0)</f>
        <v>22</v>
      </c>
      <c r="L19" s="15" t="str">
        <f>IFERROR(__xludf.DUMMYFUNCTION("""COMPUTED_VALUE"""),"YES")</f>
        <v>YES</v>
      </c>
      <c r="M19" s="15" t="str">
        <f>IFERROR(__xludf.DUMMYFUNCTION("""COMPUTED_VALUE"""),"NYCT")</f>
        <v>NYCT</v>
      </c>
      <c r="N19" s="15" t="str">
        <f>IFERROR(__xludf.DUMMYFUNCTION("""COMPUTED_VALUE"""),"FUJITEC")</f>
        <v>FUJITEC</v>
      </c>
      <c r="O19" s="15" t="str">
        <f>IFERROR(__xludf.DUMMYFUNCTION("""COMPUTED_VALUE"""),"YES")</f>
        <v>YES</v>
      </c>
      <c r="P19" s="15" t="str">
        <f>IFERROR(__xludf.DUMMYFUNCTION("""COMPUTED_VALUE"""),"NO")</f>
        <v>NO</v>
      </c>
      <c r="Q19" s="15" t="str">
        <f>IFERROR(__xludf.DUMMYFUNCTION("""COMPUTED_VALUE"""),"NO")</f>
        <v>NO</v>
      </c>
      <c r="R19" s="15" t="str">
        <f>IFERROR(__xludf.DUMMYFUNCTION("""COMPUTED_VALUE"""),"23'")</f>
        <v>23'</v>
      </c>
      <c r="S19" s="15">
        <f>IFERROR(__xludf.DUMMYFUNCTION("""COMPUTED_VALUE"""),92.0)</f>
        <v>92</v>
      </c>
      <c r="T19" s="15">
        <f>IFERROR(__xludf.DUMMYFUNCTION("""COMPUTED_VALUE"""),40.0)</f>
        <v>40</v>
      </c>
      <c r="U19" s="15" t="str">
        <f>IFERROR(__xludf.DUMMYFUNCTION("""COMPUTED_VALUE"""),"lower mezzanine to uptown 4/5 platform")</f>
        <v>lower mezzanine to uptown 4/5 platform</v>
      </c>
      <c r="V19" s="15" t="str">
        <f>IFERROR(__xludf.DUMMYFUNCTION("""COMPUTED_VALUE"""),"POINT (-74.01387 40.704838)")</f>
        <v>POINT (-74.01387 40.704838)</v>
      </c>
    </row>
    <row r="20" ht="22.5" customHeight="1">
      <c r="A20" s="7" t="str">
        <f>IFERROR(__xludf.DUMMYFUNCTION("""COMPUTED_VALUE"""),"72 St")</f>
        <v>72 St</v>
      </c>
      <c r="B20" s="8" t="str">
        <f>IFERROR(__xludf.DUMMYFUNCTION("""COMPUTED_VALUE"""),"Broadway-7 Av Line")</f>
        <v>Broadway-7 Av Line</v>
      </c>
      <c r="C20" s="8" t="str">
        <f>IFERROR(__xludf.DUMMYFUNCTION("""COMPUTED_VALUE"""),"Manhattan")</f>
        <v>Manhattan</v>
      </c>
      <c r="D20" s="8" t="str">
        <f>IFERROR(__xludf.DUMMYFUNCTION("""COMPUTED_VALUE"""),"Upper West Side")</f>
        <v>Upper West Side</v>
      </c>
      <c r="E20" s="33">
        <f>IFERROR(__xludf.DUMMYFUNCTION("""COMPUTED_VALUE"""),1762.0)</f>
        <v>1762</v>
      </c>
      <c r="F20" s="10">
        <f>IFERROR(__xludf.DUMMYFUNCTION("""COMPUTED_VALUE"""),9752193.0)</f>
        <v>9752193</v>
      </c>
      <c r="G20" s="19">
        <f>IFERROR(__xludf.DUMMYFUNCTION("""COMPUTED_VALUE"""),22.0)</f>
        <v>22</v>
      </c>
      <c r="H20" s="10" t="str">
        <f>IFERROR(__xludf.DUMMYFUNCTION("""COMPUTED_VALUE"""),"↗️")</f>
        <v>↗️</v>
      </c>
      <c r="I20" s="13">
        <f>IFERROR(__xludf.DUMMYFUNCTION("""COMPUTED_VALUE"""),42736.0)</f>
        <v>42736</v>
      </c>
      <c r="J20" s="32">
        <f>IFERROR(__xludf.DUMMYFUNCTION("""COMPUTED_VALUE"""),42736.0)</f>
        <v>42736</v>
      </c>
      <c r="K20" s="8">
        <f>IFERROR(__xludf.DUMMYFUNCTION("""COMPUTED_VALUE"""),22.0)</f>
        <v>22</v>
      </c>
      <c r="L20" s="15" t="str">
        <f>IFERROR(__xludf.DUMMYFUNCTION("""COMPUTED_VALUE"""),"YES")</f>
        <v>YES</v>
      </c>
      <c r="M20" s="15" t="str">
        <f>IFERROR(__xludf.DUMMYFUNCTION("""COMPUTED_VALUE"""),"NYCT")</f>
        <v>NYCT</v>
      </c>
      <c r="N20" s="15" t="str">
        <f>IFERROR(__xludf.DUMMYFUNCTION("""COMPUTED_VALUE"""),"SCHINDLER")</f>
        <v>SCHINDLER</v>
      </c>
      <c r="O20" s="15" t="str">
        <f>IFERROR(__xludf.DUMMYFUNCTION("""COMPUTED_VALUE"""),"YES")</f>
        <v>YES</v>
      </c>
      <c r="P20" s="15" t="str">
        <f>IFERROR(__xludf.DUMMYFUNCTION("""COMPUTED_VALUE"""),"YES")</f>
        <v>YES</v>
      </c>
      <c r="Q20" s="15" t="str">
        <f>IFERROR(__xludf.DUMMYFUNCTION("""COMPUTED_VALUE"""),"YES")</f>
        <v>YES</v>
      </c>
      <c r="R20" s="15" t="str">
        <f>IFERROR(__xludf.DUMMYFUNCTION("""COMPUTED_VALUE"""),"21577 mm (70' 9 1/2in)")</f>
        <v>21577 mm (70' 9 1/2in)</v>
      </c>
      <c r="S20" s="15">
        <f>IFERROR(__xludf.DUMMYFUNCTION("""COMPUTED_VALUE"""),0.0)</f>
        <v>0</v>
      </c>
      <c r="T20" s="15"/>
      <c r="U20" s="15" t="str">
        <f>IFERROR(__xludf.DUMMYFUNCTION("""COMPUTED_VALUE"""),"lower mezzanine to 72 St &amp; 2nd Ave (NW corner)")</f>
        <v>lower mezzanine to 72 St &amp; 2nd Ave (NW corner)</v>
      </c>
      <c r="V20" s="15" t="str">
        <f>IFERROR(__xludf.DUMMYFUNCTION("""COMPUTED_VALUE"""),"POINT (-73.95847 40.76906)")</f>
        <v>POINT (-73.95847 40.76906)</v>
      </c>
    </row>
    <row r="21" ht="22.5" customHeight="1">
      <c r="A21" s="7" t="str">
        <f>IFERROR(__xludf.DUMMYFUNCTION("""COMPUTED_VALUE"""),"181 St")</f>
        <v>181 St</v>
      </c>
      <c r="B21" s="8" t="str">
        <f>IFERROR(__xludf.DUMMYFUNCTION("""COMPUTED_VALUE"""),"8 Av Line")</f>
        <v>8 Av Line</v>
      </c>
      <c r="C21" s="8" t="str">
        <f>IFERROR(__xludf.DUMMYFUNCTION("""COMPUTED_VALUE"""),"Manhattan")</f>
        <v>Manhattan</v>
      </c>
      <c r="D21" s="8" t="str">
        <f>IFERROR(__xludf.DUMMYFUNCTION("""COMPUTED_VALUE"""),"Washington Heights")</f>
        <v>Washington Heights</v>
      </c>
      <c r="E21" s="33">
        <f>IFERROR(__xludf.DUMMYFUNCTION("""COMPUTED_VALUE"""),11942.0)</f>
        <v>11942</v>
      </c>
      <c r="F21" s="8">
        <f>IFERROR(__xludf.DUMMYFUNCTION("""COMPUTED_VALUE"""),2042771.0)</f>
        <v>2042771</v>
      </c>
      <c r="G21" s="19">
        <f>IFERROR(__xludf.DUMMYFUNCTION("""COMPUTED_VALUE"""),160.0)</f>
        <v>160</v>
      </c>
      <c r="H21" s="10" t="str">
        <f>IFERROR(__xludf.DUMMYFUNCTION("""COMPUTED_VALUE"""),"↗️")</f>
        <v>↗️</v>
      </c>
      <c r="I21" s="13">
        <f>IFERROR(__xludf.DUMMYFUNCTION("""COMPUTED_VALUE"""),35517.0)</f>
        <v>35517</v>
      </c>
      <c r="J21" s="32">
        <f>IFERROR(__xludf.DUMMYFUNCTION("""COMPUTED_VALUE"""),45016.0)</f>
        <v>45016</v>
      </c>
      <c r="K21" s="8">
        <f>IFERROR(__xludf.DUMMYFUNCTION("""COMPUTED_VALUE"""),22.0)</f>
        <v>22</v>
      </c>
      <c r="L21" s="15" t="str">
        <f>IFERROR(__xludf.DUMMYFUNCTION("""COMPUTED_VALUE"""),"YES")</f>
        <v>YES</v>
      </c>
      <c r="M21" s="15" t="str">
        <f>IFERROR(__xludf.DUMMYFUNCTION("""COMPUTED_VALUE"""),"NYCT")</f>
        <v>NYCT</v>
      </c>
      <c r="N21" s="15" t="str">
        <f>IFERROR(__xludf.DUMMYFUNCTION("""COMPUTED_VALUE"""),"KONE")</f>
        <v>KONE</v>
      </c>
      <c r="O21" s="15" t="str">
        <f>IFERROR(__xludf.DUMMYFUNCTION("""COMPUTED_VALUE"""),"YES")</f>
        <v>YES</v>
      </c>
      <c r="P21" s="15" t="str">
        <f>IFERROR(__xludf.DUMMYFUNCTION("""COMPUTED_VALUE"""),"NO")</f>
        <v>NO</v>
      </c>
      <c r="Q21" s="15" t="str">
        <f>IFERROR(__xludf.DUMMYFUNCTION("""COMPUTED_VALUE"""),"NO")</f>
        <v>NO</v>
      </c>
      <c r="R21" s="15" t="str">
        <f>IFERROR(__xludf.DUMMYFUNCTION("""COMPUTED_VALUE"""),"15824 mm (51'-11in)")</f>
        <v>15824 mm (51'-11in)</v>
      </c>
      <c r="S21" s="15">
        <f>IFERROR(__xludf.DUMMYFUNCTION("""COMPUTED_VALUE"""),112.0)</f>
        <v>112</v>
      </c>
      <c r="T21" s="15" t="str">
        <f>IFERROR(__xludf.DUMMYFUNCTION("""COMPUTED_VALUE"""),"800 mm (32in NOMINAL)")</f>
        <v>800 mm (32in NOMINAL)</v>
      </c>
      <c r="U21" s="15" t="str">
        <f>IFERROR(__xludf.DUMMYFUNCTION("""COMPUTED_VALUE"""),"lower mezzanine to upper mezzanine for 181 St &amp; Fort Washington Ave exit")</f>
        <v>lower mezzanine to upper mezzanine for 181 St &amp; Fort Washington Ave exit</v>
      </c>
      <c r="V21" s="15" t="str">
        <f>IFERROR(__xludf.DUMMYFUNCTION("""COMPUTED_VALUE"""),"POINT (-73.938095 40.851116)")</f>
        <v>POINT (-73.938095 40.851116)</v>
      </c>
    </row>
    <row r="22" ht="22.5" customHeight="1">
      <c r="A22" s="7" t="str">
        <f>IFERROR(__xludf.DUMMYFUNCTION("""COMPUTED_VALUE"""),"34 St-Hudson Yards")</f>
        <v>34 St-Hudson Yards</v>
      </c>
      <c r="B22" s="8" t="str">
        <f>IFERROR(__xludf.DUMMYFUNCTION("""COMPUTED_VALUE"""),"Flushing Line")</f>
        <v>Flushing Line</v>
      </c>
      <c r="C22" s="8" t="str">
        <f>IFERROR(__xludf.DUMMYFUNCTION("""COMPUTED_VALUE"""),"Manhattan")</f>
        <v>Manhattan</v>
      </c>
      <c r="D22" s="8" t="str">
        <f>IFERROR(__xludf.DUMMYFUNCTION("""COMPUTED_VALUE"""),"Hell's Kitchen")</f>
        <v>Hell's Kitchen</v>
      </c>
      <c r="E22" s="33">
        <f>IFERROR(__xludf.DUMMYFUNCTION("""COMPUTED_VALUE"""),42260.0)</f>
        <v>42260</v>
      </c>
      <c r="F22" s="10">
        <f>IFERROR(__xludf.DUMMYFUNCTION("""COMPUTED_VALUE"""),6082370.0)</f>
        <v>6082370</v>
      </c>
      <c r="G22" s="19">
        <f>IFERROR(__xludf.DUMMYFUNCTION("""COMPUTED_VALUE"""),39.0)</f>
        <v>39</v>
      </c>
      <c r="H22" s="10" t="str">
        <f>IFERROR(__xludf.DUMMYFUNCTION("""COMPUTED_VALUE"""),"↗️")</f>
        <v>↗️</v>
      </c>
      <c r="I22" s="13">
        <f>IFERROR(__xludf.DUMMYFUNCTION("""COMPUTED_VALUE"""),43343.0)</f>
        <v>43343</v>
      </c>
      <c r="J22" s="32">
        <f>IFERROR(__xludf.DUMMYFUNCTION("""COMPUTED_VALUE"""),43343.0)</f>
        <v>43343</v>
      </c>
      <c r="K22" s="8">
        <f>IFERROR(__xludf.DUMMYFUNCTION("""COMPUTED_VALUE"""),22.0)</f>
        <v>22</v>
      </c>
      <c r="L22" s="15" t="str">
        <f>IFERROR(__xludf.DUMMYFUNCTION("""COMPUTED_VALUE"""),"YES")</f>
        <v>YES</v>
      </c>
      <c r="M22" s="15" t="str">
        <f>IFERROR(__xludf.DUMMYFUNCTION("""COMPUTED_VALUE"""),"NYCT")</f>
        <v>NYCT</v>
      </c>
      <c r="N22" s="15" t="str">
        <f>IFERROR(__xludf.DUMMYFUNCTION("""COMPUTED_VALUE"""),"SCHINDLER")</f>
        <v>SCHINDLER</v>
      </c>
      <c r="O22" s="15" t="str">
        <f>IFERROR(__xludf.DUMMYFUNCTION("""COMPUTED_VALUE"""),"YES")</f>
        <v>YES</v>
      </c>
      <c r="P22" s="15" t="str">
        <f>IFERROR(__xludf.DUMMYFUNCTION("""COMPUTED_VALUE"""),"NO")</f>
        <v>NO</v>
      </c>
      <c r="Q22" s="15" t="str">
        <f>IFERROR(__xludf.DUMMYFUNCTION("""COMPUTED_VALUE"""),"NO")</f>
        <v>NO</v>
      </c>
      <c r="R22" s="15" t="str">
        <f>IFERROR(__xludf.DUMMYFUNCTION("""COMPUTED_VALUE"""),"24'")</f>
        <v>24'</v>
      </c>
      <c r="S22" s="15">
        <f>IFERROR(__xludf.DUMMYFUNCTION("""COMPUTED_VALUE"""),90.0)</f>
        <v>90</v>
      </c>
      <c r="T22" s="15">
        <f>IFERROR(__xludf.DUMMYFUNCTION("""COMPUTED_VALUE"""),40.0)</f>
        <v>40</v>
      </c>
      <c r="U22" s="15" t="str">
        <f>IFERROR(__xludf.DUMMYFUNCTION("""COMPUTED_VALUE"""),"lower mezzanine to upper mezzanine for Hudson Blvd E &amp; 35 St exit")</f>
        <v>lower mezzanine to upper mezzanine for Hudson Blvd E &amp; 35 St exit</v>
      </c>
      <c r="V22" s="15" t="str">
        <f>IFERROR(__xludf.DUMMYFUNCTION("""COMPUTED_VALUE"""),"POINT (-74.00111 40.75609)")</f>
        <v>POINT (-74.00111 40.75609)</v>
      </c>
    </row>
    <row r="23" ht="22.5" customHeight="1">
      <c r="A23" s="7" t="str">
        <f>IFERROR(__xludf.DUMMYFUNCTION("""COMPUTED_VALUE"""),"Jamaica Center-Parsons/Archer")</f>
        <v>Jamaica Center-Parsons/Archer</v>
      </c>
      <c r="B23" s="8" t="str">
        <f>IFERROR(__xludf.DUMMYFUNCTION("""COMPUTED_VALUE"""),"Archer Av Line")</f>
        <v>Archer Av Line</v>
      </c>
      <c r="C23" s="8" t="str">
        <f>IFERROR(__xludf.DUMMYFUNCTION("""COMPUTED_VALUE"""),"Queens")</f>
        <v>Queens</v>
      </c>
      <c r="D23" s="8" t="str">
        <f>IFERROR(__xludf.DUMMYFUNCTION("""COMPUTED_VALUE"""),"Jamaica")</f>
        <v>Jamaica</v>
      </c>
      <c r="E23" s="33">
        <f>IFERROR(__xludf.DUMMYFUNCTION("""COMPUTED_VALUE"""),32488.0)</f>
        <v>32488</v>
      </c>
      <c r="F23" s="10">
        <f>IFERROR(__xludf.DUMMYFUNCTION("""COMPUTED_VALUE"""),6137267.0)</f>
        <v>6137267</v>
      </c>
      <c r="G23" s="19">
        <f>IFERROR(__xludf.DUMMYFUNCTION("""COMPUTED_VALUE"""),38.0)</f>
        <v>38</v>
      </c>
      <c r="H23" s="10" t="str">
        <f>IFERROR(__xludf.DUMMYFUNCTION("""COMPUTED_VALUE"""),"↗️")</f>
        <v>↗️</v>
      </c>
      <c r="I23" s="13">
        <f>IFERROR(__xludf.DUMMYFUNCTION("""COMPUTED_VALUE"""),32478.0)</f>
        <v>32478</v>
      </c>
      <c r="J23" s="32">
        <f>IFERROR(__xludf.DUMMYFUNCTION("""COMPUTED_VALUE"""),39420.0)</f>
        <v>39420</v>
      </c>
      <c r="K23" s="8">
        <f>IFERROR(__xludf.DUMMYFUNCTION("""COMPUTED_VALUE"""),22.0)</f>
        <v>22</v>
      </c>
      <c r="L23" s="15" t="str">
        <f>IFERROR(__xludf.DUMMYFUNCTION("""COMPUTED_VALUE"""),"YES")</f>
        <v>YES</v>
      </c>
      <c r="M23" s="15" t="str">
        <f>IFERROR(__xludf.DUMMYFUNCTION("""COMPUTED_VALUE"""),"NYCT")</f>
        <v>NYCT</v>
      </c>
      <c r="N23" s="15" t="str">
        <f>IFERROR(__xludf.DUMMYFUNCTION("""COMPUTED_VALUE"""),"KONE")</f>
        <v>KONE</v>
      </c>
      <c r="O23" s="15" t="str">
        <f>IFERROR(__xludf.DUMMYFUNCTION("""COMPUTED_VALUE"""),"YES")</f>
        <v>YES</v>
      </c>
      <c r="P23" s="15" t="str">
        <f>IFERROR(__xludf.DUMMYFUNCTION("""COMPUTED_VALUE"""),"NO")</f>
        <v>NO</v>
      </c>
      <c r="Q23" s="15" t="str">
        <f>IFERROR(__xludf.DUMMYFUNCTION("""COMPUTED_VALUE"""),"NO")</f>
        <v>NO</v>
      </c>
      <c r="R23" s="15" t="str">
        <f>IFERROR(__xludf.DUMMYFUNCTION("""COMPUTED_VALUE"""),"28'")</f>
        <v>28'</v>
      </c>
      <c r="S23" s="15">
        <f>IFERROR(__xludf.DUMMYFUNCTION("""COMPUTED_VALUE"""),106.0)</f>
        <v>106</v>
      </c>
      <c r="T23" s="15" t="str">
        <f>IFERROR(__xludf.DUMMYFUNCTION("""COMPUTED_VALUE"""),"32in")</f>
        <v>32in</v>
      </c>
      <c r="U23" s="15" t="str">
        <f>IFERROR(__xludf.DUMMYFUNCTION("""COMPUTED_VALUE"""),"mezzanine (153 St &amp; Archer Ave) to J/Z platform for Brooklyn-bound service")</f>
        <v>mezzanine (153 St &amp; Archer Ave) to J/Z platform for Brooklyn-bound service</v>
      </c>
      <c r="V23" s="15" t="str">
        <f>IFERROR(__xludf.DUMMYFUNCTION("""COMPUTED_VALUE"""),"POINT (-73.801926 40.70198)")</f>
        <v>POINT (-73.801926 40.70198)</v>
      </c>
    </row>
    <row r="24" ht="22.5" customHeight="1">
      <c r="A24" s="7" t="str">
        <f>IFERROR(__xludf.DUMMYFUNCTION("""COMPUTED_VALUE"""),"14 St-Union Sq")</f>
        <v>14 St-Union Sq</v>
      </c>
      <c r="B24" s="8" t="str">
        <f>IFERROR(__xludf.DUMMYFUNCTION("""COMPUTED_VALUE"""),"Broadway Line")</f>
        <v>Broadway Line</v>
      </c>
      <c r="C24" s="8" t="str">
        <f>IFERROR(__xludf.DUMMYFUNCTION("""COMPUTED_VALUE"""),"Manhattan")</f>
        <v>Manhattan</v>
      </c>
      <c r="D24" s="8" t="str">
        <f>IFERROR(__xludf.DUMMYFUNCTION("""COMPUTED_VALUE"""),"Union Square")</f>
        <v>Union Square</v>
      </c>
      <c r="E24" s="33">
        <f>IFERROR(__xludf.DUMMYFUNCTION("""COMPUTED_VALUE"""),6457.0)</f>
        <v>6457</v>
      </c>
      <c r="F24" s="10">
        <f>IFERROR(__xludf.DUMMYFUNCTION("""COMPUTED_VALUE"""),2.2811597E7)</f>
        <v>22811597</v>
      </c>
      <c r="G24" s="19">
        <f>IFERROR(__xludf.DUMMYFUNCTION("""COMPUTED_VALUE"""),4.0)</f>
        <v>4</v>
      </c>
      <c r="H24" s="10" t="str">
        <f>IFERROR(__xludf.DUMMYFUNCTION("""COMPUTED_VALUE"""),"↗️")</f>
        <v>↗️</v>
      </c>
      <c r="I24" s="13"/>
      <c r="J24" s="32">
        <f>IFERROR(__xludf.DUMMYFUNCTION("""COMPUTED_VALUE"""),41071.0)</f>
        <v>41071</v>
      </c>
      <c r="K24" s="8">
        <f>IFERROR(__xludf.DUMMYFUNCTION("""COMPUTED_VALUE"""),22.0)</f>
        <v>22</v>
      </c>
      <c r="L24" s="15" t="str">
        <f>IFERROR(__xludf.DUMMYFUNCTION("""COMPUTED_VALUE"""),"NO")</f>
        <v>NO</v>
      </c>
      <c r="M24" s="15" t="str">
        <f>IFERROR(__xludf.DUMMYFUNCTION("""COMPUTED_VALUE"""),"Private Contractor")</f>
        <v>Private Contractor</v>
      </c>
      <c r="N24" s="15" t="str">
        <f>IFERROR(__xludf.DUMMYFUNCTION("""COMPUTED_VALUE"""),"AM")</f>
        <v>AM</v>
      </c>
      <c r="O24" s="15" t="str">
        <f>IFERROR(__xludf.DUMMYFUNCTION("""COMPUTED_VALUE"""),"YES")</f>
        <v>YES</v>
      </c>
      <c r="P24" s="15" t="str">
        <f>IFERROR(__xludf.DUMMYFUNCTION("""COMPUTED_VALUE"""),"NO")</f>
        <v>NO</v>
      </c>
      <c r="Q24" s="15" t="str">
        <f>IFERROR(__xludf.DUMMYFUNCTION("""COMPUTED_VALUE"""),"NO")</f>
        <v>NO</v>
      </c>
      <c r="R24" s="15"/>
      <c r="S24" s="15"/>
      <c r="T24" s="15"/>
      <c r="U24" s="15" t="str">
        <f>IFERROR(__xludf.DUMMYFUNCTION("""COMPUTED_VALUE"""),"14 St &amp; 4th Ave (NE corner) to mezzanine for 4/5/6/L service and access to N/Q/R/W")</f>
        <v>14 St &amp; 4th Ave (NE corner) to mezzanine for 4/5/6/L service and access to N/Q/R/W</v>
      </c>
      <c r="V24" s="15" t="str">
        <f>IFERROR(__xludf.DUMMYFUNCTION("""COMPUTED_VALUE"""),"POINT (-73.98946 40.73445)")</f>
        <v>POINT (-73.98946 40.73445)</v>
      </c>
    </row>
    <row r="25" ht="22.5" customHeight="1">
      <c r="A25" s="7" t="str">
        <f>IFERROR(__xludf.DUMMYFUNCTION("""COMPUTED_VALUE"""),"34 St-Herald Sq")</f>
        <v>34 St-Herald Sq</v>
      </c>
      <c r="B25" s="8" t="str">
        <f>IFERROR(__xludf.DUMMYFUNCTION("""COMPUTED_VALUE"""),"Broadway Line")</f>
        <v>Broadway Line</v>
      </c>
      <c r="C25" s="8" t="str">
        <f>IFERROR(__xludf.DUMMYFUNCTION("""COMPUTED_VALUE"""),"Manhattan")</f>
        <v>Manhattan</v>
      </c>
      <c r="D25" s="8" t="str">
        <f>IFERROR(__xludf.DUMMYFUNCTION("""COMPUTED_VALUE"""),"Midtown")</f>
        <v>Midtown</v>
      </c>
      <c r="E25" s="33">
        <f>IFERROR(__xludf.DUMMYFUNCTION("""COMPUTED_VALUE"""),6580.0)</f>
        <v>6580</v>
      </c>
      <c r="F25" s="10">
        <f>IFERROR(__xludf.DUMMYFUNCTION("""COMPUTED_VALUE"""),2.5012549E7)</f>
        <v>25012549</v>
      </c>
      <c r="G25" s="17">
        <f>IFERROR(__xludf.DUMMYFUNCTION("""COMPUTED_VALUE"""),3.0)</f>
        <v>3</v>
      </c>
      <c r="H25" s="10" t="str">
        <f>IFERROR(__xludf.DUMMYFUNCTION("""COMPUTED_VALUE"""),"↗️")</f>
        <v>↗️</v>
      </c>
      <c r="I25" s="13">
        <f>IFERROR(__xludf.DUMMYFUNCTION("""COMPUTED_VALUE"""),14960.0)</f>
        <v>14960</v>
      </c>
      <c r="J25" s="32">
        <f>IFERROR(__xludf.DUMMYFUNCTION("""COMPUTED_VALUE"""),39044.0)</f>
        <v>39044</v>
      </c>
      <c r="K25" s="8">
        <f>IFERROR(__xludf.DUMMYFUNCTION("""COMPUTED_VALUE"""),22.0)</f>
        <v>22</v>
      </c>
      <c r="L25" s="15" t="str">
        <f>IFERROR(__xludf.DUMMYFUNCTION("""COMPUTED_VALUE"""),"YES")</f>
        <v>YES</v>
      </c>
      <c r="M25" s="15" t="str">
        <f>IFERROR(__xludf.DUMMYFUNCTION("""COMPUTED_VALUE"""),"NYCT")</f>
        <v>NYCT</v>
      </c>
      <c r="N25" s="15" t="str">
        <f>IFERROR(__xludf.DUMMYFUNCTION("""COMPUTED_VALUE"""),"FUJITEC")</f>
        <v>FUJITEC</v>
      </c>
      <c r="O25" s="15" t="str">
        <f>IFERROR(__xludf.DUMMYFUNCTION("""COMPUTED_VALUE"""),"YES")</f>
        <v>YES</v>
      </c>
      <c r="P25" s="15" t="str">
        <f>IFERROR(__xludf.DUMMYFUNCTION("""COMPUTED_VALUE"""),"NO")</f>
        <v>NO</v>
      </c>
      <c r="Q25" s="15" t="str">
        <f>IFERROR(__xludf.DUMMYFUNCTION("""COMPUTED_VALUE"""),"NO")</f>
        <v>NO</v>
      </c>
      <c r="R25" s="15" t="str">
        <f>IFERROR(__xludf.DUMMYFUNCTION("""COMPUTED_VALUE"""),"30'")</f>
        <v>30'</v>
      </c>
      <c r="S25" s="15">
        <f>IFERROR(__xludf.DUMMYFUNCTION("""COMPUTED_VALUE"""),109.0)</f>
        <v>109</v>
      </c>
      <c r="T25" s="15">
        <f>IFERROR(__xludf.DUMMYFUNCTION("""COMPUTED_VALUE"""),24.0)</f>
        <v>24</v>
      </c>
      <c r="U25" s="15" t="str">
        <f>IFERROR(__xludf.DUMMYFUNCTION("""COMPUTED_VALUE"""),"downtown B/D/F/M platform to mezzanine for access to street and N/Q/R/W service")</f>
        <v>downtown B/D/F/M platform to mezzanine for access to street and N/Q/R/W service</v>
      </c>
      <c r="V25" s="15" t="str">
        <f>IFERROR(__xludf.DUMMYFUNCTION("""COMPUTED_VALUE"""),"POINT (-73.987686 40.75006)")</f>
        <v>POINT (-73.987686 40.75006)</v>
      </c>
    </row>
    <row r="26" ht="22.5" customHeight="1">
      <c r="A26" s="7" t="str">
        <f>IFERROR(__xludf.DUMMYFUNCTION("""COMPUTED_VALUE"""),"Lexington Av/63 St")</f>
        <v>Lexington Av/63 St</v>
      </c>
      <c r="B26" s="8" t="str">
        <f>IFERROR(__xludf.DUMMYFUNCTION("""COMPUTED_VALUE"""),"")</f>
        <v/>
      </c>
      <c r="C26" s="8" t="str">
        <f>IFERROR(__xludf.DUMMYFUNCTION("""COMPUTED_VALUE"""),"")</f>
        <v/>
      </c>
      <c r="D26" s="8" t="str">
        <f>IFERROR(__xludf.DUMMYFUNCTION("""COMPUTED_VALUE"""),"")</f>
        <v/>
      </c>
      <c r="E26" s="33" t="str">
        <f>IFERROR(__xludf.DUMMYFUNCTION("""COMPUTED_VALUE"""),"")</f>
        <v/>
      </c>
      <c r="F26" s="10" t="str">
        <f>IFERROR(__xludf.DUMMYFUNCTION("""COMPUTED_VALUE"""),"")</f>
        <v/>
      </c>
      <c r="G26" s="17" t="str">
        <f>IFERROR(__xludf.DUMMYFUNCTION("""COMPUTED_VALUE"""),"")</f>
        <v/>
      </c>
      <c r="H26" s="10" t="str">
        <f>IFERROR(__xludf.DUMMYFUNCTION("""COMPUTED_VALUE"""),"↗️")</f>
        <v>↗️</v>
      </c>
      <c r="I26" s="13">
        <f>IFERROR(__xludf.DUMMYFUNCTION("""COMPUTED_VALUE"""),32782.0)</f>
        <v>32782</v>
      </c>
      <c r="J26" s="32">
        <f>IFERROR(__xludf.DUMMYFUNCTION("""COMPUTED_VALUE"""),46107.0)</f>
        <v>46107</v>
      </c>
      <c r="K26" s="8">
        <f>IFERROR(__xludf.DUMMYFUNCTION("""COMPUTED_VALUE"""),22.0)</f>
        <v>22</v>
      </c>
      <c r="L26" s="15" t="str">
        <f>IFERROR(__xludf.DUMMYFUNCTION("""COMPUTED_VALUE"""),"YES")</f>
        <v>YES</v>
      </c>
      <c r="M26" s="15" t="str">
        <f>IFERROR(__xludf.DUMMYFUNCTION("""COMPUTED_VALUE"""),"NYCT")</f>
        <v>NYCT</v>
      </c>
      <c r="N26" s="15" t="str">
        <f>IFERROR(__xludf.DUMMYFUNCTION("""COMPUTED_VALUE"""),"KONE")</f>
        <v>KONE</v>
      </c>
      <c r="O26" s="15" t="str">
        <f>IFERROR(__xludf.DUMMYFUNCTION("""COMPUTED_VALUE"""),"YES")</f>
        <v>YES</v>
      </c>
      <c r="P26" s="15" t="str">
        <f>IFERROR(__xludf.DUMMYFUNCTION("""COMPUTED_VALUE"""),"NO")</f>
        <v>NO</v>
      </c>
      <c r="Q26" s="15" t="str">
        <f>IFERROR(__xludf.DUMMYFUNCTION("""COMPUTED_VALUE"""),"NO")</f>
        <v>NO</v>
      </c>
      <c r="R26" s="15" t="str">
        <f>IFERROR(__xludf.DUMMYFUNCTION("""COMPUTED_VALUE"""),"25'11 3/4")</f>
        <v>25'11 3/4</v>
      </c>
      <c r="S26" s="15">
        <f>IFERROR(__xludf.DUMMYFUNCTION("""COMPUTED_VALUE"""),91.0)</f>
        <v>91</v>
      </c>
      <c r="T26" s="15" t="str">
        <f>IFERROR(__xludf.DUMMYFUNCTION("""COMPUTED_VALUE"""),"40'")</f>
        <v>40'</v>
      </c>
      <c r="U26" s="15" t="str">
        <f>IFERROR(__xludf.DUMMYFUNCTION("""COMPUTED_VALUE"""),"intermediate mezzanine (Lexington Ave &amp; 63 St) to lower mezzanine")</f>
        <v>intermediate mezzanine (Lexington Ave &amp; 63 St) to lower mezzanine</v>
      </c>
      <c r="V26" s="15" t="str">
        <f>IFERROR(__xludf.DUMMYFUNCTION("""COMPUTED_VALUE"""),"POINT (-73.967285 40.76518)")</f>
        <v>POINT (-73.967285 40.76518)</v>
      </c>
    </row>
    <row r="27" ht="22.5" customHeight="1">
      <c r="A27" s="7" t="str">
        <f>IFERROR(__xludf.DUMMYFUNCTION("""COMPUTED_VALUE"""),"Lexington Av/63 St")</f>
        <v>Lexington Av/63 St</v>
      </c>
      <c r="B27" s="8" t="str">
        <f>IFERROR(__xludf.DUMMYFUNCTION("""COMPUTED_VALUE"""),"")</f>
        <v/>
      </c>
      <c r="C27" s="8" t="str">
        <f>IFERROR(__xludf.DUMMYFUNCTION("""COMPUTED_VALUE"""),"")</f>
        <v/>
      </c>
      <c r="D27" s="8" t="str">
        <f>IFERROR(__xludf.DUMMYFUNCTION("""COMPUTED_VALUE"""),"")</f>
        <v/>
      </c>
      <c r="E27" s="33" t="str">
        <f>IFERROR(__xludf.DUMMYFUNCTION("""COMPUTED_VALUE"""),"")</f>
        <v/>
      </c>
      <c r="F27" s="10" t="str">
        <f>IFERROR(__xludf.DUMMYFUNCTION("""COMPUTED_VALUE"""),"")</f>
        <v/>
      </c>
      <c r="G27" s="19" t="str">
        <f>IFERROR(__xludf.DUMMYFUNCTION("""COMPUTED_VALUE"""),"")</f>
        <v/>
      </c>
      <c r="H27" s="10" t="str">
        <f>IFERROR(__xludf.DUMMYFUNCTION("""COMPUTED_VALUE"""),"↗️")</f>
        <v>↗️</v>
      </c>
      <c r="I27" s="13">
        <f>IFERROR(__xludf.DUMMYFUNCTION("""COMPUTED_VALUE"""),32782.0)</f>
        <v>32782</v>
      </c>
      <c r="J27" s="32">
        <f>IFERROR(__xludf.DUMMYFUNCTION("""COMPUTED_VALUE"""),46107.0)</f>
        <v>46107</v>
      </c>
      <c r="K27" s="8">
        <f>IFERROR(__xludf.DUMMYFUNCTION("""COMPUTED_VALUE"""),22.0)</f>
        <v>22</v>
      </c>
      <c r="L27" s="15" t="str">
        <f>IFERROR(__xludf.DUMMYFUNCTION("""COMPUTED_VALUE"""),"YES")</f>
        <v>YES</v>
      </c>
      <c r="M27" s="15" t="str">
        <f>IFERROR(__xludf.DUMMYFUNCTION("""COMPUTED_VALUE"""),"NYCT")</f>
        <v>NYCT</v>
      </c>
      <c r="N27" s="15" t="str">
        <f>IFERROR(__xludf.DUMMYFUNCTION("""COMPUTED_VALUE"""),"KONE")</f>
        <v>KONE</v>
      </c>
      <c r="O27" s="15" t="str">
        <f>IFERROR(__xludf.DUMMYFUNCTION("""COMPUTED_VALUE"""),"YES")</f>
        <v>YES</v>
      </c>
      <c r="P27" s="15" t="str">
        <f>IFERROR(__xludf.DUMMYFUNCTION("""COMPUTED_VALUE"""),"NO")</f>
        <v>NO</v>
      </c>
      <c r="Q27" s="15" t="str">
        <f>IFERROR(__xludf.DUMMYFUNCTION("""COMPUTED_VALUE"""),"NO")</f>
        <v>NO</v>
      </c>
      <c r="R27" s="15" t="str">
        <f>IFERROR(__xludf.DUMMYFUNCTION("""COMPUTED_VALUE"""),"18'10 5/8")</f>
        <v>18'10 5/8</v>
      </c>
      <c r="S27" s="15">
        <f>IFERROR(__xludf.DUMMYFUNCTION("""COMPUTED_VALUE"""),65.0)</f>
        <v>65</v>
      </c>
      <c r="T27" s="15" t="str">
        <f>IFERROR(__xludf.DUMMYFUNCTION("""COMPUTED_VALUE"""),"40'")</f>
        <v>40'</v>
      </c>
      <c r="U27" s="15" t="str">
        <f>IFERROR(__xludf.DUMMYFUNCTION("""COMPUTED_VALUE"""),"lower mezzanine (Lexington Ave &amp; 63 St) to downtown platform")</f>
        <v>lower mezzanine (Lexington Ave &amp; 63 St) to downtown platform</v>
      </c>
      <c r="V27" s="15" t="str">
        <f>IFERROR(__xludf.DUMMYFUNCTION("""COMPUTED_VALUE"""),"POINT (-73.96745 40.765236)")</f>
        <v>POINT (-73.96745 40.765236)</v>
      </c>
    </row>
    <row r="28" ht="22.5" customHeight="1">
      <c r="A28" s="7" t="str">
        <f>IFERROR(__xludf.DUMMYFUNCTION("""COMPUTED_VALUE"""),"59 St")</f>
        <v>59 St</v>
      </c>
      <c r="B28" s="8" t="str">
        <f>IFERROR(__xludf.DUMMYFUNCTION("""COMPUTED_VALUE"""),"4 Av Line")</f>
        <v>4 Av Line</v>
      </c>
      <c r="C28" s="8" t="str">
        <f>IFERROR(__xludf.DUMMYFUNCTION("""COMPUTED_VALUE"""),"Brooklyn")</f>
        <v>Brooklyn</v>
      </c>
      <c r="D28" s="8" t="str">
        <f>IFERROR(__xludf.DUMMYFUNCTION("""COMPUTED_VALUE"""),"Sunset Park")</f>
        <v>Sunset Park</v>
      </c>
      <c r="E28" s="33">
        <f>IFERROR(__xludf.DUMMYFUNCTION("""COMPUTED_VALUE"""),5652.0)</f>
        <v>5652</v>
      </c>
      <c r="F28" s="10">
        <f>IFERROR(__xludf.DUMMYFUNCTION("""COMPUTED_VALUE"""),2952891.0)</f>
        <v>2952891</v>
      </c>
      <c r="G28" s="16">
        <f>IFERROR(__xludf.DUMMYFUNCTION("""COMPUTED_VALUE"""),112.0)</f>
        <v>112</v>
      </c>
      <c r="H28" s="10" t="str">
        <f>IFERROR(__xludf.DUMMYFUNCTION("""COMPUTED_VALUE"""),"↗️")</f>
        <v>↗️</v>
      </c>
      <c r="I28" s="13">
        <f>IFERROR(__xludf.DUMMYFUNCTION("""COMPUTED_VALUE"""),22965.0)</f>
        <v>22965</v>
      </c>
      <c r="J28" s="32">
        <f>IFERROR(__xludf.DUMMYFUNCTION("""COMPUTED_VALUE"""),45519.0)</f>
        <v>45519</v>
      </c>
      <c r="K28" s="8">
        <f>IFERROR(__xludf.DUMMYFUNCTION("""COMPUTED_VALUE"""),22.0)</f>
        <v>22</v>
      </c>
      <c r="L28" s="15" t="str">
        <f>IFERROR(__xludf.DUMMYFUNCTION("""COMPUTED_VALUE"""),"YES")</f>
        <v>YES</v>
      </c>
      <c r="M28" s="15" t="str">
        <f>IFERROR(__xludf.DUMMYFUNCTION("""COMPUTED_VALUE"""),"NYCT")</f>
        <v>NYCT</v>
      </c>
      <c r="N28" s="15" t="str">
        <f>IFERROR(__xludf.DUMMYFUNCTION("""COMPUTED_VALUE"""),"OK")</f>
        <v>OK</v>
      </c>
      <c r="O28" s="15" t="str">
        <f>IFERROR(__xludf.DUMMYFUNCTION("""COMPUTED_VALUE"""),"YES")</f>
        <v>YES</v>
      </c>
      <c r="P28" s="15" t="str">
        <f>IFERROR(__xludf.DUMMYFUNCTION("""COMPUTED_VALUE"""),"NO")</f>
        <v>NO</v>
      </c>
      <c r="Q28" s="15" t="str">
        <f>IFERROR(__xludf.DUMMYFUNCTION("""COMPUTED_VALUE"""),"NO")</f>
        <v>NO</v>
      </c>
      <c r="R28" s="15" t="str">
        <f>IFERROR(__xludf.DUMMYFUNCTION("""COMPUTED_VALUE"""),"50'")</f>
        <v>50'</v>
      </c>
      <c r="S28" s="15">
        <f>IFERROR(__xludf.DUMMYFUNCTION("""COMPUTED_VALUE"""),172.0)</f>
        <v>172</v>
      </c>
      <c r="T28" s="15">
        <f>IFERROR(__xludf.DUMMYFUNCTION("""COMPUTED_VALUE"""),40.0)</f>
        <v>40</v>
      </c>
      <c r="U28" s="15" t="str">
        <f>IFERROR(__xludf.DUMMYFUNCTION("""COMPUTED_VALUE"""),"uptown 4/5 platform to uptown 6 platform")</f>
        <v>uptown 4/5 platform to uptown 6 platform</v>
      </c>
      <c r="V28" s="15" t="str">
        <f>IFERROR(__xludf.DUMMYFUNCTION("""COMPUTED_VALUE"""),"POINT (-73.968254 40.762287)")</f>
        <v>POINT (-73.968254 40.762287)</v>
      </c>
    </row>
    <row r="29" ht="22.5" customHeight="1">
      <c r="A29" s="7" t="str">
        <f>IFERROR(__xludf.DUMMYFUNCTION("""COMPUTED_VALUE"""),"South Ferry")</f>
        <v>South Ferry</v>
      </c>
      <c r="B29" s="8" t="str">
        <f>IFERROR(__xludf.DUMMYFUNCTION("""COMPUTED_VALUE"""),"")</f>
        <v/>
      </c>
      <c r="C29" s="8" t="str">
        <f>IFERROR(__xludf.DUMMYFUNCTION("""COMPUTED_VALUE"""),"")</f>
        <v/>
      </c>
      <c r="D29" s="8" t="str">
        <f>IFERROR(__xludf.DUMMYFUNCTION("""COMPUTED_VALUE"""),"")</f>
        <v/>
      </c>
      <c r="E29" s="33" t="str">
        <f>IFERROR(__xludf.DUMMYFUNCTION("""COMPUTED_VALUE"""),"")</f>
        <v/>
      </c>
      <c r="F29" s="10" t="str">
        <f>IFERROR(__xludf.DUMMYFUNCTION("""COMPUTED_VALUE"""),"")</f>
        <v/>
      </c>
      <c r="G29" s="16" t="str">
        <f>IFERROR(__xludf.DUMMYFUNCTION("""COMPUTED_VALUE"""),"")</f>
        <v/>
      </c>
      <c r="H29" s="10" t="str">
        <f>IFERROR(__xludf.DUMMYFUNCTION("""COMPUTED_VALUE"""),"↗️")</f>
        <v>↗️</v>
      </c>
      <c r="I29" s="13">
        <f>IFERROR(__xludf.DUMMYFUNCTION("""COMPUTED_VALUE"""),39888.0)</f>
        <v>39888</v>
      </c>
      <c r="J29" s="32">
        <f>IFERROR(__xludf.DUMMYFUNCTION("""COMPUTED_VALUE"""),42913.0)</f>
        <v>42913</v>
      </c>
      <c r="K29" s="8">
        <f>IFERROR(__xludf.DUMMYFUNCTION("""COMPUTED_VALUE"""),22.0)</f>
        <v>22</v>
      </c>
      <c r="L29" s="15" t="str">
        <f>IFERROR(__xludf.DUMMYFUNCTION("""COMPUTED_VALUE"""),"YES")</f>
        <v>YES</v>
      </c>
      <c r="M29" s="15" t="str">
        <f>IFERROR(__xludf.DUMMYFUNCTION("""COMPUTED_VALUE"""),"NYCT")</f>
        <v>NYCT</v>
      </c>
      <c r="N29" s="15" t="str">
        <f>IFERROR(__xludf.DUMMYFUNCTION("""COMPUTED_VALUE"""),"KONE")</f>
        <v>KONE</v>
      </c>
      <c r="O29" s="15" t="str">
        <f>IFERROR(__xludf.DUMMYFUNCTION("""COMPUTED_VALUE"""),"YES")</f>
        <v>YES</v>
      </c>
      <c r="P29" s="15" t="str">
        <f>IFERROR(__xludf.DUMMYFUNCTION("""COMPUTED_VALUE"""),"NO")</f>
        <v>NO</v>
      </c>
      <c r="Q29" s="15" t="str">
        <f>IFERROR(__xludf.DUMMYFUNCTION("""COMPUTED_VALUE"""),"NO")</f>
        <v>NO</v>
      </c>
      <c r="R29" s="15" t="str">
        <f>IFERROR(__xludf.DUMMYFUNCTION("""COMPUTED_VALUE"""),"8030 mm (26' 4 1/8in)")</f>
        <v>8030 mm (26' 4 1/8in)</v>
      </c>
      <c r="S29" s="15">
        <f>IFERROR(__xludf.DUMMYFUNCTION("""COMPUTED_VALUE"""),109.0)</f>
        <v>109</v>
      </c>
      <c r="T29" s="15" t="str">
        <f>IFERROR(__xludf.DUMMYFUNCTION("""COMPUTED_VALUE"""),"40in (NOMINAL), 996 mm")</f>
        <v>40in (NOMINAL), 996 mm</v>
      </c>
      <c r="U29" s="15" t="str">
        <f>IFERROR(__xludf.DUMMYFUNCTION("""COMPUTED_VALUE"""),"1/R/W mezzanine to platform for uptown 1 service")</f>
        <v>1/R/W mezzanine to platform for uptown 1 service</v>
      </c>
      <c r="V29" s="15" t="str">
        <f>IFERROR(__xludf.DUMMYFUNCTION("""COMPUTED_VALUE"""),"POINT (-74.013084 40.701675)")</f>
        <v>POINT (-74.013084 40.701675)</v>
      </c>
    </row>
    <row r="30" ht="22.5" customHeight="1">
      <c r="A30" s="7" t="str">
        <f>IFERROR(__xludf.DUMMYFUNCTION("""COMPUTED_VALUE"""),"Grand Central-42 St")</f>
        <v>Grand Central-42 St</v>
      </c>
      <c r="B30" s="8" t="str">
        <f>IFERROR(__xludf.DUMMYFUNCTION("""COMPUTED_VALUE"""),"42nd St Line")</f>
        <v>42nd St Line</v>
      </c>
      <c r="C30" s="8" t="str">
        <f>IFERROR(__xludf.DUMMYFUNCTION("""COMPUTED_VALUE"""),"Manhattan")</f>
        <v>Manhattan</v>
      </c>
      <c r="D30" s="8" t="str">
        <f>IFERROR(__xludf.DUMMYFUNCTION("""COMPUTED_VALUE"""),"Midtown")</f>
        <v>Midtown</v>
      </c>
      <c r="E30" s="33">
        <f>IFERROR(__xludf.DUMMYFUNCTION("""COMPUTED_VALUE"""),1762.0)</f>
        <v>1762</v>
      </c>
      <c r="F30" s="10">
        <f>IFERROR(__xludf.DUMMYFUNCTION("""COMPUTED_VALUE"""),3.3496874E7)</f>
        <v>33496874</v>
      </c>
      <c r="G30" s="16">
        <f>IFERROR(__xludf.DUMMYFUNCTION("""COMPUTED_VALUE"""),2.0)</f>
        <v>2</v>
      </c>
      <c r="H30" s="10" t="str">
        <f>IFERROR(__xludf.DUMMYFUNCTION("""COMPUTED_VALUE"""),"↗️")</f>
        <v>↗️</v>
      </c>
      <c r="I30" s="13">
        <f>IFERROR(__xludf.DUMMYFUNCTION("""COMPUTED_VALUE"""),19937.0)</f>
        <v>19937</v>
      </c>
      <c r="J30" s="32">
        <f>IFERROR(__xludf.DUMMYFUNCTION("""COMPUTED_VALUE"""),45430.0)</f>
        <v>45430</v>
      </c>
      <c r="K30" s="8">
        <f>IFERROR(__xludf.DUMMYFUNCTION("""COMPUTED_VALUE"""),22.0)</f>
        <v>22</v>
      </c>
      <c r="L30" s="15" t="str">
        <f>IFERROR(__xludf.DUMMYFUNCTION("""COMPUTED_VALUE"""),"YES")</f>
        <v>YES</v>
      </c>
      <c r="M30" s="15" t="str">
        <f>IFERROR(__xludf.DUMMYFUNCTION("""COMPUTED_VALUE"""),"NYCT")</f>
        <v>NYCT</v>
      </c>
      <c r="N30" s="15" t="str">
        <f>IFERROR(__xludf.DUMMYFUNCTION("""COMPUTED_VALUE"""),"OK")</f>
        <v>OK</v>
      </c>
      <c r="O30" s="15" t="str">
        <f>IFERROR(__xludf.DUMMYFUNCTION("""COMPUTED_VALUE"""),"YES")</f>
        <v>YES</v>
      </c>
      <c r="P30" s="15" t="str">
        <f>IFERROR(__xludf.DUMMYFUNCTION("""COMPUTED_VALUE"""),"NO")</f>
        <v>NO</v>
      </c>
      <c r="Q30" s="15" t="str">
        <f>IFERROR(__xludf.DUMMYFUNCTION("""COMPUTED_VALUE"""),"NO")</f>
        <v>NO</v>
      </c>
      <c r="R30" s="15" t="str">
        <f>IFERROR(__xludf.DUMMYFUNCTION("""COMPUTED_VALUE"""),"40'")</f>
        <v>40'</v>
      </c>
      <c r="S30" s="15">
        <f>IFERROR(__xludf.DUMMYFUNCTION("""COMPUTED_VALUE"""),123.0)</f>
        <v>123</v>
      </c>
      <c r="T30" s="15">
        <f>IFERROR(__xludf.DUMMYFUNCTION("""COMPUTED_VALUE"""),40.0)</f>
        <v>40</v>
      </c>
      <c r="U30" s="15" t="str">
        <f>IFERROR(__xludf.DUMMYFUNCTION("""COMPUTED_VALUE"""),"main mezzanine to central mezzanine above 7 platform")</f>
        <v>main mezzanine to central mezzanine above 7 platform</v>
      </c>
      <c r="V30" s="15" t="str">
        <f>IFERROR(__xludf.DUMMYFUNCTION("""COMPUTED_VALUE"""),"POINT (-73.97644 40.7515)")</f>
        <v>POINT (-73.97644 40.7515)</v>
      </c>
    </row>
    <row r="31" ht="22.5" customHeight="1">
      <c r="A31" s="7" t="str">
        <f>IFERROR(__xludf.DUMMYFUNCTION("""COMPUTED_VALUE"""),"Grand Central-42 St")</f>
        <v>Grand Central-42 St</v>
      </c>
      <c r="B31" s="8" t="str">
        <f>IFERROR(__xludf.DUMMYFUNCTION("""COMPUTED_VALUE"""),"42nd St Line")</f>
        <v>42nd St Line</v>
      </c>
      <c r="C31" s="8" t="str">
        <f>IFERROR(__xludf.DUMMYFUNCTION("""COMPUTED_VALUE"""),"Manhattan")</f>
        <v>Manhattan</v>
      </c>
      <c r="D31" s="8" t="str">
        <f>IFERROR(__xludf.DUMMYFUNCTION("""COMPUTED_VALUE"""),"Midtown")</f>
        <v>Midtown</v>
      </c>
      <c r="E31" s="33">
        <f>IFERROR(__xludf.DUMMYFUNCTION("""COMPUTED_VALUE"""),1762.0)</f>
        <v>1762</v>
      </c>
      <c r="F31" s="10">
        <f>IFERROR(__xludf.DUMMYFUNCTION("""COMPUTED_VALUE"""),3.3496874E7)</f>
        <v>33496874</v>
      </c>
      <c r="G31" s="16">
        <f>IFERROR(__xludf.DUMMYFUNCTION("""COMPUTED_VALUE"""),2.0)</f>
        <v>2</v>
      </c>
      <c r="H31" s="10" t="str">
        <f>IFERROR(__xludf.DUMMYFUNCTION("""COMPUTED_VALUE"""),"↗️")</f>
        <v>↗️</v>
      </c>
      <c r="I31" s="13">
        <f>IFERROR(__xludf.DUMMYFUNCTION("""COMPUTED_VALUE"""),32690.0)</f>
        <v>32690</v>
      </c>
      <c r="J31" s="32">
        <f>IFERROR(__xludf.DUMMYFUNCTION("""COMPUTED_VALUE"""),43987.0)</f>
        <v>43987</v>
      </c>
      <c r="K31" s="8">
        <f>IFERROR(__xludf.DUMMYFUNCTION("""COMPUTED_VALUE"""),22.0)</f>
        <v>22</v>
      </c>
      <c r="L31" s="15" t="str">
        <f>IFERROR(__xludf.DUMMYFUNCTION("""COMPUTED_VALUE"""),"YES")</f>
        <v>YES</v>
      </c>
      <c r="M31" s="15" t="str">
        <f>IFERROR(__xludf.DUMMYFUNCTION("""COMPUTED_VALUE"""),"NYCT")</f>
        <v>NYCT</v>
      </c>
      <c r="N31" s="15" t="str">
        <f>IFERROR(__xludf.DUMMYFUNCTION("""COMPUTED_VALUE"""),"OK")</f>
        <v>OK</v>
      </c>
      <c r="O31" s="15" t="str">
        <f>IFERROR(__xludf.DUMMYFUNCTION("""COMPUTED_VALUE"""),"YES")</f>
        <v>YES</v>
      </c>
      <c r="P31" s="15" t="str">
        <f>IFERROR(__xludf.DUMMYFUNCTION("""COMPUTED_VALUE"""),"YES")</f>
        <v>YES</v>
      </c>
      <c r="Q31" s="15" t="str">
        <f>IFERROR(__xludf.DUMMYFUNCTION("""COMPUTED_VALUE"""),"NO")</f>
        <v>NO</v>
      </c>
      <c r="R31" s="15" t="str">
        <f>IFERROR(__xludf.DUMMYFUNCTION("""COMPUTED_VALUE"""),"18'")</f>
        <v>18'</v>
      </c>
      <c r="S31" s="15">
        <f>IFERROR(__xludf.DUMMYFUNCTION("""COMPUTED_VALUE"""),77.0)</f>
        <v>77</v>
      </c>
      <c r="T31" s="15">
        <f>IFERROR(__xludf.DUMMYFUNCTION("""COMPUTED_VALUE"""),40.0)</f>
        <v>40</v>
      </c>
      <c r="U31" s="15" t="str">
        <f>IFERROR(__xludf.DUMMYFUNCTION("""COMPUTED_VALUE"""),"42 St (between Park Ave &amp; Lexington Ave) to main mezzanine for access to 4/5/6/7/S service")</f>
        <v>42 St (between Park Ave &amp; Lexington Ave) to main mezzanine for access to 4/5/6/7/S service</v>
      </c>
      <c r="V31" s="15" t="str">
        <f>IFERROR(__xludf.DUMMYFUNCTION("""COMPUTED_VALUE"""),"POINT (-73.97695 40.752)")</f>
        <v>POINT (-73.97695 40.752)</v>
      </c>
    </row>
    <row r="32" ht="22.5" customHeight="1">
      <c r="A32" s="7" t="str">
        <f>IFERROR(__xludf.DUMMYFUNCTION("""COMPUTED_VALUE"""),"Roosevelt Island")</f>
        <v>Roosevelt Island</v>
      </c>
      <c r="B32" s="8" t="str">
        <f>IFERROR(__xludf.DUMMYFUNCTION("""COMPUTED_VALUE"""),"63rd St Line")</f>
        <v>63rd St Line</v>
      </c>
      <c r="C32" s="8" t="str">
        <f>IFERROR(__xludf.DUMMYFUNCTION("""COMPUTED_VALUE"""),"Manhattan")</f>
        <v>Manhattan</v>
      </c>
      <c r="D32" s="8" t="str">
        <f>IFERROR(__xludf.DUMMYFUNCTION("""COMPUTED_VALUE"""),"Roosevelt Island")</f>
        <v>Roosevelt Island</v>
      </c>
      <c r="E32" s="33">
        <f>IFERROR(__xludf.DUMMYFUNCTION("""COMPUTED_VALUE"""),32810.0)</f>
        <v>32810</v>
      </c>
      <c r="F32" s="10">
        <f>IFERROR(__xludf.DUMMYFUNCTION("""COMPUTED_VALUE"""),1885823.0)</f>
        <v>1885823</v>
      </c>
      <c r="G32" s="19">
        <f>IFERROR(__xludf.DUMMYFUNCTION("""COMPUTED_VALUE"""),171.0)</f>
        <v>171</v>
      </c>
      <c r="H32" s="10" t="str">
        <f>IFERROR(__xludf.DUMMYFUNCTION("""COMPUTED_VALUE"""),"↗️")</f>
        <v>↗️</v>
      </c>
      <c r="I32" s="13">
        <f>IFERROR(__xludf.DUMMYFUNCTION("""COMPUTED_VALUE"""),32782.0)</f>
        <v>32782</v>
      </c>
      <c r="J32" s="32">
        <f>IFERROR(__xludf.DUMMYFUNCTION("""COMPUTED_VALUE"""),39379.0)</f>
        <v>39379</v>
      </c>
      <c r="K32" s="8">
        <f>IFERROR(__xludf.DUMMYFUNCTION("""COMPUTED_VALUE"""),22.0)</f>
        <v>22</v>
      </c>
      <c r="L32" s="15" t="str">
        <f>IFERROR(__xludf.DUMMYFUNCTION("""COMPUTED_VALUE"""),"YES")</f>
        <v>YES</v>
      </c>
      <c r="M32" s="15" t="str">
        <f>IFERROR(__xludf.DUMMYFUNCTION("""COMPUTED_VALUE"""),"NYCT")</f>
        <v>NYCT</v>
      </c>
      <c r="N32" s="15" t="str">
        <f>IFERROR(__xludf.DUMMYFUNCTION("""COMPUTED_VALUE"""),"KONE")</f>
        <v>KONE</v>
      </c>
      <c r="O32" s="15" t="str">
        <f>IFERROR(__xludf.DUMMYFUNCTION("""COMPUTED_VALUE"""),"YES")</f>
        <v>YES</v>
      </c>
      <c r="P32" s="15" t="str">
        <f>IFERROR(__xludf.DUMMYFUNCTION("""COMPUTED_VALUE"""),"NO")</f>
        <v>NO</v>
      </c>
      <c r="Q32" s="15" t="str">
        <f>IFERROR(__xludf.DUMMYFUNCTION("""COMPUTED_VALUE"""),"NO")</f>
        <v>NO</v>
      </c>
      <c r="R32" s="15" t="str">
        <f>IFERROR(__xludf.DUMMYFUNCTION("""COMPUTED_VALUE"""),"14'")</f>
        <v>14'</v>
      </c>
      <c r="S32" s="15">
        <f>IFERROR(__xludf.DUMMYFUNCTION("""COMPUTED_VALUE"""),56.0)</f>
        <v>56</v>
      </c>
      <c r="T32" s="15">
        <f>IFERROR(__xludf.DUMMYFUNCTION("""COMPUTED_VALUE"""),40.0)</f>
        <v>40</v>
      </c>
      <c r="U32" s="15" t="str">
        <f>IFERROR(__xludf.DUMMYFUNCTION("""COMPUTED_VALUE"""),"Jamaica 179 St-bound platform to lower mezzanine")</f>
        <v>Jamaica 179 St-bound platform to lower mezzanine</v>
      </c>
      <c r="V32" s="15" t="str">
        <f>IFERROR(__xludf.DUMMYFUNCTION("""COMPUTED_VALUE"""),"POINT (-73.952415 40.75867)")</f>
        <v>POINT (-73.952415 40.75867)</v>
      </c>
    </row>
    <row r="33" ht="22.5" customHeight="1">
      <c r="A33" s="7" t="str">
        <f>IFERROR(__xludf.DUMMYFUNCTION("""COMPUTED_VALUE"""),"34 St-Hudson Yards")</f>
        <v>34 St-Hudson Yards</v>
      </c>
      <c r="B33" s="8" t="str">
        <f>IFERROR(__xludf.DUMMYFUNCTION("""COMPUTED_VALUE"""),"Flushing Line")</f>
        <v>Flushing Line</v>
      </c>
      <c r="C33" s="8" t="str">
        <f>IFERROR(__xludf.DUMMYFUNCTION("""COMPUTED_VALUE"""),"Manhattan")</f>
        <v>Manhattan</v>
      </c>
      <c r="D33" s="8" t="str">
        <f>IFERROR(__xludf.DUMMYFUNCTION("""COMPUTED_VALUE"""),"Hell's Kitchen")</f>
        <v>Hell's Kitchen</v>
      </c>
      <c r="E33" s="33">
        <f>IFERROR(__xludf.DUMMYFUNCTION("""COMPUTED_VALUE"""),42260.0)</f>
        <v>42260</v>
      </c>
      <c r="F33" s="10">
        <f>IFERROR(__xludf.DUMMYFUNCTION("""COMPUTED_VALUE"""),6082370.0)</f>
        <v>6082370</v>
      </c>
      <c r="G33" s="17">
        <f>IFERROR(__xludf.DUMMYFUNCTION("""COMPUTED_VALUE"""),39.0)</f>
        <v>39</v>
      </c>
      <c r="H33" s="31" t="str">
        <f>IFERROR(__xludf.DUMMYFUNCTION("""COMPUTED_VALUE"""),"↗️")</f>
        <v>↗️</v>
      </c>
      <c r="I33" s="13">
        <f>IFERROR(__xludf.DUMMYFUNCTION("""COMPUTED_VALUE"""),42260.0)</f>
        <v>42260</v>
      </c>
      <c r="J33" s="32">
        <f>IFERROR(__xludf.DUMMYFUNCTION("""COMPUTED_VALUE"""),42260.0)</f>
        <v>42260</v>
      </c>
      <c r="K33" s="8">
        <f>IFERROR(__xludf.DUMMYFUNCTION("""COMPUTED_VALUE"""),22.0)</f>
        <v>22</v>
      </c>
      <c r="L33" s="15" t="str">
        <f>IFERROR(__xludf.DUMMYFUNCTION("""COMPUTED_VALUE"""),"YES")</f>
        <v>YES</v>
      </c>
      <c r="M33" s="15" t="str">
        <f>IFERROR(__xludf.DUMMYFUNCTION("""COMPUTED_VALUE"""),"NYCT")</f>
        <v>NYCT</v>
      </c>
      <c r="N33" s="15" t="str">
        <f>IFERROR(__xludf.DUMMYFUNCTION("""COMPUTED_VALUE"""),"KONE")</f>
        <v>KONE</v>
      </c>
      <c r="O33" s="15" t="str">
        <f>IFERROR(__xludf.DUMMYFUNCTION("""COMPUTED_VALUE"""),"YES")</f>
        <v>YES</v>
      </c>
      <c r="P33" s="15" t="str">
        <f>IFERROR(__xludf.DUMMYFUNCTION("""COMPUTED_VALUE"""),"NO")</f>
        <v>NO</v>
      </c>
      <c r="Q33" s="15" t="str">
        <f>IFERROR(__xludf.DUMMYFUNCTION("""COMPUTED_VALUE"""),"NO")</f>
        <v>NO</v>
      </c>
      <c r="R33" s="15" t="str">
        <f>IFERROR(__xludf.DUMMYFUNCTION("""COMPUTED_VALUE"""),"24,892 mm (81' 8in)")</f>
        <v>24,892 mm (81' 8in)</v>
      </c>
      <c r="S33" s="15">
        <f>IFERROR(__xludf.DUMMYFUNCTION("""COMPUTED_VALUE"""),283.0)</f>
        <v>283</v>
      </c>
      <c r="T33" s="15" t="str">
        <f>IFERROR(__xludf.DUMMYFUNCTION("""COMPUTED_VALUE"""),"1000 mm (40in)")</f>
        <v>1000 mm (40in)</v>
      </c>
      <c r="U33" s="15" t="str">
        <f>IFERROR(__xludf.DUMMYFUNCTION("""COMPUTED_VALUE"""),"lower mezzanine to upper mezzanine for Hudson Blvd E exit (between 33 St &amp; 34 St)")</f>
        <v>lower mezzanine to upper mezzanine for Hudson Blvd E exit (between 33 St &amp; 34 St)</v>
      </c>
      <c r="V33" s="15" t="str">
        <f>IFERROR(__xludf.DUMMYFUNCTION("""COMPUTED_VALUE"""),"POINT (-74.00191 40.755207)")</f>
        <v>POINT (-74.00191 40.755207)</v>
      </c>
    </row>
    <row r="34" ht="22.5" customHeight="1">
      <c r="A34" s="7" t="str">
        <f>IFERROR(__xludf.DUMMYFUNCTION("""COMPUTED_VALUE"""),"Brighton Beach")</f>
        <v>Brighton Beach</v>
      </c>
      <c r="B34" s="8" t="str">
        <f>IFERROR(__xludf.DUMMYFUNCTION("""COMPUTED_VALUE"""),"Brighton Line")</f>
        <v>Brighton Line</v>
      </c>
      <c r="C34" s="8" t="str">
        <f>IFERROR(__xludf.DUMMYFUNCTION("""COMPUTED_VALUE"""),"Brooklyn")</f>
        <v>Brooklyn</v>
      </c>
      <c r="D34" s="8" t="str">
        <f>IFERROR(__xludf.DUMMYFUNCTION("""COMPUTED_VALUE"""),"Brighton Beach")</f>
        <v>Brighton Beach</v>
      </c>
      <c r="E34" s="33">
        <f>IFERROR(__xludf.DUMMYFUNCTION("""COMPUTED_VALUE"""),2792.0)</f>
        <v>2792</v>
      </c>
      <c r="F34" s="8">
        <f>IFERROR(__xludf.DUMMYFUNCTION("""COMPUTED_VALUE"""),2493646.0)</f>
        <v>2493646</v>
      </c>
      <c r="G34" s="17">
        <f>IFERROR(__xludf.DUMMYFUNCTION("""COMPUTED_VALUE"""),137.0)</f>
        <v>137</v>
      </c>
      <c r="H34" s="31" t="str">
        <f>IFERROR(__xludf.DUMMYFUNCTION("""COMPUTED_VALUE"""),"↗️")</f>
        <v>↗️</v>
      </c>
      <c r="I34" s="13">
        <f>IFERROR(__xludf.DUMMYFUNCTION("""COMPUTED_VALUE"""),29677.0)</f>
        <v>29677</v>
      </c>
      <c r="J34" s="32">
        <f>IFERROR(__xludf.DUMMYFUNCTION("""COMPUTED_VALUE"""),37504.0)</f>
        <v>37504</v>
      </c>
      <c r="K34" s="8">
        <f>IFERROR(__xludf.DUMMYFUNCTION("""COMPUTED_VALUE"""),22.0)</f>
        <v>22</v>
      </c>
      <c r="L34" s="15" t="str">
        <f>IFERROR(__xludf.DUMMYFUNCTION("""COMPUTED_VALUE"""),"YES")</f>
        <v>YES</v>
      </c>
      <c r="M34" s="15" t="str">
        <f>IFERROR(__xludf.DUMMYFUNCTION("""COMPUTED_VALUE"""),"NYCT")</f>
        <v>NYCT</v>
      </c>
      <c r="N34" s="15" t="str">
        <f>IFERROR(__xludf.DUMMYFUNCTION("""COMPUTED_VALUE"""),"FUJITEC")</f>
        <v>FUJITEC</v>
      </c>
      <c r="O34" s="15" t="str">
        <f>IFERROR(__xludf.DUMMYFUNCTION("""COMPUTED_VALUE"""),"YES")</f>
        <v>YES</v>
      </c>
      <c r="P34" s="15" t="str">
        <f>IFERROR(__xludf.DUMMYFUNCTION("""COMPUTED_VALUE"""),"YES")</f>
        <v>YES</v>
      </c>
      <c r="Q34" s="15" t="str">
        <f>IFERROR(__xludf.DUMMYFUNCTION("""COMPUTED_VALUE"""),"YES")</f>
        <v>YES</v>
      </c>
      <c r="R34" s="15" t="str">
        <f>IFERROR(__xludf.DUMMYFUNCTION("""COMPUTED_VALUE"""),"14'")</f>
        <v>14'</v>
      </c>
      <c r="S34" s="15">
        <f>IFERROR(__xludf.DUMMYFUNCTION("""COMPUTED_VALUE"""),59.0)</f>
        <v>59</v>
      </c>
      <c r="T34" s="15">
        <f>IFERROR(__xludf.DUMMYFUNCTION("""COMPUTED_VALUE"""),24.0)</f>
        <v>24</v>
      </c>
      <c r="U34" s="15" t="str">
        <f>IFERROR(__xludf.DUMMYFUNCTION("""COMPUTED_VALUE"""),"Brighton 7 St &amp; Brighton Beach Ave (NE corner) to mezzanine")</f>
        <v>Brighton 7 St &amp; Brighton Beach Ave (NE corner) to mezzanine</v>
      </c>
      <c r="V34" s="15" t="str">
        <f>IFERROR(__xludf.DUMMYFUNCTION("""COMPUTED_VALUE"""),"POINT (-73.96028 40.57797)")</f>
        <v>POINT (-73.96028 40.57797)</v>
      </c>
    </row>
    <row r="35" ht="22.5" customHeight="1">
      <c r="A35" s="7" t="str">
        <f>IFERROR(__xludf.DUMMYFUNCTION("""COMPUTED_VALUE"""),"Jay St-Metro Tech")</f>
        <v>Jay St-Metro Tech</v>
      </c>
      <c r="B35" s="8" t="str">
        <f>IFERROR(__xludf.DUMMYFUNCTION("""COMPUTED_VALUE"""),"")</f>
        <v/>
      </c>
      <c r="C35" s="8" t="str">
        <f>IFERROR(__xludf.DUMMYFUNCTION("""COMPUTED_VALUE"""),"")</f>
        <v/>
      </c>
      <c r="D35" s="8" t="str">
        <f>IFERROR(__xludf.DUMMYFUNCTION("""COMPUTED_VALUE"""),"")</f>
        <v/>
      </c>
      <c r="E35" s="33" t="str">
        <f>IFERROR(__xludf.DUMMYFUNCTION("""COMPUTED_VALUE"""),"")</f>
        <v/>
      </c>
      <c r="F35" s="8" t="str">
        <f>IFERROR(__xludf.DUMMYFUNCTION("""COMPUTED_VALUE"""),"")</f>
        <v/>
      </c>
      <c r="G35" s="17" t="str">
        <f>IFERROR(__xludf.DUMMYFUNCTION("""COMPUTED_VALUE"""),"")</f>
        <v/>
      </c>
      <c r="H35" s="10" t="str">
        <f>IFERROR(__xludf.DUMMYFUNCTION("""COMPUTED_VALUE"""),"↗️")</f>
        <v>↗️</v>
      </c>
      <c r="I35" s="13">
        <f>IFERROR(__xludf.DUMMYFUNCTION("""COMPUTED_VALUE"""),21306.0)</f>
        <v>21306</v>
      </c>
      <c r="J35" s="32">
        <f>IFERROR(__xludf.DUMMYFUNCTION("""COMPUTED_VALUE"""),44273.0)</f>
        <v>44273</v>
      </c>
      <c r="K35" s="8">
        <f>IFERROR(__xludf.DUMMYFUNCTION("""COMPUTED_VALUE"""),22.0)</f>
        <v>22</v>
      </c>
      <c r="L35" s="15" t="str">
        <f>IFERROR(__xludf.DUMMYFUNCTION("""COMPUTED_VALUE"""),"YES")</f>
        <v>YES</v>
      </c>
      <c r="M35" s="15" t="str">
        <f>IFERROR(__xludf.DUMMYFUNCTION("""COMPUTED_VALUE"""),"NYCT")</f>
        <v>NYCT</v>
      </c>
      <c r="N35" s="15" t="str">
        <f>IFERROR(__xludf.DUMMYFUNCTION("""COMPUTED_VALUE"""),"OK")</f>
        <v>OK</v>
      </c>
      <c r="O35" s="15" t="str">
        <f>IFERROR(__xludf.DUMMYFUNCTION("""COMPUTED_VALUE"""),"YES")</f>
        <v>YES</v>
      </c>
      <c r="P35" s="15" t="str">
        <f>IFERROR(__xludf.DUMMYFUNCTION("""COMPUTED_VALUE"""),"YES")</f>
        <v>YES</v>
      </c>
      <c r="Q35" s="15" t="str">
        <f>IFERROR(__xludf.DUMMYFUNCTION("""COMPUTED_VALUE"""),"YES")</f>
        <v>YES</v>
      </c>
      <c r="R35" s="15" t="str">
        <f>IFERROR(__xludf.DUMMYFUNCTION("""COMPUTED_VALUE"""),"21'")</f>
        <v>21'</v>
      </c>
      <c r="S35" s="15">
        <f>IFERROR(__xludf.DUMMYFUNCTION("""COMPUTED_VALUE"""),78.0)</f>
        <v>78</v>
      </c>
      <c r="T35" s="15">
        <f>IFERROR(__xludf.DUMMYFUNCTION("""COMPUTED_VALUE"""),40.0)</f>
        <v>40</v>
      </c>
      <c r="U35" s="15" t="str">
        <f>IFERROR(__xludf.DUMMYFUNCTION("""COMPUTED_VALUE"""),"A/C/F/R mezzanine to Jay St &amp; Willoughby St (NW corner)")</f>
        <v>A/C/F/R mezzanine to Jay St &amp; Willoughby St (NW corner)</v>
      </c>
      <c r="V35" s="15" t="str">
        <f>IFERROR(__xludf.DUMMYFUNCTION("""COMPUTED_VALUE"""),"POINT (-73.98754 40.6924)")</f>
        <v>POINT (-73.98754 40.6924)</v>
      </c>
    </row>
    <row r="36" ht="22.5" customHeight="1">
      <c r="A36" s="7" t="str">
        <f>IFERROR(__xludf.DUMMYFUNCTION("""COMPUTED_VALUE"""),"Bowling Green")</f>
        <v>Bowling Green</v>
      </c>
      <c r="B36" s="8" t="str">
        <f>IFERROR(__xludf.DUMMYFUNCTION("""COMPUTED_VALUE"""),"Lexington Av Line")</f>
        <v>Lexington Av Line</v>
      </c>
      <c r="C36" s="8" t="str">
        <f>IFERROR(__xludf.DUMMYFUNCTION("""COMPUTED_VALUE"""),"Manhattan")</f>
        <v>Manhattan</v>
      </c>
      <c r="D36" s="8" t="str">
        <f>IFERROR(__xludf.DUMMYFUNCTION("""COMPUTED_VALUE"""),"Financial District")</f>
        <v>Financial District</v>
      </c>
      <c r="E36" s="33">
        <f>IFERROR(__xludf.DUMMYFUNCTION("""COMPUTED_VALUE"""),2018.0)</f>
        <v>2018</v>
      </c>
      <c r="F36" s="8">
        <f>IFERROR(__xludf.DUMMYFUNCTION("""COMPUTED_VALUE"""),4676646.0)</f>
        <v>4676646</v>
      </c>
      <c r="G36" s="17">
        <f>IFERROR(__xludf.DUMMYFUNCTION("""COMPUTED_VALUE"""),62.0)</f>
        <v>62</v>
      </c>
      <c r="H36" s="10" t="str">
        <f>IFERROR(__xludf.DUMMYFUNCTION("""COMPUTED_VALUE"""),"↗️")</f>
        <v>↗️</v>
      </c>
      <c r="I36" s="13">
        <f>IFERROR(__xludf.DUMMYFUNCTION("""COMPUTED_VALUE"""),28216.0)</f>
        <v>28216</v>
      </c>
      <c r="J36" s="32">
        <f>IFERROR(__xludf.DUMMYFUNCTION("""COMPUTED_VALUE"""),45231.0)</f>
        <v>45231</v>
      </c>
      <c r="K36" s="8">
        <f>IFERROR(__xludf.DUMMYFUNCTION("""COMPUTED_VALUE"""),22.0)</f>
        <v>22</v>
      </c>
      <c r="L36" s="15" t="str">
        <f>IFERROR(__xludf.DUMMYFUNCTION("""COMPUTED_VALUE"""),"YES")</f>
        <v>YES</v>
      </c>
      <c r="M36" s="15" t="str">
        <f>IFERROR(__xludf.DUMMYFUNCTION("""COMPUTED_VALUE"""),"NYCT")</f>
        <v>NYCT</v>
      </c>
      <c r="N36" s="15" t="str">
        <f>IFERROR(__xludf.DUMMYFUNCTION("""COMPUTED_VALUE"""),"KONE")</f>
        <v>KONE</v>
      </c>
      <c r="O36" s="15" t="str">
        <f>IFERROR(__xludf.DUMMYFUNCTION("""COMPUTED_VALUE"""),"YES")</f>
        <v>YES</v>
      </c>
      <c r="P36" s="15" t="str">
        <f>IFERROR(__xludf.DUMMYFUNCTION("""COMPUTED_VALUE"""),"YES")</f>
        <v>YES</v>
      </c>
      <c r="Q36" s="15" t="str">
        <f>IFERROR(__xludf.DUMMYFUNCTION("""COMPUTED_VALUE"""),"YES")</f>
        <v>YES</v>
      </c>
      <c r="R36" s="15" t="str">
        <f>IFERROR(__xludf.DUMMYFUNCTION("""COMPUTED_VALUE"""),"16'")</f>
        <v>16'</v>
      </c>
      <c r="S36" s="15">
        <f>IFERROR(__xludf.DUMMYFUNCTION("""COMPUTED_VALUE"""),67.0)</f>
        <v>67</v>
      </c>
      <c r="T36" s="15">
        <f>IFERROR(__xludf.DUMMYFUNCTION("""COMPUTED_VALUE"""),40.0)</f>
        <v>40</v>
      </c>
      <c r="U36" s="15" t="str">
        <f>IFERROR(__xludf.DUMMYFUNCTION("""COMPUTED_VALUE"""),"uptown 4/5 mezzanine to Bowling Green Park on Whitehall St")</f>
        <v>uptown 4/5 mezzanine to Bowling Green Park on Whitehall St</v>
      </c>
      <c r="V36" s="15" t="str">
        <f>IFERROR(__xludf.DUMMYFUNCTION("""COMPUTED_VALUE"""),"POINT (-74.01359 40.70465)")</f>
        <v>POINT (-74.01359 40.70465)</v>
      </c>
    </row>
    <row r="37" ht="22.5" customHeight="1">
      <c r="A37" s="7" t="str">
        <f>IFERROR(__xludf.DUMMYFUNCTION("""COMPUTED_VALUE"""),"34 St-Hudson Yards")</f>
        <v>34 St-Hudson Yards</v>
      </c>
      <c r="B37" s="8" t="str">
        <f>IFERROR(__xludf.DUMMYFUNCTION("""COMPUTED_VALUE"""),"Flushing Line")</f>
        <v>Flushing Line</v>
      </c>
      <c r="C37" s="8" t="str">
        <f>IFERROR(__xludf.DUMMYFUNCTION("""COMPUTED_VALUE"""),"Manhattan")</f>
        <v>Manhattan</v>
      </c>
      <c r="D37" s="8" t="str">
        <f>IFERROR(__xludf.DUMMYFUNCTION("""COMPUTED_VALUE"""),"Hell's Kitchen")</f>
        <v>Hell's Kitchen</v>
      </c>
      <c r="E37" s="33">
        <f>IFERROR(__xludf.DUMMYFUNCTION("""COMPUTED_VALUE"""),42260.0)</f>
        <v>42260</v>
      </c>
      <c r="F37" s="10">
        <f>IFERROR(__xludf.DUMMYFUNCTION("""COMPUTED_VALUE"""),6082370.0)</f>
        <v>6082370</v>
      </c>
      <c r="G37" s="19">
        <f>IFERROR(__xludf.DUMMYFUNCTION("""COMPUTED_VALUE"""),39.0)</f>
        <v>39</v>
      </c>
      <c r="H37" s="10" t="str">
        <f>IFERROR(__xludf.DUMMYFUNCTION("""COMPUTED_VALUE"""),"↗️")</f>
        <v>↗️</v>
      </c>
      <c r="I37" s="13">
        <f>IFERROR(__xludf.DUMMYFUNCTION("""COMPUTED_VALUE"""),43343.0)</f>
        <v>43343</v>
      </c>
      <c r="J37" s="32">
        <f>IFERROR(__xludf.DUMMYFUNCTION("""COMPUTED_VALUE"""),43343.0)</f>
        <v>43343</v>
      </c>
      <c r="K37" s="8">
        <f>IFERROR(__xludf.DUMMYFUNCTION("""COMPUTED_VALUE"""),22.0)</f>
        <v>22</v>
      </c>
      <c r="L37" s="15" t="str">
        <f>IFERROR(__xludf.DUMMYFUNCTION("""COMPUTED_VALUE"""),"YES")</f>
        <v>YES</v>
      </c>
      <c r="M37" s="15" t="str">
        <f>IFERROR(__xludf.DUMMYFUNCTION("""COMPUTED_VALUE"""),"NYCT")</f>
        <v>NYCT</v>
      </c>
      <c r="N37" s="15" t="str">
        <f>IFERROR(__xludf.DUMMYFUNCTION("""COMPUTED_VALUE"""),"SCHINDLER")</f>
        <v>SCHINDLER</v>
      </c>
      <c r="O37" s="15" t="str">
        <f>IFERROR(__xludf.DUMMYFUNCTION("""COMPUTED_VALUE"""),"YES")</f>
        <v>YES</v>
      </c>
      <c r="P37" s="15" t="str">
        <f>IFERROR(__xludf.DUMMYFUNCTION("""COMPUTED_VALUE"""),"NO")</f>
        <v>NO</v>
      </c>
      <c r="Q37" s="15" t="str">
        <f>IFERROR(__xludf.DUMMYFUNCTION("""COMPUTED_VALUE"""),"NO")</f>
        <v>NO</v>
      </c>
      <c r="R37" s="15" t="str">
        <f>IFERROR(__xludf.DUMMYFUNCTION("""COMPUTED_VALUE"""),"28'")</f>
        <v>28'</v>
      </c>
      <c r="S37" s="15">
        <f>IFERROR(__xludf.DUMMYFUNCTION("""COMPUTED_VALUE"""),109.0)</f>
        <v>109</v>
      </c>
      <c r="T37" s="15">
        <f>IFERROR(__xludf.DUMMYFUNCTION("""COMPUTED_VALUE"""),24.0)</f>
        <v>24</v>
      </c>
      <c r="U37" s="15" t="str">
        <f>IFERROR(__xludf.DUMMYFUNCTION("""COMPUTED_VALUE"""),"upper mezzanine (Hudson Blvd E &amp; 35 St) to lower mezzanine")</f>
        <v>upper mezzanine (Hudson Blvd E &amp; 35 St) to lower mezzanine</v>
      </c>
      <c r="V37" s="15" t="str">
        <f>IFERROR(__xludf.DUMMYFUNCTION("""COMPUTED_VALUE"""),"POINT (-74.001144 40.75607)")</f>
        <v>POINT (-74.001144 40.75607)</v>
      </c>
    </row>
    <row r="38" ht="22.5" customHeight="1">
      <c r="A38" s="7" t="str">
        <f>IFERROR(__xludf.DUMMYFUNCTION("""COMPUTED_VALUE"""),"President St-Medgar Evers College")</f>
        <v>President St-Medgar Evers College</v>
      </c>
      <c r="B38" s="8" t="str">
        <f>IFERROR(__xludf.DUMMYFUNCTION("""COMPUTED_VALUE"""),"Nostrand Av Line")</f>
        <v>Nostrand Av Line</v>
      </c>
      <c r="C38" s="8" t="str">
        <f>IFERROR(__xludf.DUMMYFUNCTION("""COMPUTED_VALUE"""),"Brooklyn")</f>
        <v>Brooklyn</v>
      </c>
      <c r="D38" s="8" t="str">
        <f>IFERROR(__xludf.DUMMYFUNCTION("""COMPUTED_VALUE"""),"Crown Heights")</f>
        <v>Crown Heights</v>
      </c>
      <c r="E38" s="33">
        <f>IFERROR(__xludf.DUMMYFUNCTION("""COMPUTED_VALUE"""),7541.0)</f>
        <v>7541</v>
      </c>
      <c r="F38" s="10">
        <f>IFERROR(__xludf.DUMMYFUNCTION("""COMPUTED_VALUE"""),749838.0)</f>
        <v>749838</v>
      </c>
      <c r="G38" s="17">
        <f>IFERROR(__xludf.DUMMYFUNCTION("""COMPUTED_VALUE"""),338.0)</f>
        <v>338</v>
      </c>
      <c r="H38" s="31" t="str">
        <f>IFERROR(__xludf.DUMMYFUNCTION("""COMPUTED_VALUE"""),"↗️")</f>
        <v>↗️</v>
      </c>
      <c r="I38" s="13">
        <f>IFERROR(__xludf.DUMMYFUNCTION("""COMPUTED_VALUE"""),14255.0)</f>
        <v>14255</v>
      </c>
      <c r="J38" s="32">
        <f>IFERROR(__xludf.DUMMYFUNCTION("""COMPUTED_VALUE"""),37336.0)</f>
        <v>37336</v>
      </c>
      <c r="K38" s="8">
        <f>IFERROR(__xludf.DUMMYFUNCTION("""COMPUTED_VALUE"""),22.0)</f>
        <v>22</v>
      </c>
      <c r="L38" s="15" t="str">
        <f>IFERROR(__xludf.DUMMYFUNCTION("""COMPUTED_VALUE"""),"YES")</f>
        <v>YES</v>
      </c>
      <c r="M38" s="15" t="str">
        <f>IFERROR(__xludf.DUMMYFUNCTION("""COMPUTED_VALUE"""),"NYCT")</f>
        <v>NYCT</v>
      </c>
      <c r="N38" s="15" t="str">
        <f>IFERROR(__xludf.DUMMYFUNCTION("""COMPUTED_VALUE"""),"FUJITEC")</f>
        <v>FUJITEC</v>
      </c>
      <c r="O38" s="15" t="str">
        <f>IFERROR(__xludf.DUMMYFUNCTION("""COMPUTED_VALUE"""),"YES")</f>
        <v>YES</v>
      </c>
      <c r="P38" s="15" t="str">
        <f>IFERROR(__xludf.DUMMYFUNCTION("""COMPUTED_VALUE"""),"NO")</f>
        <v>NO</v>
      </c>
      <c r="Q38" s="15" t="str">
        <f>IFERROR(__xludf.DUMMYFUNCTION("""COMPUTED_VALUE"""),"NO")</f>
        <v>NO</v>
      </c>
      <c r="R38" s="15" t="str">
        <f>IFERROR(__xludf.DUMMYFUNCTION("""COMPUTED_VALUE"""),"23'")</f>
        <v>23'</v>
      </c>
      <c r="S38" s="15">
        <f>IFERROR(__xludf.DUMMYFUNCTION("""COMPUTED_VALUE"""),84.0)</f>
        <v>84</v>
      </c>
      <c r="T38" s="15">
        <f>IFERROR(__xludf.DUMMYFUNCTION("""COMPUTED_VALUE"""),40.0)</f>
        <v>40</v>
      </c>
      <c r="U38" s="15" t="str">
        <f>IFERROR(__xludf.DUMMYFUNCTION("""COMPUTED_VALUE"""),"platform to mezzanine for President St &amp; Nostrand Ave exit")</f>
        <v>platform to mezzanine for President St &amp; Nostrand Ave exit</v>
      </c>
      <c r="V38" s="15" t="str">
        <f>IFERROR(__xludf.DUMMYFUNCTION("""COMPUTED_VALUE"""),"POINT (-73.95068 40.667908)")</f>
        <v>POINT (-73.95068 40.667908)</v>
      </c>
    </row>
    <row r="39" ht="22.5" customHeight="1">
      <c r="A39" s="7" t="str">
        <f>IFERROR(__xludf.DUMMYFUNCTION("""COMPUTED_VALUE"""),"86 St")</f>
        <v>86 St</v>
      </c>
      <c r="B39" s="8" t="str">
        <f>IFERROR(__xludf.DUMMYFUNCTION("""COMPUTED_VALUE"""),"4 Av Line")</f>
        <v>4 Av Line</v>
      </c>
      <c r="C39" s="8" t="str">
        <f>IFERROR(__xludf.DUMMYFUNCTION("""COMPUTED_VALUE"""),"Brooklyn")</f>
        <v>Brooklyn</v>
      </c>
      <c r="D39" s="8" t="str">
        <f>IFERROR(__xludf.DUMMYFUNCTION("""COMPUTED_VALUE"""),"Bay Ridge")</f>
        <v>Bay Ridge</v>
      </c>
      <c r="E39" s="33">
        <f>IFERROR(__xludf.DUMMYFUNCTION("""COMPUTED_VALUE"""),5859.0)</f>
        <v>5859</v>
      </c>
      <c r="F39" s="10">
        <f>IFERROR(__xludf.DUMMYFUNCTION("""COMPUTED_VALUE"""),2580130.0)</f>
        <v>2580130</v>
      </c>
      <c r="G39" s="17">
        <f>IFERROR(__xludf.DUMMYFUNCTION("""COMPUTED_VALUE"""),135.0)</f>
        <v>135</v>
      </c>
      <c r="H39" s="31" t="str">
        <f>IFERROR(__xludf.DUMMYFUNCTION("""COMPUTED_VALUE"""),"↗️")</f>
        <v>↗️</v>
      </c>
      <c r="I39" s="13">
        <f>IFERROR(__xludf.DUMMYFUNCTION("""COMPUTED_VALUE"""),42736.0)</f>
        <v>42736</v>
      </c>
      <c r="J39" s="32">
        <f>IFERROR(__xludf.DUMMYFUNCTION("""COMPUTED_VALUE"""),42736.0)</f>
        <v>42736</v>
      </c>
      <c r="K39" s="8">
        <f>IFERROR(__xludf.DUMMYFUNCTION("""COMPUTED_VALUE"""),22.0)</f>
        <v>22</v>
      </c>
      <c r="L39" s="15" t="str">
        <f>IFERROR(__xludf.DUMMYFUNCTION("""COMPUTED_VALUE"""),"YES")</f>
        <v>YES</v>
      </c>
      <c r="M39" s="15" t="str">
        <f>IFERROR(__xludf.DUMMYFUNCTION("""COMPUTED_VALUE"""),"NYCT")</f>
        <v>NYCT</v>
      </c>
      <c r="N39" s="15" t="str">
        <f>IFERROR(__xludf.DUMMYFUNCTION("""COMPUTED_VALUE"""),"KONE")</f>
        <v>KONE</v>
      </c>
      <c r="O39" s="15" t="str">
        <f>IFERROR(__xludf.DUMMYFUNCTION("""COMPUTED_VALUE"""),"YES")</f>
        <v>YES</v>
      </c>
      <c r="P39" s="15" t="str">
        <f>IFERROR(__xludf.DUMMYFUNCTION("""COMPUTED_VALUE"""),"NO")</f>
        <v>NO</v>
      </c>
      <c r="Q39" s="15" t="str">
        <f>IFERROR(__xludf.DUMMYFUNCTION("""COMPUTED_VALUE"""),"NO")</f>
        <v>NO</v>
      </c>
      <c r="R39" s="15" t="str">
        <f>IFERROR(__xludf.DUMMYFUNCTION("""COMPUTED_VALUE"""),"13719 mm (45' 0 1/8in)")</f>
        <v>13719 mm (45' 0 1/8in)</v>
      </c>
      <c r="S39" s="15">
        <f>IFERROR(__xludf.DUMMYFUNCTION("""COMPUTED_VALUE"""),164.0)</f>
        <v>164</v>
      </c>
      <c r="T39" s="15" t="str">
        <f>IFERROR(__xludf.DUMMYFUNCTION("""COMPUTED_VALUE"""),"40in (NOMINAL), 996 mm")</f>
        <v>40in (NOMINAL), 996 mm</v>
      </c>
      <c r="U39" s="15" t="str">
        <f>IFERROR(__xludf.DUMMYFUNCTION("""COMPUTED_VALUE"""),"upper mezzanine (86 St &amp; 2nd Ave) to lower mezzanine")</f>
        <v>upper mezzanine (86 St &amp; 2nd Ave) to lower mezzanine</v>
      </c>
      <c r="V39" s="15" t="str">
        <f>IFERROR(__xludf.DUMMYFUNCTION("""COMPUTED_VALUE"""),"POINT (-73.951416 40.77767)")</f>
        <v>POINT (-73.951416 40.77767)</v>
      </c>
    </row>
    <row r="40" ht="22.5" customHeight="1">
      <c r="A40" s="7" t="str">
        <f>IFERROR(__xludf.DUMMYFUNCTION("""COMPUTED_VALUE"""),"72 St")</f>
        <v>72 St</v>
      </c>
      <c r="B40" s="8" t="str">
        <f>IFERROR(__xludf.DUMMYFUNCTION("""COMPUTED_VALUE"""),"Broadway-7 Av Line")</f>
        <v>Broadway-7 Av Line</v>
      </c>
      <c r="C40" s="8" t="str">
        <f>IFERROR(__xludf.DUMMYFUNCTION("""COMPUTED_VALUE"""),"Manhattan")</f>
        <v>Manhattan</v>
      </c>
      <c r="D40" s="8" t="str">
        <f>IFERROR(__xludf.DUMMYFUNCTION("""COMPUTED_VALUE"""),"Upper West Side")</f>
        <v>Upper West Side</v>
      </c>
      <c r="E40" s="33">
        <f>IFERROR(__xludf.DUMMYFUNCTION("""COMPUTED_VALUE"""),1762.0)</f>
        <v>1762</v>
      </c>
      <c r="F40" s="10">
        <f>IFERROR(__xludf.DUMMYFUNCTION("""COMPUTED_VALUE"""),9752193.0)</f>
        <v>9752193</v>
      </c>
      <c r="G40" s="19">
        <f>IFERROR(__xludf.DUMMYFUNCTION("""COMPUTED_VALUE"""),22.0)</f>
        <v>22</v>
      </c>
      <c r="H40" s="10" t="str">
        <f>IFERROR(__xludf.DUMMYFUNCTION("""COMPUTED_VALUE"""),"↗️")</f>
        <v>↗️</v>
      </c>
      <c r="I40" s="13">
        <f>IFERROR(__xludf.DUMMYFUNCTION("""COMPUTED_VALUE"""),42736.0)</f>
        <v>42736</v>
      </c>
      <c r="J40" s="32">
        <f>IFERROR(__xludf.DUMMYFUNCTION("""COMPUTED_VALUE"""),42736.0)</f>
        <v>42736</v>
      </c>
      <c r="K40" s="8">
        <f>IFERROR(__xludf.DUMMYFUNCTION("""COMPUTED_VALUE"""),22.0)</f>
        <v>22</v>
      </c>
      <c r="L40" s="15" t="str">
        <f>IFERROR(__xludf.DUMMYFUNCTION("""COMPUTED_VALUE"""),"YES")</f>
        <v>YES</v>
      </c>
      <c r="M40" s="15" t="str">
        <f>IFERROR(__xludf.DUMMYFUNCTION("""COMPUTED_VALUE"""),"NYCT")</f>
        <v>NYCT</v>
      </c>
      <c r="N40" s="15" t="str">
        <f>IFERROR(__xludf.DUMMYFUNCTION("""COMPUTED_VALUE"""),"SCHINDLER")</f>
        <v>SCHINDLER</v>
      </c>
      <c r="O40" s="15" t="str">
        <f>IFERROR(__xludf.DUMMYFUNCTION("""COMPUTED_VALUE"""),"YES")</f>
        <v>YES</v>
      </c>
      <c r="P40" s="15" t="str">
        <f>IFERROR(__xludf.DUMMYFUNCTION("""COMPUTED_VALUE"""),"NO")</f>
        <v>NO</v>
      </c>
      <c r="Q40" s="15" t="str">
        <f>IFERROR(__xludf.DUMMYFUNCTION("""COMPUTED_VALUE"""),"NO")</f>
        <v>NO</v>
      </c>
      <c r="R40" s="15" t="str">
        <f>IFERROR(__xludf.DUMMYFUNCTION("""COMPUTED_VALUE"""),"4953 mm (16' 1/4in)")</f>
        <v>4953 mm (16' 1/4in)</v>
      </c>
      <c r="S40" s="15">
        <f>IFERROR(__xludf.DUMMYFUNCTION("""COMPUTED_VALUE"""),0.0)</f>
        <v>0</v>
      </c>
      <c r="T40" s="15"/>
      <c r="U40" s="15" t="str">
        <f>IFERROR(__xludf.DUMMYFUNCTION("""COMPUTED_VALUE"""),"platform to lower mezzanine")</f>
        <v>platform to lower mezzanine</v>
      </c>
      <c r="V40" s="15" t="str">
        <f>IFERROR(__xludf.DUMMYFUNCTION("""COMPUTED_VALUE"""),"POINT (-73.959206 40.76762)")</f>
        <v>POINT (-73.959206 40.76762)</v>
      </c>
    </row>
    <row r="41" ht="22.5" customHeight="1">
      <c r="A41" s="7" t="str">
        <f>IFERROR(__xludf.DUMMYFUNCTION("""COMPUTED_VALUE"""),"34 St-Herald Sq")</f>
        <v>34 St-Herald Sq</v>
      </c>
      <c r="B41" s="8" t="str">
        <f>IFERROR(__xludf.DUMMYFUNCTION("""COMPUTED_VALUE"""),"Broadway Line")</f>
        <v>Broadway Line</v>
      </c>
      <c r="C41" s="8" t="str">
        <f>IFERROR(__xludf.DUMMYFUNCTION("""COMPUTED_VALUE"""),"Manhattan")</f>
        <v>Manhattan</v>
      </c>
      <c r="D41" s="8" t="str">
        <f>IFERROR(__xludf.DUMMYFUNCTION("""COMPUTED_VALUE"""),"Midtown")</f>
        <v>Midtown</v>
      </c>
      <c r="E41" s="33">
        <f>IFERROR(__xludf.DUMMYFUNCTION("""COMPUTED_VALUE"""),6580.0)</f>
        <v>6580</v>
      </c>
      <c r="F41" s="10">
        <f>IFERROR(__xludf.DUMMYFUNCTION("""COMPUTED_VALUE"""),2.5012549E7)</f>
        <v>25012549</v>
      </c>
      <c r="G41" s="19">
        <f>IFERROR(__xludf.DUMMYFUNCTION("""COMPUTED_VALUE"""),3.0)</f>
        <v>3</v>
      </c>
      <c r="H41" s="10" t="str">
        <f>IFERROR(__xludf.DUMMYFUNCTION("""COMPUTED_VALUE"""),"↗️")</f>
        <v>↗️</v>
      </c>
      <c r="I41" s="13">
        <f>IFERROR(__xludf.DUMMYFUNCTION("""COMPUTED_VALUE"""),14960.0)</f>
        <v>14960</v>
      </c>
      <c r="J41" s="32">
        <f>IFERROR(__xludf.DUMMYFUNCTION("""COMPUTED_VALUE"""),39046.0)</f>
        <v>39046</v>
      </c>
      <c r="K41" s="8">
        <f>IFERROR(__xludf.DUMMYFUNCTION("""COMPUTED_VALUE"""),22.0)</f>
        <v>22</v>
      </c>
      <c r="L41" s="15" t="str">
        <f>IFERROR(__xludf.DUMMYFUNCTION("""COMPUTED_VALUE"""),"YES")</f>
        <v>YES</v>
      </c>
      <c r="M41" s="15" t="str">
        <f>IFERROR(__xludf.DUMMYFUNCTION("""COMPUTED_VALUE"""),"NYCT")</f>
        <v>NYCT</v>
      </c>
      <c r="N41" s="15" t="str">
        <f>IFERROR(__xludf.DUMMYFUNCTION("""COMPUTED_VALUE"""),"FUJITEC")</f>
        <v>FUJITEC</v>
      </c>
      <c r="O41" s="15" t="str">
        <f>IFERROR(__xludf.DUMMYFUNCTION("""COMPUTED_VALUE"""),"YES")</f>
        <v>YES</v>
      </c>
      <c r="P41" s="15" t="str">
        <f>IFERROR(__xludf.DUMMYFUNCTION("""COMPUTED_VALUE"""),"NO")</f>
        <v>NO</v>
      </c>
      <c r="Q41" s="15" t="str">
        <f>IFERROR(__xludf.DUMMYFUNCTION("""COMPUTED_VALUE"""),"NO")</f>
        <v>NO</v>
      </c>
      <c r="R41" s="15" t="str">
        <f>IFERROR(__xludf.DUMMYFUNCTION("""COMPUTED_VALUE"""),"12'")</f>
        <v>12'</v>
      </c>
      <c r="S41" s="15">
        <f>IFERROR(__xludf.DUMMYFUNCTION("""COMPUTED_VALUE"""),55.0)</f>
        <v>55</v>
      </c>
      <c r="T41" s="15">
        <f>IFERROR(__xludf.DUMMYFUNCTION("""COMPUTED_VALUE"""),24.0)</f>
        <v>24</v>
      </c>
      <c r="U41" s="15" t="str">
        <f>IFERROR(__xludf.DUMMYFUNCTION("""COMPUTED_VALUE"""),"PATH mezzanine to intermediate mezzanine for 32 St &amp; 6th Ave exit")</f>
        <v>PATH mezzanine to intermediate mezzanine for 32 St &amp; 6th Ave exit</v>
      </c>
      <c r="V41" s="15" t="str">
        <f>IFERROR(__xludf.DUMMYFUNCTION("""COMPUTED_VALUE"""),"POINT (-73.98867 40.748997)")</f>
        <v>POINT (-73.98867 40.748997)</v>
      </c>
    </row>
    <row r="42" ht="22.5" customHeight="1">
      <c r="A42" s="7" t="str">
        <f>IFERROR(__xludf.DUMMYFUNCTION("""COMPUTED_VALUE"""),"Court St")</f>
        <v>Court St</v>
      </c>
      <c r="B42" s="8" t="str">
        <f>IFERROR(__xludf.DUMMYFUNCTION("""COMPUTED_VALUE"""),"")</f>
        <v/>
      </c>
      <c r="C42" s="8" t="str">
        <f>IFERROR(__xludf.DUMMYFUNCTION("""COMPUTED_VALUE"""),"")</f>
        <v/>
      </c>
      <c r="D42" s="8" t="str">
        <f>IFERROR(__xludf.DUMMYFUNCTION("""COMPUTED_VALUE"""),"")</f>
        <v/>
      </c>
      <c r="E42" s="33" t="str">
        <f>IFERROR(__xludf.DUMMYFUNCTION("""COMPUTED_VALUE"""),"")</f>
        <v/>
      </c>
      <c r="F42" s="8" t="str">
        <f>IFERROR(__xludf.DUMMYFUNCTION("""COMPUTED_VALUE"""),"")</f>
        <v/>
      </c>
      <c r="G42" s="19" t="str">
        <f>IFERROR(__xludf.DUMMYFUNCTION("""COMPUTED_VALUE"""),"")</f>
        <v/>
      </c>
      <c r="H42" s="10" t="str">
        <f>IFERROR(__xludf.DUMMYFUNCTION("""COMPUTED_VALUE"""),"↗️")</f>
        <v>↗️</v>
      </c>
      <c r="I42" s="13">
        <f>IFERROR(__xludf.DUMMYFUNCTION("""COMPUTED_VALUE"""),8192.0)</f>
        <v>8192</v>
      </c>
      <c r="J42" s="32">
        <f>IFERROR(__xludf.DUMMYFUNCTION("""COMPUTED_VALUE"""),37819.0)</f>
        <v>37819</v>
      </c>
      <c r="K42" s="8">
        <f>IFERROR(__xludf.DUMMYFUNCTION("""COMPUTED_VALUE"""),22.0)</f>
        <v>22</v>
      </c>
      <c r="L42" s="15" t="str">
        <f>IFERROR(__xludf.DUMMYFUNCTION("""COMPUTED_VALUE"""),"YES")</f>
        <v>YES</v>
      </c>
      <c r="M42" s="15" t="str">
        <f>IFERROR(__xludf.DUMMYFUNCTION("""COMPUTED_VALUE"""),"NYCT")</f>
        <v>NYCT</v>
      </c>
      <c r="N42" s="15" t="str">
        <f>IFERROR(__xludf.DUMMYFUNCTION("""COMPUTED_VALUE"""),"FUJITEC")</f>
        <v>FUJITEC</v>
      </c>
      <c r="O42" s="15" t="str">
        <f>IFERROR(__xludf.DUMMYFUNCTION("""COMPUTED_VALUE"""),"YES")</f>
        <v>YES</v>
      </c>
      <c r="P42" s="15" t="str">
        <f>IFERROR(__xludf.DUMMYFUNCTION("""COMPUTED_VALUE"""),"NO")</f>
        <v>NO</v>
      </c>
      <c r="Q42" s="15" t="str">
        <f>IFERROR(__xludf.DUMMYFUNCTION("""COMPUTED_VALUE"""),"NO")</f>
        <v>NO</v>
      </c>
      <c r="R42" s="15" t="str">
        <f>IFERROR(__xludf.DUMMYFUNCTION("""COMPUTED_VALUE"""),"22'")</f>
        <v>22'</v>
      </c>
      <c r="S42" s="15">
        <f>IFERROR(__xludf.DUMMYFUNCTION("""COMPUTED_VALUE"""),84.0)</f>
        <v>84</v>
      </c>
      <c r="T42" s="15">
        <f>IFERROR(__xludf.DUMMYFUNCTION("""COMPUTED_VALUE"""),40.0)</f>
        <v>40</v>
      </c>
      <c r="U42" s="15" t="str">
        <f>IFERROR(__xludf.DUMMYFUNCTION("""COMPUTED_VALUE"""),"2/3 mezzanine (Court St &amp; Montague St) to lower mezzanine for R service in both directions")</f>
        <v>2/3 mezzanine (Court St &amp; Montague St) to lower mezzanine for R service in both directions</v>
      </c>
      <c r="V42" s="15" t="str">
        <f>IFERROR(__xludf.DUMMYFUNCTION("""COMPUTED_VALUE"""),"POINT (-73.99118 40.69393)")</f>
        <v>POINT (-73.99118 40.69393)</v>
      </c>
    </row>
    <row r="43" ht="22.5" customHeight="1">
      <c r="A43" s="7" t="str">
        <f>IFERROR(__xludf.DUMMYFUNCTION("""COMPUTED_VALUE"""),"Lexington Av/59 St")</f>
        <v>Lexington Av/59 St</v>
      </c>
      <c r="B43" s="8" t="str">
        <f>IFERROR(__xludf.DUMMYFUNCTION("""COMPUTED_VALUE"""),"Broadway Line")</f>
        <v>Broadway Line</v>
      </c>
      <c r="C43" s="8" t="str">
        <f>IFERROR(__xludf.DUMMYFUNCTION("""COMPUTED_VALUE"""),"Manhattan")</f>
        <v>Manhattan</v>
      </c>
      <c r="D43" s="8" t="str">
        <f>IFERROR(__xludf.DUMMYFUNCTION("""COMPUTED_VALUE"""),"Midtown")</f>
        <v>Midtown</v>
      </c>
      <c r="E43" s="33">
        <f>IFERROR(__xludf.DUMMYFUNCTION("""COMPUTED_VALUE"""),7184.0)</f>
        <v>7184</v>
      </c>
      <c r="F43" s="8">
        <f>IFERROR(__xludf.DUMMYFUNCTION("""COMPUTED_VALUE"""),1.1961525E7)</f>
        <v>11961525</v>
      </c>
      <c r="G43" s="19">
        <f>IFERROR(__xludf.DUMMYFUNCTION("""COMPUTED_VALUE"""),14.0)</f>
        <v>14</v>
      </c>
      <c r="H43" s="10" t="str">
        <f>IFERROR(__xludf.DUMMYFUNCTION("""COMPUTED_VALUE"""),"↗️")</f>
        <v>↗️</v>
      </c>
      <c r="I43" s="13">
        <f>IFERROR(__xludf.DUMMYFUNCTION("""COMPUTED_VALUE"""),26967.0)</f>
        <v>26967</v>
      </c>
      <c r="J43" s="32">
        <f>IFERROR(__xludf.DUMMYFUNCTION("""COMPUTED_VALUE"""),37738.0)</f>
        <v>37738</v>
      </c>
      <c r="K43" s="8">
        <f>IFERROR(__xludf.DUMMYFUNCTION("""COMPUTED_VALUE"""),22.0)</f>
        <v>22</v>
      </c>
      <c r="L43" s="15" t="str">
        <f>IFERROR(__xludf.DUMMYFUNCTION("""COMPUTED_VALUE"""),"YES")</f>
        <v>YES</v>
      </c>
      <c r="M43" s="15" t="str">
        <f>IFERROR(__xludf.DUMMYFUNCTION("""COMPUTED_VALUE"""),"NYCT")</f>
        <v>NYCT</v>
      </c>
      <c r="N43" s="15" t="str">
        <f>IFERROR(__xludf.DUMMYFUNCTION("""COMPUTED_VALUE"""),"FUJITEC")</f>
        <v>FUJITEC</v>
      </c>
      <c r="O43" s="15" t="str">
        <f>IFERROR(__xludf.DUMMYFUNCTION("""COMPUTED_VALUE"""),"YES")</f>
        <v>YES</v>
      </c>
      <c r="P43" s="15" t="str">
        <f>IFERROR(__xludf.DUMMYFUNCTION("""COMPUTED_VALUE"""),"NO")</f>
        <v>NO</v>
      </c>
      <c r="Q43" s="15" t="str">
        <f>IFERROR(__xludf.DUMMYFUNCTION("""COMPUTED_VALUE"""),"NO")</f>
        <v>NO</v>
      </c>
      <c r="R43" s="15" t="str">
        <f>IFERROR(__xludf.DUMMYFUNCTION("""COMPUTED_VALUE"""),"33'")</f>
        <v>33'</v>
      </c>
      <c r="S43" s="15">
        <f>IFERROR(__xludf.DUMMYFUNCTION("""COMPUTED_VALUE"""),117.0)</f>
        <v>117</v>
      </c>
      <c r="T43" s="15">
        <f>IFERROR(__xludf.DUMMYFUNCTION("""COMPUTED_VALUE"""),40.0)</f>
        <v>40</v>
      </c>
      <c r="U43" s="15" t="str">
        <f>IFERROR(__xludf.DUMMYFUNCTION("""COMPUTED_VALUE"""),"N/R/W platform to mezzanine for 3rd Ave &amp; 60 St exit")</f>
        <v>N/R/W platform to mezzanine for 3rd Ave &amp; 60 St exit</v>
      </c>
      <c r="V43" s="15" t="str">
        <f>IFERROR(__xludf.DUMMYFUNCTION("""COMPUTED_VALUE"""),"POINT (-73.96629 40.762234)")</f>
        <v>POINT (-73.96629 40.762234)</v>
      </c>
    </row>
    <row r="44" ht="22.5" customHeight="1">
      <c r="A44" s="7" t="str">
        <f>IFERROR(__xludf.DUMMYFUNCTION("""COMPUTED_VALUE"""),"Atlantic Av-Barclays Ctr")</f>
        <v>Atlantic Av-Barclays Ctr</v>
      </c>
      <c r="B44" s="8" t="str">
        <f>IFERROR(__xludf.DUMMYFUNCTION("""COMPUTED_VALUE"""),"")</f>
        <v/>
      </c>
      <c r="C44" s="8" t="str">
        <f>IFERROR(__xludf.DUMMYFUNCTION("""COMPUTED_VALUE"""),"")</f>
        <v/>
      </c>
      <c r="D44" s="8" t="str">
        <f>IFERROR(__xludf.DUMMYFUNCTION("""COMPUTED_VALUE"""),"")</f>
        <v/>
      </c>
      <c r="E44" s="33" t="str">
        <f>IFERROR(__xludf.DUMMYFUNCTION("""COMPUTED_VALUE"""),"")</f>
        <v/>
      </c>
      <c r="F44" s="10" t="str">
        <f>IFERROR(__xludf.DUMMYFUNCTION("""COMPUTED_VALUE"""),"")</f>
        <v/>
      </c>
      <c r="G44" s="19" t="str">
        <f>IFERROR(__xludf.DUMMYFUNCTION("""COMPUTED_VALUE"""),"")</f>
        <v/>
      </c>
      <c r="H44" s="10" t="str">
        <f>IFERROR(__xludf.DUMMYFUNCTION("""COMPUTED_VALUE"""),"↗️")</f>
        <v>↗️</v>
      </c>
      <c r="I44" s="13"/>
      <c r="J44" s="32">
        <f>IFERROR(__xludf.DUMMYFUNCTION("""COMPUTED_VALUE"""),41187.0)</f>
        <v>41187</v>
      </c>
      <c r="K44" s="8">
        <f>IFERROR(__xludf.DUMMYFUNCTION("""COMPUTED_VALUE"""),22.0)</f>
        <v>22</v>
      </c>
      <c r="L44" s="15" t="str">
        <f>IFERROR(__xludf.DUMMYFUNCTION("""COMPUTED_VALUE"""),"NO")</f>
        <v>NO</v>
      </c>
      <c r="M44" s="15" t="str">
        <f>IFERROR(__xludf.DUMMYFUNCTION("""COMPUTED_VALUE"""),"Private Contractor")</f>
        <v>Private Contractor</v>
      </c>
      <c r="N44" s="15" t="str">
        <f>IFERROR(__xludf.DUMMYFUNCTION("""COMPUTED_VALUE"""),"SCHINDLER")</f>
        <v>SCHINDLER</v>
      </c>
      <c r="O44" s="15" t="str">
        <f>IFERROR(__xludf.DUMMYFUNCTION("""COMPUTED_VALUE"""),"YES")</f>
        <v>YES</v>
      </c>
      <c r="P44" s="15" t="str">
        <f>IFERROR(__xludf.DUMMYFUNCTION("""COMPUTED_VALUE"""),"NO")</f>
        <v>NO</v>
      </c>
      <c r="Q44" s="15" t="str">
        <f>IFERROR(__xludf.DUMMYFUNCTION("""COMPUTED_VALUE"""),"NO")</f>
        <v>NO</v>
      </c>
      <c r="R44" s="15"/>
      <c r="S44" s="15"/>
      <c r="T44" s="15"/>
      <c r="U44" s="15" t="str">
        <f>IFERROR(__xludf.DUMMYFUNCTION("""COMPUTED_VALUE"""),"B/Q mezzanine to Barclays Center plaza (SE corner of Atlantic Ave &amp; Flatbush Ave)")</f>
        <v>B/Q mezzanine to Barclays Center plaza (SE corner of Atlantic Ave &amp; Flatbush Ave)</v>
      </c>
      <c r="V44" s="15" t="str">
        <f>IFERROR(__xludf.DUMMYFUNCTION("""COMPUTED_VALUE"""),"POINT (-73.9766 40.683598)")</f>
        <v>POINT (-73.9766 40.683598)</v>
      </c>
    </row>
    <row r="45" ht="22.5" customHeight="1">
      <c r="A45" s="7" t="str">
        <f>IFERROR(__xludf.DUMMYFUNCTION("""COMPUTED_VALUE"""),"South Ferry")</f>
        <v>South Ferry</v>
      </c>
      <c r="B45" s="8" t="str">
        <f>IFERROR(__xludf.DUMMYFUNCTION("""COMPUTED_VALUE"""),"")</f>
        <v/>
      </c>
      <c r="C45" s="8" t="str">
        <f>IFERROR(__xludf.DUMMYFUNCTION("""COMPUTED_VALUE"""),"")</f>
        <v/>
      </c>
      <c r="D45" s="8" t="str">
        <f>IFERROR(__xludf.DUMMYFUNCTION("""COMPUTED_VALUE"""),"")</f>
        <v/>
      </c>
      <c r="E45" s="33" t="str">
        <f>IFERROR(__xludf.DUMMYFUNCTION("""COMPUTED_VALUE"""),"")</f>
        <v/>
      </c>
      <c r="F45" s="10" t="str">
        <f>IFERROR(__xludf.DUMMYFUNCTION("""COMPUTED_VALUE"""),"")</f>
        <v/>
      </c>
      <c r="G45" s="17" t="str">
        <f>IFERROR(__xludf.DUMMYFUNCTION("""COMPUTED_VALUE"""),"")</f>
        <v/>
      </c>
      <c r="H45" s="31" t="str">
        <f>IFERROR(__xludf.DUMMYFUNCTION("""COMPUTED_VALUE"""),"↗️")</f>
        <v>↗️</v>
      </c>
      <c r="I45" s="13">
        <f>IFERROR(__xludf.DUMMYFUNCTION("""COMPUTED_VALUE"""),39888.0)</f>
        <v>39888</v>
      </c>
      <c r="J45" s="32">
        <f>IFERROR(__xludf.DUMMYFUNCTION("""COMPUTED_VALUE"""),42913.0)</f>
        <v>42913</v>
      </c>
      <c r="K45" s="8">
        <f>IFERROR(__xludf.DUMMYFUNCTION("""COMPUTED_VALUE"""),22.0)</f>
        <v>22</v>
      </c>
      <c r="L45" s="15" t="str">
        <f>IFERROR(__xludf.DUMMYFUNCTION("""COMPUTED_VALUE"""),"YES")</f>
        <v>YES</v>
      </c>
      <c r="M45" s="15" t="str">
        <f>IFERROR(__xludf.DUMMYFUNCTION("""COMPUTED_VALUE"""),"NYCT")</f>
        <v>NYCT</v>
      </c>
      <c r="N45" s="15" t="str">
        <f>IFERROR(__xludf.DUMMYFUNCTION("""COMPUTED_VALUE"""),"SCHINDLER")</f>
        <v>SCHINDLER</v>
      </c>
      <c r="O45" s="15" t="str">
        <f>IFERROR(__xludf.DUMMYFUNCTION("""COMPUTED_VALUE"""),"YES")</f>
        <v>YES</v>
      </c>
      <c r="P45" s="15" t="str">
        <f>IFERROR(__xludf.DUMMYFUNCTION("""COMPUTED_VALUE"""),"YES")</f>
        <v>YES</v>
      </c>
      <c r="Q45" s="15" t="str">
        <f>IFERROR(__xludf.DUMMYFUNCTION("""COMPUTED_VALUE"""),"YES")</f>
        <v>YES</v>
      </c>
      <c r="R45" s="15" t="str">
        <f>IFERROR(__xludf.DUMMYFUNCTION("""COMPUTED_VALUE"""),"20'")</f>
        <v>20'</v>
      </c>
      <c r="S45" s="15">
        <f>IFERROR(__xludf.DUMMYFUNCTION("""COMPUTED_VALUE"""),80.0)</f>
        <v>80</v>
      </c>
      <c r="T45" s="15" t="str">
        <f>IFERROR(__xludf.DUMMYFUNCTION("""COMPUTED_VALUE"""),"48in")</f>
        <v>48in</v>
      </c>
      <c r="U45" s="15" t="str">
        <f>IFERROR(__xludf.DUMMYFUNCTION("""COMPUTED_VALUE"""),"1/R/W mezzanine to Peter Minuit Plaza in front of South Ferry Terminal")</f>
        <v>1/R/W mezzanine to Peter Minuit Plaza in front of South Ferry Terminal</v>
      </c>
      <c r="V45" s="15" t="str">
        <f>IFERROR(__xludf.DUMMYFUNCTION("""COMPUTED_VALUE"""),"POINT (-74.01293 40.701744)")</f>
        <v>POINT (-74.01293 40.701744)</v>
      </c>
    </row>
    <row r="46" ht="22.5" customHeight="1">
      <c r="A46" s="7" t="str">
        <f>IFERROR(__xludf.DUMMYFUNCTION("""COMPUTED_VALUE"""),"Court Sq")</f>
        <v>Court Sq</v>
      </c>
      <c r="B46" s="8" t="str">
        <f>IFERROR(__xludf.DUMMYFUNCTION("""COMPUTED_VALUE"""),"")</f>
        <v/>
      </c>
      <c r="C46" s="8" t="str">
        <f>IFERROR(__xludf.DUMMYFUNCTION("""COMPUTED_VALUE"""),"")</f>
        <v/>
      </c>
      <c r="D46" s="8" t="str">
        <f>IFERROR(__xludf.DUMMYFUNCTION("""COMPUTED_VALUE"""),"")</f>
        <v/>
      </c>
      <c r="E46" s="33" t="str">
        <f>IFERROR(__xludf.DUMMYFUNCTION("""COMPUTED_VALUE"""),"")</f>
        <v/>
      </c>
      <c r="F46" s="10" t="str">
        <f>IFERROR(__xludf.DUMMYFUNCTION("""COMPUTED_VALUE"""),"")</f>
        <v/>
      </c>
      <c r="G46" s="19" t="str">
        <f>IFERROR(__xludf.DUMMYFUNCTION("""COMPUTED_VALUE"""),"")</f>
        <v/>
      </c>
      <c r="H46" s="10" t="str">
        <f>IFERROR(__xludf.DUMMYFUNCTION("""COMPUTED_VALUE"""),"↗️")</f>
        <v>↗️</v>
      </c>
      <c r="I46" s="13">
        <f>IFERROR(__xludf.DUMMYFUNCTION("""COMPUTED_VALUE"""),3.0)</f>
        <v>3</v>
      </c>
      <c r="J46" s="32">
        <f>IFERROR(__xludf.DUMMYFUNCTION("""COMPUTED_VALUE"""),40330.0)</f>
        <v>40330</v>
      </c>
      <c r="K46" s="8">
        <f>IFERROR(__xludf.DUMMYFUNCTION("""COMPUTED_VALUE"""),22.0)</f>
        <v>22</v>
      </c>
      <c r="L46" s="15" t="str">
        <f>IFERROR(__xludf.DUMMYFUNCTION("""COMPUTED_VALUE"""),"NO")</f>
        <v>NO</v>
      </c>
      <c r="M46" s="15" t="str">
        <f>IFERROR(__xludf.DUMMYFUNCTION("""COMPUTED_VALUE"""),"Private Contractor")</f>
        <v>Private Contractor</v>
      </c>
      <c r="N46" s="15" t="str">
        <f>IFERROR(__xludf.DUMMYFUNCTION("""COMPUTED_VALUE"""),"AM")</f>
        <v>AM</v>
      </c>
      <c r="O46" s="15" t="str">
        <f>IFERROR(__xludf.DUMMYFUNCTION("""COMPUTED_VALUE"""),"YES")</f>
        <v>YES</v>
      </c>
      <c r="P46" s="15" t="str">
        <f>IFERROR(__xludf.DUMMYFUNCTION("""COMPUTED_VALUE"""),"NO")</f>
        <v>NO</v>
      </c>
      <c r="Q46" s="15" t="str">
        <f>IFERROR(__xludf.DUMMYFUNCTION("""COMPUTED_VALUE"""),"NO")</f>
        <v>NO</v>
      </c>
      <c r="R46" s="15"/>
      <c r="S46" s="15"/>
      <c r="T46" s="15"/>
      <c r="U46" s="15" t="str">
        <f>IFERROR(__xludf.DUMMYFUNCTION("""COMPUTED_VALUE"""),"45 St &amp; Jackson Ave to mezzanine for E/F &amp; G service and access to 7")</f>
        <v>45 St &amp; Jackson Ave to mezzanine for E/F &amp; G service and access to 7</v>
      </c>
      <c r="V46" s="15" t="str">
        <f>IFERROR(__xludf.DUMMYFUNCTION("""COMPUTED_VALUE"""),"POINT (-73.94432 40.74722)")</f>
        <v>POINT (-73.94432 40.74722)</v>
      </c>
    </row>
    <row r="47" ht="22.5" customHeight="1">
      <c r="A47" s="7" t="str">
        <f>IFERROR(__xludf.DUMMYFUNCTION("""COMPUTED_VALUE"""),"Jamaica Center-Parsons/Archer")</f>
        <v>Jamaica Center-Parsons/Archer</v>
      </c>
      <c r="B47" s="8" t="str">
        <f>IFERROR(__xludf.DUMMYFUNCTION("""COMPUTED_VALUE"""),"Archer Av Line")</f>
        <v>Archer Av Line</v>
      </c>
      <c r="C47" s="8" t="str">
        <f>IFERROR(__xludf.DUMMYFUNCTION("""COMPUTED_VALUE"""),"Queens")</f>
        <v>Queens</v>
      </c>
      <c r="D47" s="8" t="str">
        <f>IFERROR(__xludf.DUMMYFUNCTION("""COMPUTED_VALUE"""),"Jamaica")</f>
        <v>Jamaica</v>
      </c>
      <c r="E47" s="33">
        <f>IFERROR(__xludf.DUMMYFUNCTION("""COMPUTED_VALUE"""),32488.0)</f>
        <v>32488</v>
      </c>
      <c r="F47" s="8">
        <f>IFERROR(__xludf.DUMMYFUNCTION("""COMPUTED_VALUE"""),6137267.0)</f>
        <v>6137267</v>
      </c>
      <c r="G47" s="17">
        <f>IFERROR(__xludf.DUMMYFUNCTION("""COMPUTED_VALUE"""),38.0)</f>
        <v>38</v>
      </c>
      <c r="H47" s="31" t="str">
        <f>IFERROR(__xludf.DUMMYFUNCTION("""COMPUTED_VALUE"""),"↗️")</f>
        <v>↗️</v>
      </c>
      <c r="I47" s="13">
        <f>IFERROR(__xludf.DUMMYFUNCTION("""COMPUTED_VALUE"""),32478.0)</f>
        <v>32478</v>
      </c>
      <c r="J47" s="32">
        <f>IFERROR(__xludf.DUMMYFUNCTION("""COMPUTED_VALUE"""),39954.0)</f>
        <v>39954</v>
      </c>
      <c r="K47" s="8">
        <f>IFERROR(__xludf.DUMMYFUNCTION("""COMPUTED_VALUE"""),22.0)</f>
        <v>22</v>
      </c>
      <c r="L47" s="15" t="str">
        <f>IFERROR(__xludf.DUMMYFUNCTION("""COMPUTED_VALUE"""),"YES")</f>
        <v>YES</v>
      </c>
      <c r="M47" s="15" t="str">
        <f>IFERROR(__xludf.DUMMYFUNCTION("""COMPUTED_VALUE"""),"NYCT")</f>
        <v>NYCT</v>
      </c>
      <c r="N47" s="15" t="str">
        <f>IFERROR(__xludf.DUMMYFUNCTION("""COMPUTED_VALUE"""),"KONE")</f>
        <v>KONE</v>
      </c>
      <c r="O47" s="15" t="str">
        <f>IFERROR(__xludf.DUMMYFUNCTION("""COMPUTED_VALUE"""),"YES")</f>
        <v>YES</v>
      </c>
      <c r="P47" s="15" t="str">
        <f>IFERROR(__xludf.DUMMYFUNCTION("""COMPUTED_VALUE"""),"YES")</f>
        <v>YES</v>
      </c>
      <c r="Q47" s="15" t="str">
        <f>IFERROR(__xludf.DUMMYFUNCTION("""COMPUTED_VALUE"""),"YES")</f>
        <v>YES</v>
      </c>
      <c r="R47" s="15" t="str">
        <f>IFERROR(__xludf.DUMMYFUNCTION("""COMPUTED_VALUE"""),"18'")</f>
        <v>18'</v>
      </c>
      <c r="S47" s="15">
        <f>IFERROR(__xludf.DUMMYFUNCTION("""COMPUTED_VALUE"""),74.0)</f>
        <v>74</v>
      </c>
      <c r="T47" s="15" t="str">
        <f>IFERROR(__xludf.DUMMYFUNCTION("""COMPUTED_VALUE"""),"40in")</f>
        <v>40in</v>
      </c>
      <c r="U47" s="15" t="str">
        <f>IFERROR(__xludf.DUMMYFUNCTION("""COMPUTED_VALUE"""),"mezzanine to Parsons Blvd &amp; Archer Ave (SW corner)")</f>
        <v>mezzanine to Parsons Blvd &amp; Archer Ave (SW corner)</v>
      </c>
      <c r="V47" s="15" t="str">
        <f>IFERROR(__xludf.DUMMYFUNCTION("""COMPUTED_VALUE"""),"POINT (-73.801895 40.701855)")</f>
        <v>POINT (-73.801895 40.701855)</v>
      </c>
    </row>
    <row r="48" ht="22.5" customHeight="1">
      <c r="A48" s="7" t="str">
        <f>IFERROR(__xludf.DUMMYFUNCTION("""COMPUTED_VALUE"""),"Fulton St")</f>
        <v>Fulton St</v>
      </c>
      <c r="B48" s="8" t="str">
        <f>IFERROR(__xludf.DUMMYFUNCTION("""COMPUTED_VALUE"""),"Broadway-7 Av Line")</f>
        <v>Broadway-7 Av Line</v>
      </c>
      <c r="C48" s="8" t="str">
        <f>IFERROR(__xludf.DUMMYFUNCTION("""COMPUTED_VALUE"""),"Manhattan")</f>
        <v>Manhattan</v>
      </c>
      <c r="D48" s="8" t="str">
        <f>IFERROR(__xludf.DUMMYFUNCTION("""COMPUTED_VALUE"""),"Financial District")</f>
        <v>Financial District</v>
      </c>
      <c r="E48" s="33">
        <f>IFERROR(__xludf.DUMMYFUNCTION("""COMPUTED_VALUE"""),6757.0)</f>
        <v>6757</v>
      </c>
      <c r="F48" s="8">
        <f>IFERROR(__xludf.DUMMYFUNCTION("""COMPUTED_VALUE"""),1.9221396E7)</f>
        <v>19221396</v>
      </c>
      <c r="G48" s="17">
        <f>IFERROR(__xludf.DUMMYFUNCTION("""COMPUTED_VALUE"""),5.0)</f>
        <v>5</v>
      </c>
      <c r="H48" s="31" t="str">
        <f>IFERROR(__xludf.DUMMYFUNCTION("""COMPUTED_VALUE"""),"↗️")</f>
        <v>↗️</v>
      </c>
      <c r="I48" s="13"/>
      <c r="J48" s="32">
        <f>IFERROR(__xludf.DUMMYFUNCTION("""COMPUTED_VALUE"""),41953.0)</f>
        <v>41953</v>
      </c>
      <c r="K48" s="8">
        <f>IFERROR(__xludf.DUMMYFUNCTION("""COMPUTED_VALUE"""),22.0)</f>
        <v>22</v>
      </c>
      <c r="L48" s="15" t="str">
        <f>IFERROR(__xludf.DUMMYFUNCTION("""COMPUTED_VALUE"""),"NO")</f>
        <v>NO</v>
      </c>
      <c r="M48" s="15" t="str">
        <f>IFERROR(__xludf.DUMMYFUNCTION("""COMPUTED_VALUE"""),"Private Contractor")</f>
        <v>Private Contractor</v>
      </c>
      <c r="N48" s="15" t="str">
        <f>IFERROR(__xludf.DUMMYFUNCTION("""COMPUTED_VALUE"""),"SCHINDLER")</f>
        <v>SCHINDLER</v>
      </c>
      <c r="O48" s="15" t="str">
        <f>IFERROR(__xludf.DUMMYFUNCTION("""COMPUTED_VALUE"""),"YES")</f>
        <v>YES</v>
      </c>
      <c r="P48" s="15" t="str">
        <f>IFERROR(__xludf.DUMMYFUNCTION("""COMPUTED_VALUE"""),"NO")</f>
        <v>NO</v>
      </c>
      <c r="Q48" s="15" t="str">
        <f>IFERROR(__xludf.DUMMYFUNCTION("""COMPUTED_VALUE"""),"NO")</f>
        <v>NO</v>
      </c>
      <c r="R48" s="15"/>
      <c r="S48" s="15"/>
      <c r="T48" s="15"/>
      <c r="U48" s="15" t="str">
        <f>IFERROR(__xludf.DUMMYFUNCTION("""COMPUTED_VALUE"""),"lower concourse to Transit Center exit (John St east of Broadway)")</f>
        <v>lower concourse to Transit Center exit (John St east of Broadway)</v>
      </c>
      <c r="V48" s="15" t="str">
        <f>IFERROR(__xludf.DUMMYFUNCTION("""COMPUTED_VALUE"""),"POINT (-74.00936 40.71032)")</f>
        <v>POINT (-74.00936 40.71032)</v>
      </c>
    </row>
    <row r="49" ht="22.5" customHeight="1">
      <c r="A49" s="7" t="str">
        <f>IFERROR(__xludf.DUMMYFUNCTION("""COMPUTED_VALUE"""),"Fulton St")</f>
        <v>Fulton St</v>
      </c>
      <c r="B49" s="8" t="str">
        <f>IFERROR(__xludf.DUMMYFUNCTION("""COMPUTED_VALUE"""),"Broadway-7 Av Line")</f>
        <v>Broadway-7 Av Line</v>
      </c>
      <c r="C49" s="8" t="str">
        <f>IFERROR(__xludf.DUMMYFUNCTION("""COMPUTED_VALUE"""),"Manhattan")</f>
        <v>Manhattan</v>
      </c>
      <c r="D49" s="8" t="str">
        <f>IFERROR(__xludf.DUMMYFUNCTION("""COMPUTED_VALUE"""),"Financial District")</f>
        <v>Financial District</v>
      </c>
      <c r="E49" s="33">
        <f>IFERROR(__xludf.DUMMYFUNCTION("""COMPUTED_VALUE"""),6757.0)</f>
        <v>6757</v>
      </c>
      <c r="F49" s="8">
        <f>IFERROR(__xludf.DUMMYFUNCTION("""COMPUTED_VALUE"""),1.9221396E7)</f>
        <v>19221396</v>
      </c>
      <c r="G49" s="19">
        <f>IFERROR(__xludf.DUMMYFUNCTION("""COMPUTED_VALUE"""),5.0)</f>
        <v>5</v>
      </c>
      <c r="H49" s="10" t="str">
        <f>IFERROR(__xludf.DUMMYFUNCTION("""COMPUTED_VALUE"""),"↗️")</f>
        <v>↗️</v>
      </c>
      <c r="I49" s="13"/>
      <c r="J49" s="32">
        <f>IFERROR(__xludf.DUMMYFUNCTION("""COMPUTED_VALUE"""),41953.0)</f>
        <v>41953</v>
      </c>
      <c r="K49" s="8">
        <f>IFERROR(__xludf.DUMMYFUNCTION("""COMPUTED_VALUE"""),22.0)</f>
        <v>22</v>
      </c>
      <c r="L49" s="15" t="str">
        <f>IFERROR(__xludf.DUMMYFUNCTION("""COMPUTED_VALUE"""),"NO")</f>
        <v>NO</v>
      </c>
      <c r="M49" s="15" t="str">
        <f>IFERROR(__xludf.DUMMYFUNCTION("""COMPUTED_VALUE"""),"Private Contractor")</f>
        <v>Private Contractor</v>
      </c>
      <c r="N49" s="15" t="str">
        <f>IFERROR(__xludf.DUMMYFUNCTION("""COMPUTED_VALUE"""),"THYSSEN-KRUPP")</f>
        <v>THYSSEN-KRUPP</v>
      </c>
      <c r="O49" s="15" t="str">
        <f>IFERROR(__xludf.DUMMYFUNCTION("""COMPUTED_VALUE"""),"YES")</f>
        <v>YES</v>
      </c>
      <c r="P49" s="15" t="str">
        <f>IFERROR(__xludf.DUMMYFUNCTION("""COMPUTED_VALUE"""),"NO")</f>
        <v>NO</v>
      </c>
      <c r="Q49" s="15" t="str">
        <f>IFERROR(__xludf.DUMMYFUNCTION("""COMPUTED_VALUE"""),"NO")</f>
        <v>NO</v>
      </c>
      <c r="R49" s="15"/>
      <c r="S49" s="15"/>
      <c r="T49" s="15"/>
      <c r="U49" s="15" t="str">
        <f>IFERROR(__xludf.DUMMYFUNCTION("""COMPUTED_VALUE"""),"uptown 4/5 platform level to Transit Center exit (NE corner of John St &amp; Broadway)")</f>
        <v>uptown 4/5 platform level to Transit Center exit (NE corner of John St &amp; Broadway)</v>
      </c>
      <c r="V49" s="15" t="str">
        <f>IFERROR(__xludf.DUMMYFUNCTION("""COMPUTED_VALUE"""),"POINT (-74.009094 40.710453)")</f>
        <v>POINT (-74.009094 40.710453)</v>
      </c>
    </row>
    <row r="50" ht="22.5" customHeight="1">
      <c r="A50" s="7" t="str">
        <f>IFERROR(__xludf.DUMMYFUNCTION("""COMPUTED_VALUE"""),"Jamaica Center-Parsons/Archer")</f>
        <v>Jamaica Center-Parsons/Archer</v>
      </c>
      <c r="B50" s="8" t="str">
        <f>IFERROR(__xludf.DUMMYFUNCTION("""COMPUTED_VALUE"""),"Archer Av Line")</f>
        <v>Archer Av Line</v>
      </c>
      <c r="C50" s="8" t="str">
        <f>IFERROR(__xludf.DUMMYFUNCTION("""COMPUTED_VALUE"""),"Queens")</f>
        <v>Queens</v>
      </c>
      <c r="D50" s="8" t="str">
        <f>IFERROR(__xludf.DUMMYFUNCTION("""COMPUTED_VALUE"""),"Jamaica")</f>
        <v>Jamaica</v>
      </c>
      <c r="E50" s="33">
        <f>IFERROR(__xludf.DUMMYFUNCTION("""COMPUTED_VALUE"""),32488.0)</f>
        <v>32488</v>
      </c>
      <c r="F50" s="8">
        <f>IFERROR(__xludf.DUMMYFUNCTION("""COMPUTED_VALUE"""),6137267.0)</f>
        <v>6137267</v>
      </c>
      <c r="G50" s="19">
        <f>IFERROR(__xludf.DUMMYFUNCTION("""COMPUTED_VALUE"""),38.0)</f>
        <v>38</v>
      </c>
      <c r="H50" s="10" t="str">
        <f>IFERROR(__xludf.DUMMYFUNCTION("""COMPUTED_VALUE"""),"↗️")</f>
        <v>↗️</v>
      </c>
      <c r="I50" s="13">
        <f>IFERROR(__xludf.DUMMYFUNCTION("""COMPUTED_VALUE"""),32478.0)</f>
        <v>32478</v>
      </c>
      <c r="J50" s="32">
        <f>IFERROR(__xludf.DUMMYFUNCTION("""COMPUTED_VALUE"""),39953.0)</f>
        <v>39953</v>
      </c>
      <c r="K50" s="8">
        <f>IFERROR(__xludf.DUMMYFUNCTION("""COMPUTED_VALUE"""),22.0)</f>
        <v>22</v>
      </c>
      <c r="L50" s="15" t="str">
        <f>IFERROR(__xludf.DUMMYFUNCTION("""COMPUTED_VALUE"""),"YES")</f>
        <v>YES</v>
      </c>
      <c r="M50" s="15" t="str">
        <f>IFERROR(__xludf.DUMMYFUNCTION("""COMPUTED_VALUE"""),"NYCT")</f>
        <v>NYCT</v>
      </c>
      <c r="N50" s="15" t="str">
        <f>IFERROR(__xludf.DUMMYFUNCTION("""COMPUTED_VALUE"""),"KONE")</f>
        <v>KONE</v>
      </c>
      <c r="O50" s="15" t="str">
        <f>IFERROR(__xludf.DUMMYFUNCTION("""COMPUTED_VALUE"""),"YES")</f>
        <v>YES</v>
      </c>
      <c r="P50" s="15" t="str">
        <f>IFERROR(__xludf.DUMMYFUNCTION("""COMPUTED_VALUE"""),"NO")</f>
        <v>NO</v>
      </c>
      <c r="Q50" s="15" t="str">
        <f>IFERROR(__xludf.DUMMYFUNCTION("""COMPUTED_VALUE"""),"NO")</f>
        <v>NO</v>
      </c>
      <c r="R50" s="15" t="str">
        <f>IFERROR(__xludf.DUMMYFUNCTION("""COMPUTED_VALUE"""),"29'")</f>
        <v>29'</v>
      </c>
      <c r="S50" s="15">
        <f>IFERROR(__xludf.DUMMYFUNCTION("""COMPUTED_VALUE"""),107.0)</f>
        <v>107</v>
      </c>
      <c r="T50" s="15" t="str">
        <f>IFERROR(__xludf.DUMMYFUNCTION("""COMPUTED_VALUE"""),"40in")</f>
        <v>40in</v>
      </c>
      <c r="U50" s="15" t="str">
        <f>IFERROR(__xludf.DUMMYFUNCTION("""COMPUTED_VALUE"""),"mezzanine (Parsons Blvd &amp; Archer Ave) to J/Z platform for Brooklyn-bound service")</f>
        <v>mezzanine (Parsons Blvd &amp; Archer Ave) to J/Z platform for Brooklyn-bound service</v>
      </c>
      <c r="V50" s="15" t="str">
        <f>IFERROR(__xludf.DUMMYFUNCTION("""COMPUTED_VALUE"""),"POINT (-73.800316 40.70236)")</f>
        <v>POINT (-73.800316 40.70236)</v>
      </c>
    </row>
    <row r="51" ht="22.5" customHeight="1">
      <c r="A51" s="7" t="str">
        <f>IFERROR(__xludf.DUMMYFUNCTION("""COMPUTED_VALUE"""),"Grand Central-42 St")</f>
        <v>Grand Central-42 St</v>
      </c>
      <c r="B51" s="8" t="str">
        <f>IFERROR(__xludf.DUMMYFUNCTION("""COMPUTED_VALUE"""),"42nd St Line")</f>
        <v>42nd St Line</v>
      </c>
      <c r="C51" s="8" t="str">
        <f>IFERROR(__xludf.DUMMYFUNCTION("""COMPUTED_VALUE"""),"Manhattan")</f>
        <v>Manhattan</v>
      </c>
      <c r="D51" s="8" t="str">
        <f>IFERROR(__xludf.DUMMYFUNCTION("""COMPUTED_VALUE"""),"Midtown")</f>
        <v>Midtown</v>
      </c>
      <c r="E51" s="33">
        <f>IFERROR(__xludf.DUMMYFUNCTION("""COMPUTED_VALUE"""),1762.0)</f>
        <v>1762</v>
      </c>
      <c r="F51" s="8">
        <f>IFERROR(__xludf.DUMMYFUNCTION("""COMPUTED_VALUE"""),3.3496874E7)</f>
        <v>33496874</v>
      </c>
      <c r="G51" s="17">
        <f>IFERROR(__xludf.DUMMYFUNCTION("""COMPUTED_VALUE"""),2.0)</f>
        <v>2</v>
      </c>
      <c r="H51" s="31" t="str">
        <f>IFERROR(__xludf.DUMMYFUNCTION("""COMPUTED_VALUE"""),"↗️")</f>
        <v>↗️</v>
      </c>
      <c r="I51" s="13">
        <f>IFERROR(__xludf.DUMMYFUNCTION("""COMPUTED_VALUE"""),44174.0)</f>
        <v>44174</v>
      </c>
      <c r="J51" s="32">
        <f>IFERROR(__xludf.DUMMYFUNCTION("""COMPUTED_VALUE"""),44174.0)</f>
        <v>44174</v>
      </c>
      <c r="K51" s="8">
        <f>IFERROR(__xludf.DUMMYFUNCTION("""COMPUTED_VALUE"""),22.0)</f>
        <v>22</v>
      </c>
      <c r="L51" s="15" t="str">
        <f>IFERROR(__xludf.DUMMYFUNCTION("""COMPUTED_VALUE"""),"NO")</f>
        <v>NO</v>
      </c>
      <c r="M51" s="15" t="str">
        <f>IFERROR(__xludf.DUMMYFUNCTION("""COMPUTED_VALUE"""),"Private Contractor")</f>
        <v>Private Contractor</v>
      </c>
      <c r="N51" s="15"/>
      <c r="O51" s="15" t="str">
        <f>IFERROR(__xludf.DUMMYFUNCTION("""COMPUTED_VALUE"""),"YES")</f>
        <v>YES</v>
      </c>
      <c r="P51" s="15"/>
      <c r="Q51" s="15"/>
      <c r="R51" s="15"/>
      <c r="S51" s="15"/>
      <c r="T51" s="15"/>
      <c r="U51" s="15" t="str">
        <f>IFERROR(__xludf.DUMMYFUNCTION("""COMPUTED_VALUE"""),"Platform level for Shuttle service to 42 St and Vanderbilt Ave (NE Corner).")</f>
        <v>Platform level for Shuttle service to 42 St and Vanderbilt Ave (NE Corner).</v>
      </c>
      <c r="V51" s="15" t="str">
        <f>IFERROR(__xludf.DUMMYFUNCTION("""COMPUTED_VALUE"""),"POINT (-73.93359 40.849506)")</f>
        <v>POINT (-73.93359 40.849506)</v>
      </c>
    </row>
    <row r="52" ht="22.5" customHeight="1">
      <c r="A52" s="7" t="str">
        <f>IFERROR(__xludf.DUMMYFUNCTION("""COMPUTED_VALUE"""),"21 St-Queensbridge")</f>
        <v>21 St-Queensbridge</v>
      </c>
      <c r="B52" s="8" t="str">
        <f>IFERROR(__xludf.DUMMYFUNCTION("""COMPUTED_VALUE"""),"63rd St Line")</f>
        <v>63rd St Line</v>
      </c>
      <c r="C52" s="8" t="str">
        <f>IFERROR(__xludf.DUMMYFUNCTION("""COMPUTED_VALUE"""),"Queens")</f>
        <v>Queens</v>
      </c>
      <c r="D52" s="8" t="str">
        <f>IFERROR(__xludf.DUMMYFUNCTION("""COMPUTED_VALUE"""),"Long Island City")</f>
        <v>Long Island City</v>
      </c>
      <c r="E52" s="33">
        <f>IFERROR(__xludf.DUMMYFUNCTION("""COMPUTED_VALUE"""),32810.0)</f>
        <v>32810</v>
      </c>
      <c r="F52" s="10">
        <f>IFERROR(__xludf.DUMMYFUNCTION("""COMPUTED_VALUE"""),1751180.0)</f>
        <v>1751180</v>
      </c>
      <c r="G52" s="17">
        <f>IFERROR(__xludf.DUMMYFUNCTION("""COMPUTED_VALUE"""),184.0)</f>
        <v>184</v>
      </c>
      <c r="H52" s="31" t="str">
        <f>IFERROR(__xludf.DUMMYFUNCTION("""COMPUTED_VALUE"""),"↗️")</f>
        <v>↗️</v>
      </c>
      <c r="I52" s="13">
        <f>IFERROR(__xludf.DUMMYFUNCTION("""COMPUTED_VALUE"""),32782.0)</f>
        <v>32782</v>
      </c>
      <c r="J52" s="32">
        <f>IFERROR(__xludf.DUMMYFUNCTION("""COMPUTED_VALUE"""),46137.0)</f>
        <v>46137</v>
      </c>
      <c r="K52" s="8">
        <f>IFERROR(__xludf.DUMMYFUNCTION("""COMPUTED_VALUE"""),22.0)</f>
        <v>22</v>
      </c>
      <c r="L52" s="15" t="str">
        <f>IFERROR(__xludf.DUMMYFUNCTION("""COMPUTED_VALUE"""),"YES")</f>
        <v>YES</v>
      </c>
      <c r="M52" s="15" t="str">
        <f>IFERROR(__xludf.DUMMYFUNCTION("""COMPUTED_VALUE"""),"NYCT")</f>
        <v>NYCT</v>
      </c>
      <c r="N52" s="15" t="str">
        <f>IFERROR(__xludf.DUMMYFUNCTION("""COMPUTED_VALUE"""),"KONE")</f>
        <v>KONE</v>
      </c>
      <c r="O52" s="15" t="str">
        <f>IFERROR(__xludf.DUMMYFUNCTION("""COMPUTED_VALUE"""),"YES")</f>
        <v>YES</v>
      </c>
      <c r="P52" s="15" t="str">
        <f>IFERROR(__xludf.DUMMYFUNCTION("""COMPUTED_VALUE"""),"NO")</f>
        <v>NO</v>
      </c>
      <c r="Q52" s="15" t="str">
        <f>IFERROR(__xludf.DUMMYFUNCTION("""COMPUTED_VALUE"""),"NO")</f>
        <v>NO</v>
      </c>
      <c r="R52" s="15" t="str">
        <f>IFERROR(__xludf.DUMMYFUNCTION("""COMPUTED_VALUE"""),"11'")</f>
        <v>11'</v>
      </c>
      <c r="S52" s="15">
        <f>IFERROR(__xludf.DUMMYFUNCTION("""COMPUTED_VALUE"""),53.0)</f>
        <v>53</v>
      </c>
      <c r="T52" s="15" t="str">
        <f>IFERROR(__xludf.DUMMYFUNCTION("""COMPUTED_VALUE"""),"40in")</f>
        <v>40in</v>
      </c>
      <c r="U52" s="15" t="str">
        <f>IFERROR(__xludf.DUMMYFUNCTION("""COMPUTED_VALUE"""),"mezzanine to Manhattan-bound platform")</f>
        <v>mezzanine to Manhattan-bound platform</v>
      </c>
      <c r="V52" s="15" t="str">
        <f>IFERROR(__xludf.DUMMYFUNCTION("""COMPUTED_VALUE"""),"POINT (-73.94242 40.754124)")</f>
        <v>POINT (-73.94242 40.754124)</v>
      </c>
    </row>
    <row r="53" ht="22.5" customHeight="1">
      <c r="A53" s="7" t="str">
        <f>IFERROR(__xludf.DUMMYFUNCTION("""COMPUTED_VALUE"""),"South Ferry")</f>
        <v>South Ferry</v>
      </c>
      <c r="B53" s="8" t="str">
        <f>IFERROR(__xludf.DUMMYFUNCTION("""COMPUTED_VALUE"""),"")</f>
        <v/>
      </c>
      <c r="C53" s="8" t="str">
        <f>IFERROR(__xludf.DUMMYFUNCTION("""COMPUTED_VALUE"""),"")</f>
        <v/>
      </c>
      <c r="D53" s="8" t="str">
        <f>IFERROR(__xludf.DUMMYFUNCTION("""COMPUTED_VALUE"""),"")</f>
        <v/>
      </c>
      <c r="E53" s="33" t="str">
        <f>IFERROR(__xludf.DUMMYFUNCTION("""COMPUTED_VALUE"""),"")</f>
        <v/>
      </c>
      <c r="F53" s="10" t="str">
        <f>IFERROR(__xludf.DUMMYFUNCTION("""COMPUTED_VALUE"""),"")</f>
        <v/>
      </c>
      <c r="G53" s="19" t="str">
        <f>IFERROR(__xludf.DUMMYFUNCTION("""COMPUTED_VALUE"""),"")</f>
        <v/>
      </c>
      <c r="H53" s="10" t="str">
        <f>IFERROR(__xludf.DUMMYFUNCTION("""COMPUTED_VALUE"""),"↗️")</f>
        <v>↗️</v>
      </c>
      <c r="I53" s="13">
        <f>IFERROR(__xludf.DUMMYFUNCTION("""COMPUTED_VALUE"""),39888.0)</f>
        <v>39888</v>
      </c>
      <c r="J53" s="32">
        <f>IFERROR(__xludf.DUMMYFUNCTION("""COMPUTED_VALUE"""),42913.0)</f>
        <v>42913</v>
      </c>
      <c r="K53" s="8">
        <f>IFERROR(__xludf.DUMMYFUNCTION("""COMPUTED_VALUE"""),22.0)</f>
        <v>22</v>
      </c>
      <c r="L53" s="15" t="str">
        <f>IFERROR(__xludf.DUMMYFUNCTION("""COMPUTED_VALUE"""),"YES")</f>
        <v>YES</v>
      </c>
      <c r="M53" s="15" t="str">
        <f>IFERROR(__xludf.DUMMYFUNCTION("""COMPUTED_VALUE"""),"NYCT")</f>
        <v>NYCT</v>
      </c>
      <c r="N53" s="15" t="str">
        <f>IFERROR(__xludf.DUMMYFUNCTION("""COMPUTED_VALUE"""),"KONE")</f>
        <v>KONE</v>
      </c>
      <c r="O53" s="15" t="str">
        <f>IFERROR(__xludf.DUMMYFUNCTION("""COMPUTED_VALUE"""),"YES")</f>
        <v>YES</v>
      </c>
      <c r="P53" s="15" t="str">
        <f>IFERROR(__xludf.DUMMYFUNCTION("""COMPUTED_VALUE"""),"NO")</f>
        <v>NO</v>
      </c>
      <c r="Q53" s="15" t="str">
        <f>IFERROR(__xludf.DUMMYFUNCTION("""COMPUTED_VALUE"""),"NO")</f>
        <v>NO</v>
      </c>
      <c r="R53" s="15" t="str">
        <f>IFERROR(__xludf.DUMMYFUNCTION("""COMPUTED_VALUE"""),"8030 mm (26' 4 1/8in)")</f>
        <v>8030 mm (26' 4 1/8in)</v>
      </c>
      <c r="S53" s="15">
        <f>IFERROR(__xludf.DUMMYFUNCTION("""COMPUTED_VALUE"""),109.0)</f>
        <v>109</v>
      </c>
      <c r="T53" s="15" t="str">
        <f>IFERROR(__xludf.DUMMYFUNCTION("""COMPUTED_VALUE"""),"40in (NOMINAL), 996 mm")</f>
        <v>40in (NOMINAL), 996 mm</v>
      </c>
      <c r="U53" s="15" t="str">
        <f>IFERROR(__xludf.DUMMYFUNCTION("""COMPUTED_VALUE"""),"1 platform to mezzanine for Peter Minuit Plaza exit and R/W service")</f>
        <v>1 platform to mezzanine for Peter Minuit Plaza exit and R/W service</v>
      </c>
      <c r="V53" s="15" t="str">
        <f>IFERROR(__xludf.DUMMYFUNCTION("""COMPUTED_VALUE"""),"POINT (-74.0131 40.701656)")</f>
        <v>POINT (-74.0131 40.701656)</v>
      </c>
    </row>
    <row r="54" ht="22.5" customHeight="1">
      <c r="A54" s="7" t="str">
        <f>IFERROR(__xludf.DUMMYFUNCTION("""COMPUTED_VALUE"""),"DeKalb Av")</f>
        <v>DeKalb Av</v>
      </c>
      <c r="B54" s="8" t="str">
        <f>IFERROR(__xludf.DUMMYFUNCTION("""COMPUTED_VALUE"""),"Canarsie Line")</f>
        <v>Canarsie Line</v>
      </c>
      <c r="C54" s="8" t="str">
        <f>IFERROR(__xludf.DUMMYFUNCTION("""COMPUTED_VALUE"""),"Brooklyn")</f>
        <v>Brooklyn</v>
      </c>
      <c r="D54" s="8" t="str">
        <f>IFERROR(__xludf.DUMMYFUNCTION("""COMPUTED_VALUE"""),"Bushwick")</f>
        <v>Bushwick</v>
      </c>
      <c r="E54" s="33">
        <f>IFERROR(__xludf.DUMMYFUNCTION("""COMPUTED_VALUE"""),10423.0)</f>
        <v>10423</v>
      </c>
      <c r="F54" s="10">
        <f>IFERROR(__xludf.DUMMYFUNCTION("""COMPUTED_VALUE"""),2931695.0)</f>
        <v>2931695</v>
      </c>
      <c r="G54" s="17">
        <f>IFERROR(__xludf.DUMMYFUNCTION("""COMPUTED_VALUE"""),113.0)</f>
        <v>113</v>
      </c>
      <c r="H54" s="31" t="str">
        <f>IFERROR(__xludf.DUMMYFUNCTION("""COMPUTED_VALUE"""),"↗️")</f>
        <v>↗️</v>
      </c>
      <c r="I54" s="13">
        <f>IFERROR(__xludf.DUMMYFUNCTION("""COMPUTED_VALUE"""),22373.0)</f>
        <v>22373</v>
      </c>
      <c r="J54" s="32">
        <f>IFERROR(__xludf.DUMMYFUNCTION("""COMPUTED_VALUE"""),45409.0)</f>
        <v>45409</v>
      </c>
      <c r="K54" s="8">
        <f>IFERROR(__xludf.DUMMYFUNCTION("""COMPUTED_VALUE"""),22.0)</f>
        <v>22</v>
      </c>
      <c r="L54" s="15" t="str">
        <f>IFERROR(__xludf.DUMMYFUNCTION("""COMPUTED_VALUE"""),"YES")</f>
        <v>YES</v>
      </c>
      <c r="M54" s="15" t="str">
        <f>IFERROR(__xludf.DUMMYFUNCTION("""COMPUTED_VALUE"""),"NYCT")</f>
        <v>NYCT</v>
      </c>
      <c r="N54" s="15" t="str">
        <f>IFERROR(__xludf.DUMMYFUNCTION("""COMPUTED_VALUE"""),"OK")</f>
        <v>OK</v>
      </c>
      <c r="O54" s="15" t="str">
        <f>IFERROR(__xludf.DUMMYFUNCTION("""COMPUTED_VALUE"""),"YES")</f>
        <v>YES</v>
      </c>
      <c r="P54" s="15" t="str">
        <f>IFERROR(__xludf.DUMMYFUNCTION("""COMPUTED_VALUE"""),"NO")</f>
        <v>NO</v>
      </c>
      <c r="Q54" s="15" t="str">
        <f>IFERROR(__xludf.DUMMYFUNCTION("""COMPUTED_VALUE"""),"NO")</f>
        <v>NO</v>
      </c>
      <c r="R54" s="15" t="str">
        <f>IFERROR(__xludf.DUMMYFUNCTION("""COMPUTED_VALUE"""),"20 feet 8 1/4 inch")</f>
        <v>20 feet 8 1/4 inch</v>
      </c>
      <c r="S54" s="15">
        <f>IFERROR(__xludf.DUMMYFUNCTION("""COMPUTED_VALUE"""),82.0)</f>
        <v>82</v>
      </c>
      <c r="T54" s="15">
        <f>IFERROR(__xludf.DUMMYFUNCTION("""COMPUTED_VALUE"""),40.0)</f>
        <v>40</v>
      </c>
      <c r="U54" s="15" t="str">
        <f>IFERROR(__xludf.DUMMYFUNCTION("""COMPUTED_VALUE"""),"Manhattan-bound platform to mezzanine for Flatbush Ave &amp; Lafayette St exit")</f>
        <v>Manhattan-bound platform to mezzanine for Flatbush Ave &amp; Lafayette St exit</v>
      </c>
      <c r="V54" s="15" t="str">
        <f>IFERROR(__xludf.DUMMYFUNCTION("""COMPUTED_VALUE"""),"POINT (-73.98208 40.691376)")</f>
        <v>POINT (-73.98208 40.691376)</v>
      </c>
    </row>
    <row r="55" ht="22.5" customHeight="1">
      <c r="A55" s="7" t="str">
        <f>IFERROR(__xludf.DUMMYFUNCTION("""COMPUTED_VALUE"""),"Fulton St")</f>
        <v>Fulton St</v>
      </c>
      <c r="B55" s="8" t="str">
        <f>IFERROR(__xludf.DUMMYFUNCTION("""COMPUTED_VALUE"""),"Broadway-7 Av Line")</f>
        <v>Broadway-7 Av Line</v>
      </c>
      <c r="C55" s="8" t="str">
        <f>IFERROR(__xludf.DUMMYFUNCTION("""COMPUTED_VALUE"""),"Manhattan")</f>
        <v>Manhattan</v>
      </c>
      <c r="D55" s="8" t="str">
        <f>IFERROR(__xludf.DUMMYFUNCTION("""COMPUTED_VALUE"""),"Financial District")</f>
        <v>Financial District</v>
      </c>
      <c r="E55" s="33">
        <f>IFERROR(__xludf.DUMMYFUNCTION("""COMPUTED_VALUE"""),6757.0)</f>
        <v>6757</v>
      </c>
      <c r="F55" s="10">
        <f>IFERROR(__xludf.DUMMYFUNCTION("""COMPUTED_VALUE"""),1.9221396E7)</f>
        <v>19221396</v>
      </c>
      <c r="G55" s="16">
        <f>IFERROR(__xludf.DUMMYFUNCTION("""COMPUTED_VALUE"""),5.0)</f>
        <v>5</v>
      </c>
      <c r="H55" s="10" t="str">
        <f>IFERROR(__xludf.DUMMYFUNCTION("""COMPUTED_VALUE"""),"↗️")</f>
        <v>↗️</v>
      </c>
      <c r="I55" s="13"/>
      <c r="J55" s="32">
        <f>IFERROR(__xludf.DUMMYFUNCTION("""COMPUTED_VALUE"""),41953.0)</f>
        <v>41953</v>
      </c>
      <c r="K55" s="8">
        <f>IFERROR(__xludf.DUMMYFUNCTION("""COMPUTED_VALUE"""),22.0)</f>
        <v>22</v>
      </c>
      <c r="L55" s="15" t="str">
        <f>IFERROR(__xludf.DUMMYFUNCTION("""COMPUTED_VALUE"""),"NO")</f>
        <v>NO</v>
      </c>
      <c r="M55" s="15" t="str">
        <f>IFERROR(__xludf.DUMMYFUNCTION("""COMPUTED_VALUE"""),"Private Contractor")</f>
        <v>Private Contractor</v>
      </c>
      <c r="N55" s="15" t="str">
        <f>IFERROR(__xludf.DUMMYFUNCTION("""COMPUTED_VALUE"""),"THYSSEN-KRUPP")</f>
        <v>THYSSEN-KRUPP</v>
      </c>
      <c r="O55" s="15" t="str">
        <f>IFERROR(__xludf.DUMMYFUNCTION("""COMPUTED_VALUE"""),"YES")</f>
        <v>YES</v>
      </c>
      <c r="P55" s="15" t="str">
        <f>IFERROR(__xludf.DUMMYFUNCTION("""COMPUTED_VALUE"""),"NO")</f>
        <v>NO</v>
      </c>
      <c r="Q55" s="15" t="str">
        <f>IFERROR(__xludf.DUMMYFUNCTION("""COMPUTED_VALUE"""),"NO")</f>
        <v>NO</v>
      </c>
      <c r="R55" s="15"/>
      <c r="S55" s="15"/>
      <c r="T55" s="15"/>
      <c r="U55" s="15" t="str">
        <f>IFERROR(__xludf.DUMMYFUNCTION("""COMPUTED_VALUE"""),"uptown 4/5 platform level to Transit Center exit (Fulton St east of Broadway)")</f>
        <v>uptown 4/5 platform level to Transit Center exit (Fulton St east of Broadway)</v>
      </c>
      <c r="V55" s="15" t="str">
        <f>IFERROR(__xludf.DUMMYFUNCTION("""COMPUTED_VALUE"""),"POINT (-74.00876 40.7105)")</f>
        <v>POINT (-74.00876 40.7105)</v>
      </c>
    </row>
    <row r="56" ht="22.5" customHeight="1">
      <c r="A56" s="7" t="str">
        <f>IFERROR(__xludf.DUMMYFUNCTION("""COMPUTED_VALUE"""),"74 St-Broadway")</f>
        <v>74 St-Broadway</v>
      </c>
      <c r="B56" s="8" t="str">
        <f>IFERROR(__xludf.DUMMYFUNCTION("""COMPUTED_VALUE"""),"")</f>
        <v/>
      </c>
      <c r="C56" s="8" t="str">
        <f>IFERROR(__xludf.DUMMYFUNCTION("""COMPUTED_VALUE"""),"")</f>
        <v/>
      </c>
      <c r="D56" s="8" t="str">
        <f>IFERROR(__xludf.DUMMYFUNCTION("""COMPUTED_VALUE"""),"")</f>
        <v/>
      </c>
      <c r="E56" s="33" t="str">
        <f>IFERROR(__xludf.DUMMYFUNCTION("""COMPUTED_VALUE"""),"")</f>
        <v/>
      </c>
      <c r="F56" s="10" t="str">
        <f>IFERROR(__xludf.DUMMYFUNCTION("""COMPUTED_VALUE"""),"")</f>
        <v/>
      </c>
      <c r="G56" s="16" t="str">
        <f>IFERROR(__xludf.DUMMYFUNCTION("""COMPUTED_VALUE"""),"")</f>
        <v/>
      </c>
      <c r="H56" s="10" t="str">
        <f>IFERROR(__xludf.DUMMYFUNCTION("""COMPUTED_VALUE"""),"↗️")</f>
        <v>↗️</v>
      </c>
      <c r="I56" s="13">
        <f>IFERROR(__xludf.DUMMYFUNCTION("""COMPUTED_VALUE"""),26900.0)</f>
        <v>26900</v>
      </c>
      <c r="J56" s="32">
        <f>IFERROR(__xludf.DUMMYFUNCTION("""COMPUTED_VALUE"""),45596.0)</f>
        <v>45596</v>
      </c>
      <c r="K56" s="8">
        <f>IFERROR(__xludf.DUMMYFUNCTION("""COMPUTED_VALUE"""),22.0)</f>
        <v>22</v>
      </c>
      <c r="L56" s="15" t="str">
        <f>IFERROR(__xludf.DUMMYFUNCTION("""COMPUTED_VALUE"""),"YES")</f>
        <v>YES</v>
      </c>
      <c r="M56" s="15" t="str">
        <f>IFERROR(__xludf.DUMMYFUNCTION("""COMPUTED_VALUE"""),"NYCT")</f>
        <v>NYCT</v>
      </c>
      <c r="N56" s="15" t="str">
        <f>IFERROR(__xludf.DUMMYFUNCTION("""COMPUTED_VALUE"""),"OK")</f>
        <v>OK</v>
      </c>
      <c r="O56" s="15" t="str">
        <f>IFERROR(__xludf.DUMMYFUNCTION("""COMPUTED_VALUE"""),"YES")</f>
        <v>YES</v>
      </c>
      <c r="P56" s="15" t="str">
        <f>IFERROR(__xludf.DUMMYFUNCTION("""COMPUTED_VALUE"""),"NO")</f>
        <v>NO</v>
      </c>
      <c r="Q56" s="15" t="str">
        <f>IFERROR(__xludf.DUMMYFUNCTION("""COMPUTED_VALUE"""),"NO")</f>
        <v>NO</v>
      </c>
      <c r="R56" s="15" t="str">
        <f>IFERROR(__xludf.DUMMYFUNCTION("""COMPUTED_VALUE"""),"32'")</f>
        <v>32'</v>
      </c>
      <c r="S56" s="15">
        <f>IFERROR(__xludf.DUMMYFUNCTION("""COMPUTED_VALUE"""),118.0)</f>
        <v>118</v>
      </c>
      <c r="T56" s="15" t="str">
        <f>IFERROR(__xludf.DUMMYFUNCTION("""COMPUTED_VALUE"""),"40in")</f>
        <v>40in</v>
      </c>
      <c r="U56" s="15" t="str">
        <f>IFERROR(__xludf.DUMMYFUNCTION("""COMPUTED_VALUE"""),"E/F/M/R lower mezzanine to underpass for 7 service")</f>
        <v>E/F/M/R lower mezzanine to underpass for 7 service</v>
      </c>
      <c r="V56" s="15" t="str">
        <f>IFERROR(__xludf.DUMMYFUNCTION("""COMPUTED_VALUE"""),"POINT (-73.892456 40.746906)")</f>
        <v>POINT (-73.892456 40.746906)</v>
      </c>
    </row>
    <row r="57" ht="22.5" customHeight="1">
      <c r="A57" s="7" t="str">
        <f>IFERROR(__xludf.DUMMYFUNCTION("""COMPUTED_VALUE"""),"Fulton St")</f>
        <v>Fulton St</v>
      </c>
      <c r="B57" s="8" t="str">
        <f>IFERROR(__xludf.DUMMYFUNCTION("""COMPUTED_VALUE"""),"Broadway-7 Av Line")</f>
        <v>Broadway-7 Av Line</v>
      </c>
      <c r="C57" s="8" t="str">
        <f>IFERROR(__xludf.DUMMYFUNCTION("""COMPUTED_VALUE"""),"Manhattan")</f>
        <v>Manhattan</v>
      </c>
      <c r="D57" s="8" t="str">
        <f>IFERROR(__xludf.DUMMYFUNCTION("""COMPUTED_VALUE"""),"Financial District")</f>
        <v>Financial District</v>
      </c>
      <c r="E57" s="33">
        <f>IFERROR(__xludf.DUMMYFUNCTION("""COMPUTED_VALUE"""),6757.0)</f>
        <v>6757</v>
      </c>
      <c r="F57" s="10">
        <f>IFERROR(__xludf.DUMMYFUNCTION("""COMPUTED_VALUE"""),1.9221396E7)</f>
        <v>19221396</v>
      </c>
      <c r="G57" s="16">
        <f>IFERROR(__xludf.DUMMYFUNCTION("""COMPUTED_VALUE"""),5.0)</f>
        <v>5</v>
      </c>
      <c r="H57" s="10" t="str">
        <f>IFERROR(__xludf.DUMMYFUNCTION("""COMPUTED_VALUE"""),"↗️")</f>
        <v>↗️</v>
      </c>
      <c r="I57" s="13"/>
      <c r="J57" s="32">
        <f>IFERROR(__xludf.DUMMYFUNCTION("""COMPUTED_VALUE"""),41953.0)</f>
        <v>41953</v>
      </c>
      <c r="K57" s="8">
        <f>IFERROR(__xludf.DUMMYFUNCTION("""COMPUTED_VALUE"""),22.0)</f>
        <v>22</v>
      </c>
      <c r="L57" s="15" t="str">
        <f>IFERROR(__xludf.DUMMYFUNCTION("""COMPUTED_VALUE"""),"NO")</f>
        <v>NO</v>
      </c>
      <c r="M57" s="15" t="str">
        <f>IFERROR(__xludf.DUMMYFUNCTION("""COMPUTED_VALUE"""),"Private Contractor")</f>
        <v>Private Contractor</v>
      </c>
      <c r="N57" s="15" t="str">
        <f>IFERROR(__xludf.DUMMYFUNCTION("""COMPUTED_VALUE"""),"THYSSEN-KRUPP")</f>
        <v>THYSSEN-KRUPP</v>
      </c>
      <c r="O57" s="15" t="str">
        <f>IFERROR(__xludf.DUMMYFUNCTION("""COMPUTED_VALUE"""),"YES")</f>
        <v>YES</v>
      </c>
      <c r="P57" s="15" t="str">
        <f>IFERROR(__xludf.DUMMYFUNCTION("""COMPUTED_VALUE"""),"NO")</f>
        <v>NO</v>
      </c>
      <c r="Q57" s="15" t="str">
        <f>IFERROR(__xludf.DUMMYFUNCTION("""COMPUTED_VALUE"""),"NO")</f>
        <v>NO</v>
      </c>
      <c r="R57" s="15"/>
      <c r="S57" s="15"/>
      <c r="T57" s="15"/>
      <c r="U57" s="15" t="str">
        <f>IFERROR(__xludf.DUMMYFUNCTION("""COMPUTED_VALUE"""),"concourse to uptown 4/5 platform and access to Transit Center exit")</f>
        <v>concourse to uptown 4/5 platform and access to Transit Center exit</v>
      </c>
      <c r="V57" s="15" t="str">
        <f>IFERROR(__xludf.DUMMYFUNCTION("""COMPUTED_VALUE"""),"POINT (-74.00896 40.710472)")</f>
        <v>POINT (-74.00896 40.710472)</v>
      </c>
    </row>
    <row r="58" ht="22.5" customHeight="1">
      <c r="A58" s="7" t="str">
        <f>IFERROR(__xludf.DUMMYFUNCTION("""COMPUTED_VALUE"""),"Jamaica Center-Parsons/Archer")</f>
        <v>Jamaica Center-Parsons/Archer</v>
      </c>
      <c r="B58" s="8" t="str">
        <f>IFERROR(__xludf.DUMMYFUNCTION("""COMPUTED_VALUE"""),"Archer Av Line")</f>
        <v>Archer Av Line</v>
      </c>
      <c r="C58" s="8" t="str">
        <f>IFERROR(__xludf.DUMMYFUNCTION("""COMPUTED_VALUE"""),"Queens")</f>
        <v>Queens</v>
      </c>
      <c r="D58" s="8" t="str">
        <f>IFERROR(__xludf.DUMMYFUNCTION("""COMPUTED_VALUE"""),"Jamaica")</f>
        <v>Jamaica</v>
      </c>
      <c r="E58" s="33">
        <f>IFERROR(__xludf.DUMMYFUNCTION("""COMPUTED_VALUE"""),32488.0)</f>
        <v>32488</v>
      </c>
      <c r="F58" s="10">
        <f>IFERROR(__xludf.DUMMYFUNCTION("""COMPUTED_VALUE"""),6137267.0)</f>
        <v>6137267</v>
      </c>
      <c r="G58" s="19">
        <f>IFERROR(__xludf.DUMMYFUNCTION("""COMPUTED_VALUE"""),38.0)</f>
        <v>38</v>
      </c>
      <c r="H58" s="10" t="str">
        <f>IFERROR(__xludf.DUMMYFUNCTION("""COMPUTED_VALUE"""),"↗️")</f>
        <v>↗️</v>
      </c>
      <c r="I58" s="13">
        <f>IFERROR(__xludf.DUMMYFUNCTION("""COMPUTED_VALUE"""),32478.0)</f>
        <v>32478</v>
      </c>
      <c r="J58" s="32">
        <f>IFERROR(__xludf.DUMMYFUNCTION("""COMPUTED_VALUE"""),39643.0)</f>
        <v>39643</v>
      </c>
      <c r="K58" s="8">
        <f>IFERROR(__xludf.DUMMYFUNCTION("""COMPUTED_VALUE"""),22.0)</f>
        <v>22</v>
      </c>
      <c r="L58" s="15" t="str">
        <f>IFERROR(__xludf.DUMMYFUNCTION("""COMPUTED_VALUE"""),"YES")</f>
        <v>YES</v>
      </c>
      <c r="M58" s="15" t="str">
        <f>IFERROR(__xludf.DUMMYFUNCTION("""COMPUTED_VALUE"""),"NYCT")</f>
        <v>NYCT</v>
      </c>
      <c r="N58" s="15" t="str">
        <f>IFERROR(__xludf.DUMMYFUNCTION("""COMPUTED_VALUE"""),"KONE")</f>
        <v>KONE</v>
      </c>
      <c r="O58" s="15" t="str">
        <f>IFERROR(__xludf.DUMMYFUNCTION("""COMPUTED_VALUE"""),"YES")</f>
        <v>YES</v>
      </c>
      <c r="P58" s="15" t="str">
        <f>IFERROR(__xludf.DUMMYFUNCTION("""COMPUTED_VALUE"""),"NO")</f>
        <v>NO</v>
      </c>
      <c r="Q58" s="15" t="str">
        <f>IFERROR(__xludf.DUMMYFUNCTION("""COMPUTED_VALUE"""),"NO")</f>
        <v>NO</v>
      </c>
      <c r="R58" s="15" t="str">
        <f>IFERROR(__xludf.DUMMYFUNCTION("""COMPUTED_VALUE"""),"11'")</f>
        <v>11'</v>
      </c>
      <c r="S58" s="15">
        <f>IFERROR(__xludf.DUMMYFUNCTION("""COMPUTED_VALUE"""),53.0)</f>
        <v>53</v>
      </c>
      <c r="T58" s="15" t="str">
        <f>IFERROR(__xludf.DUMMYFUNCTION("""COMPUTED_VALUE"""),"40in")</f>
        <v>40in</v>
      </c>
      <c r="U58" s="15" t="str">
        <f>IFERROR(__xludf.DUMMYFUNCTION("""COMPUTED_VALUE"""),"E platform to mezzanine for 153 St &amp; Archer Ave exit")</f>
        <v>E platform to mezzanine for 153 St &amp; Archer Ave exit</v>
      </c>
      <c r="V58" s="15" t="str">
        <f>IFERROR(__xludf.DUMMYFUNCTION("""COMPUTED_VALUE"""),"POINT (-73.80144 40.7021)")</f>
        <v>POINT (-73.80144 40.7021)</v>
      </c>
    </row>
    <row r="59" ht="22.5" customHeight="1">
      <c r="A59" s="7" t="str">
        <f>IFERROR(__xludf.DUMMYFUNCTION("""COMPUTED_VALUE"""),"34 St-Hudson Yards")</f>
        <v>34 St-Hudson Yards</v>
      </c>
      <c r="B59" s="8" t="str">
        <f>IFERROR(__xludf.DUMMYFUNCTION("""COMPUTED_VALUE"""),"Flushing Line")</f>
        <v>Flushing Line</v>
      </c>
      <c r="C59" s="8" t="str">
        <f>IFERROR(__xludf.DUMMYFUNCTION("""COMPUTED_VALUE"""),"Manhattan")</f>
        <v>Manhattan</v>
      </c>
      <c r="D59" s="8" t="str">
        <f>IFERROR(__xludf.DUMMYFUNCTION("""COMPUTED_VALUE"""),"Hell's Kitchen")</f>
        <v>Hell's Kitchen</v>
      </c>
      <c r="E59" s="33">
        <f>IFERROR(__xludf.DUMMYFUNCTION("""COMPUTED_VALUE"""),42260.0)</f>
        <v>42260</v>
      </c>
      <c r="F59" s="10">
        <f>IFERROR(__xludf.DUMMYFUNCTION("""COMPUTED_VALUE"""),6082370.0)</f>
        <v>6082370</v>
      </c>
      <c r="G59" s="17">
        <f>IFERROR(__xludf.DUMMYFUNCTION("""COMPUTED_VALUE"""),39.0)</f>
        <v>39</v>
      </c>
      <c r="H59" s="31" t="str">
        <f>IFERROR(__xludf.DUMMYFUNCTION("""COMPUTED_VALUE"""),"↗️")</f>
        <v>↗️</v>
      </c>
      <c r="I59" s="13">
        <f>IFERROR(__xludf.DUMMYFUNCTION("""COMPUTED_VALUE"""),42260.0)</f>
        <v>42260</v>
      </c>
      <c r="J59" s="32">
        <f>IFERROR(__xludf.DUMMYFUNCTION("""COMPUTED_VALUE"""),42260.0)</f>
        <v>42260</v>
      </c>
      <c r="K59" s="8">
        <f>IFERROR(__xludf.DUMMYFUNCTION("""COMPUTED_VALUE"""),22.0)</f>
        <v>22</v>
      </c>
      <c r="L59" s="15" t="str">
        <f>IFERROR(__xludf.DUMMYFUNCTION("""COMPUTED_VALUE"""),"YES")</f>
        <v>YES</v>
      </c>
      <c r="M59" s="15" t="str">
        <f>IFERROR(__xludf.DUMMYFUNCTION("""COMPUTED_VALUE"""),"NYCT")</f>
        <v>NYCT</v>
      </c>
      <c r="N59" s="15" t="str">
        <f>IFERROR(__xludf.DUMMYFUNCTION("""COMPUTED_VALUE"""),"KONE")</f>
        <v>KONE</v>
      </c>
      <c r="O59" s="15" t="str">
        <f>IFERROR(__xludf.DUMMYFUNCTION("""COMPUTED_VALUE"""),"YES")</f>
        <v>YES</v>
      </c>
      <c r="P59" s="15" t="str">
        <f>IFERROR(__xludf.DUMMYFUNCTION("""COMPUTED_VALUE"""),"YES")</f>
        <v>YES</v>
      </c>
      <c r="Q59" s="15" t="str">
        <f>IFERROR(__xludf.DUMMYFUNCTION("""COMPUTED_VALUE"""),"YES")</f>
        <v>YES</v>
      </c>
      <c r="R59" s="15" t="str">
        <f>IFERROR(__xludf.DUMMYFUNCTION("""COMPUTED_VALUE"""),"30'")</f>
        <v>30'</v>
      </c>
      <c r="S59" s="15">
        <f>IFERROR(__xludf.DUMMYFUNCTION("""COMPUTED_VALUE"""),109.0)</f>
        <v>109</v>
      </c>
      <c r="T59" s="15">
        <f>IFERROR(__xludf.DUMMYFUNCTION("""COMPUTED_VALUE"""),24.0)</f>
        <v>24</v>
      </c>
      <c r="U59" s="15" t="str">
        <f>IFERROR(__xludf.DUMMYFUNCTION("""COMPUTED_VALUE"""),"upper mezzanine to Hudson Blvd E (between 33 St &amp; 34 St)")</f>
        <v>upper mezzanine to Hudson Blvd E (between 33 St &amp; 34 St)</v>
      </c>
      <c r="V59" s="15" t="str">
        <f>IFERROR(__xludf.DUMMYFUNCTION("""COMPUTED_VALUE"""),"POINT (-74.00105 40.75495)")</f>
        <v>POINT (-74.00105 40.75495)</v>
      </c>
    </row>
    <row r="60" ht="22.5" customHeight="1">
      <c r="A60" s="7" t="str">
        <f>IFERROR(__xludf.DUMMYFUNCTION("""COMPUTED_VALUE"""),"Roosevelt Island")</f>
        <v>Roosevelt Island</v>
      </c>
      <c r="B60" s="8" t="str">
        <f>IFERROR(__xludf.DUMMYFUNCTION("""COMPUTED_VALUE"""),"63rd St Line")</f>
        <v>63rd St Line</v>
      </c>
      <c r="C60" s="8" t="str">
        <f>IFERROR(__xludf.DUMMYFUNCTION("""COMPUTED_VALUE"""),"Manhattan")</f>
        <v>Manhattan</v>
      </c>
      <c r="D60" s="8" t="str">
        <f>IFERROR(__xludf.DUMMYFUNCTION("""COMPUTED_VALUE"""),"Roosevelt Island")</f>
        <v>Roosevelt Island</v>
      </c>
      <c r="E60" s="33">
        <f>IFERROR(__xludf.DUMMYFUNCTION("""COMPUTED_VALUE"""),32810.0)</f>
        <v>32810</v>
      </c>
      <c r="F60" s="10">
        <f>IFERROR(__xludf.DUMMYFUNCTION("""COMPUTED_VALUE"""),1885823.0)</f>
        <v>1885823</v>
      </c>
      <c r="G60" s="17">
        <f>IFERROR(__xludf.DUMMYFUNCTION("""COMPUTED_VALUE"""),171.0)</f>
        <v>171</v>
      </c>
      <c r="H60" s="31" t="str">
        <f>IFERROR(__xludf.DUMMYFUNCTION("""COMPUTED_VALUE"""),"↗️")</f>
        <v>↗️</v>
      </c>
      <c r="I60" s="13">
        <f>IFERROR(__xludf.DUMMYFUNCTION("""COMPUTED_VALUE"""),35258.0)</f>
        <v>35258</v>
      </c>
      <c r="J60" s="32">
        <f>IFERROR(__xludf.DUMMYFUNCTION("""COMPUTED_VALUE"""),45207.0)</f>
        <v>45207</v>
      </c>
      <c r="K60" s="8">
        <f>IFERROR(__xludf.DUMMYFUNCTION("""COMPUTED_VALUE"""),22.0)</f>
        <v>22</v>
      </c>
      <c r="L60" s="15" t="str">
        <f>IFERROR(__xludf.DUMMYFUNCTION("""COMPUTED_VALUE"""),"YES")</f>
        <v>YES</v>
      </c>
      <c r="M60" s="15" t="str">
        <f>IFERROR(__xludf.DUMMYFUNCTION("""COMPUTED_VALUE"""),"NYCT")</f>
        <v>NYCT</v>
      </c>
      <c r="N60" s="15" t="str">
        <f>IFERROR(__xludf.DUMMYFUNCTION("""COMPUTED_VALUE"""),"OK")</f>
        <v>OK</v>
      </c>
      <c r="O60" s="15" t="str">
        <f>IFERROR(__xludf.DUMMYFUNCTION("""COMPUTED_VALUE"""),"YES")</f>
        <v>YES</v>
      </c>
      <c r="P60" s="15" t="str">
        <f>IFERROR(__xludf.DUMMYFUNCTION("""COMPUTED_VALUE"""),"NO")</f>
        <v>NO</v>
      </c>
      <c r="Q60" s="15" t="str">
        <f>IFERROR(__xludf.DUMMYFUNCTION("""COMPUTED_VALUE"""),"NO")</f>
        <v>NO</v>
      </c>
      <c r="R60" s="15" t="str">
        <f>IFERROR(__xludf.DUMMYFUNCTION("""COMPUTED_VALUE"""),"36'")</f>
        <v>36'</v>
      </c>
      <c r="S60" s="15">
        <f>IFERROR(__xludf.DUMMYFUNCTION("""COMPUTED_VALUE"""),129.0)</f>
        <v>129</v>
      </c>
      <c r="T60" s="15">
        <f>IFERROR(__xludf.DUMMYFUNCTION("""COMPUTED_VALUE"""),40.0)</f>
        <v>40</v>
      </c>
      <c r="U60" s="15" t="str">
        <f>IFERROR(__xludf.DUMMYFUNCTION("""COMPUTED_VALUE"""),"lower mezzanine to intermediate mezzanine")</f>
        <v>lower mezzanine to intermediate mezzanine</v>
      </c>
      <c r="V60" s="15" t="str">
        <f>IFERROR(__xludf.DUMMYFUNCTION("""COMPUTED_VALUE"""),"POINT (-73.952835 40.758938)")</f>
        <v>POINT (-73.952835 40.758938)</v>
      </c>
    </row>
    <row r="61" ht="22.5" customHeight="1">
      <c r="A61" s="7" t="str">
        <f>IFERROR(__xludf.DUMMYFUNCTION("""COMPUTED_VALUE"""),"145 St")</f>
        <v>145 St</v>
      </c>
      <c r="B61" s="8" t="str">
        <f>IFERROR(__xludf.DUMMYFUNCTION("""COMPUTED_VALUE"""),"Broadway-7 Av Line")</f>
        <v>Broadway-7 Av Line</v>
      </c>
      <c r="C61" s="8" t="str">
        <f>IFERROR(__xludf.DUMMYFUNCTION("""COMPUTED_VALUE"""),"Manhattan")</f>
        <v>Manhattan</v>
      </c>
      <c r="D61" s="8" t="str">
        <f>IFERROR(__xludf.DUMMYFUNCTION("""COMPUTED_VALUE"""),"Hamilton Heights")</f>
        <v>Hamilton Heights</v>
      </c>
      <c r="E61" s="33">
        <f>IFERROR(__xludf.DUMMYFUNCTION("""COMPUTED_VALUE"""),1762.0)</f>
        <v>1762</v>
      </c>
      <c r="F61" s="10">
        <f>IFERROR(__xludf.DUMMYFUNCTION("""COMPUTED_VALUE"""),2114398.0)</f>
        <v>2114398</v>
      </c>
      <c r="G61" s="17">
        <f>IFERROR(__xludf.DUMMYFUNCTION("""COMPUTED_VALUE"""),158.0)</f>
        <v>158</v>
      </c>
      <c r="H61" s="31" t="str">
        <f>IFERROR(__xludf.DUMMYFUNCTION("""COMPUTED_VALUE"""),"↗️")</f>
        <v>↗️</v>
      </c>
      <c r="I61" s="13">
        <f>IFERROR(__xludf.DUMMYFUNCTION("""COMPUTED_VALUE"""),12236.0)</f>
        <v>12236</v>
      </c>
      <c r="J61" s="32">
        <f>IFERROR(__xludf.DUMMYFUNCTION("""COMPUTED_VALUE"""),37176.0)</f>
        <v>37176</v>
      </c>
      <c r="K61" s="8">
        <f>IFERROR(__xludf.DUMMYFUNCTION("""COMPUTED_VALUE"""),22.0)</f>
        <v>22</v>
      </c>
      <c r="L61" s="15" t="str">
        <f>IFERROR(__xludf.DUMMYFUNCTION("""COMPUTED_VALUE"""),"YES")</f>
        <v>YES</v>
      </c>
      <c r="M61" s="15" t="str">
        <f>IFERROR(__xludf.DUMMYFUNCTION("""COMPUTED_VALUE"""),"NYCT")</f>
        <v>NYCT</v>
      </c>
      <c r="N61" s="15" t="str">
        <f>IFERROR(__xludf.DUMMYFUNCTION("""COMPUTED_VALUE"""),"OK")</f>
        <v>OK</v>
      </c>
      <c r="O61" s="15" t="str">
        <f>IFERROR(__xludf.DUMMYFUNCTION("""COMPUTED_VALUE"""),"YES")</f>
        <v>YES</v>
      </c>
      <c r="P61" s="15" t="str">
        <f>IFERROR(__xludf.DUMMYFUNCTION("""COMPUTED_VALUE"""),"NO")</f>
        <v>NO</v>
      </c>
      <c r="Q61" s="15" t="str">
        <f>IFERROR(__xludf.DUMMYFUNCTION("""COMPUTED_VALUE"""),"NO")</f>
        <v>NO</v>
      </c>
      <c r="R61" s="15" t="str">
        <f>IFERROR(__xludf.DUMMYFUNCTION("""COMPUTED_VALUE"""),"27'")</f>
        <v>27'</v>
      </c>
      <c r="S61" s="15">
        <f>IFERROR(__xludf.DUMMYFUNCTION("""COMPUTED_VALUE"""),98.0)</f>
        <v>98</v>
      </c>
      <c r="T61" s="15">
        <f>IFERROR(__xludf.DUMMYFUNCTION("""COMPUTED_VALUE"""),24.0)</f>
        <v>24</v>
      </c>
      <c r="U61" s="15" t="str">
        <f>IFERROR(__xludf.DUMMYFUNCTION("""COMPUTED_VALUE"""),"uptown B/D platform to mezzanine for 145 St &amp; St Nicholas Av exit")</f>
        <v>uptown B/D platform to mezzanine for 145 St &amp; St Nicholas Av exit</v>
      </c>
      <c r="V61" s="15" t="str">
        <f>IFERROR(__xludf.DUMMYFUNCTION("""COMPUTED_VALUE"""),"POINT (-73.94464 40.824055)")</f>
        <v>POINT (-73.94464 40.824055)</v>
      </c>
    </row>
    <row r="62" ht="22.5" customHeight="1">
      <c r="A62" s="7" t="str">
        <f>IFERROR(__xludf.DUMMYFUNCTION("""COMPUTED_VALUE"""),"Grand Central-42 St")</f>
        <v>Grand Central-42 St</v>
      </c>
      <c r="B62" s="8" t="str">
        <f>IFERROR(__xludf.DUMMYFUNCTION("""COMPUTED_VALUE"""),"42nd St Line")</f>
        <v>42nd St Line</v>
      </c>
      <c r="C62" s="8" t="str">
        <f>IFERROR(__xludf.DUMMYFUNCTION("""COMPUTED_VALUE"""),"Manhattan")</f>
        <v>Manhattan</v>
      </c>
      <c r="D62" s="8" t="str">
        <f>IFERROR(__xludf.DUMMYFUNCTION("""COMPUTED_VALUE"""),"Midtown")</f>
        <v>Midtown</v>
      </c>
      <c r="E62" s="33">
        <f>IFERROR(__xludf.DUMMYFUNCTION("""COMPUTED_VALUE"""),1762.0)</f>
        <v>1762</v>
      </c>
      <c r="F62" s="10">
        <f>IFERROR(__xludf.DUMMYFUNCTION("""COMPUTED_VALUE"""),3.3496874E7)</f>
        <v>33496874</v>
      </c>
      <c r="G62" s="17">
        <f>IFERROR(__xludf.DUMMYFUNCTION("""COMPUTED_VALUE"""),2.0)</f>
        <v>2</v>
      </c>
      <c r="H62" s="31" t="str">
        <f>IFERROR(__xludf.DUMMYFUNCTION("""COMPUTED_VALUE"""),"↗️")</f>
        <v>↗️</v>
      </c>
      <c r="I62" s="13">
        <f>IFERROR(__xludf.DUMMYFUNCTION("""COMPUTED_VALUE"""),44174.0)</f>
        <v>44174</v>
      </c>
      <c r="J62" s="32">
        <f>IFERROR(__xludf.DUMMYFUNCTION("""COMPUTED_VALUE"""),44174.0)</f>
        <v>44174</v>
      </c>
      <c r="K62" s="8">
        <f>IFERROR(__xludf.DUMMYFUNCTION("""COMPUTED_VALUE"""),22.0)</f>
        <v>22</v>
      </c>
      <c r="L62" s="15" t="str">
        <f>IFERROR(__xludf.DUMMYFUNCTION("""COMPUTED_VALUE"""),"NO")</f>
        <v>NO</v>
      </c>
      <c r="M62" s="15" t="str">
        <f>IFERROR(__xludf.DUMMYFUNCTION("""COMPUTED_VALUE"""),"Private Contractor")</f>
        <v>Private Contractor</v>
      </c>
      <c r="N62" s="15"/>
      <c r="O62" s="15" t="str">
        <f>IFERROR(__xludf.DUMMYFUNCTION("""COMPUTED_VALUE"""),"YES")</f>
        <v>YES</v>
      </c>
      <c r="P62" s="15"/>
      <c r="Q62" s="15"/>
      <c r="R62" s="15"/>
      <c r="S62" s="15"/>
      <c r="T62" s="15"/>
      <c r="U62" s="15" t="str">
        <f>IFERROR(__xludf.DUMMYFUNCTION("""COMPUTED_VALUE"""),"LIRR â€œMadison Concourseâ€ to Shuttle platform.")</f>
        <v>LIRR â€œMadison Concourseâ€_x009d_ to Shuttle platform.</v>
      </c>
      <c r="V62" s="15" t="str">
        <f>IFERROR(__xludf.DUMMYFUNCTION("""COMPUTED_VALUE"""),"POINT (-73.93359 40.849506)")</f>
        <v>POINT (-73.93359 40.849506)</v>
      </c>
    </row>
    <row r="63" ht="22.5" customHeight="1">
      <c r="A63" s="7" t="str">
        <f>IFERROR(__xludf.DUMMYFUNCTION("""COMPUTED_VALUE"""),"Jamaica Van Wyck")</f>
        <v>Jamaica Van Wyck</v>
      </c>
      <c r="B63" s="8" t="str">
        <f>IFERROR(__xludf.DUMMYFUNCTION("""COMPUTED_VALUE"""),"")</f>
        <v/>
      </c>
      <c r="C63" s="8" t="str">
        <f>IFERROR(__xludf.DUMMYFUNCTION("""COMPUTED_VALUE"""),"")</f>
        <v/>
      </c>
      <c r="D63" s="8" t="str">
        <f>IFERROR(__xludf.DUMMYFUNCTION("""COMPUTED_VALUE"""),"")</f>
        <v/>
      </c>
      <c r="E63" s="33" t="str">
        <f>IFERROR(__xludf.DUMMYFUNCTION("""COMPUTED_VALUE"""),"")</f>
        <v/>
      </c>
      <c r="F63" s="10" t="str">
        <f>IFERROR(__xludf.DUMMYFUNCTION("""COMPUTED_VALUE"""),"")</f>
        <v/>
      </c>
      <c r="G63" s="17" t="str">
        <f>IFERROR(__xludf.DUMMYFUNCTION("""COMPUTED_VALUE"""),"")</f>
        <v/>
      </c>
      <c r="H63" s="31" t="str">
        <f>IFERROR(__xludf.DUMMYFUNCTION("""COMPUTED_VALUE"""),"↗️")</f>
        <v>↗️</v>
      </c>
      <c r="I63" s="13">
        <f>IFERROR(__xludf.DUMMYFUNCTION("""COMPUTED_VALUE"""),32478.0)</f>
        <v>32478</v>
      </c>
      <c r="J63" s="32">
        <f>IFERROR(__xludf.DUMMYFUNCTION("""COMPUTED_VALUE"""),39808.0)</f>
        <v>39808</v>
      </c>
      <c r="K63" s="8">
        <f>IFERROR(__xludf.DUMMYFUNCTION("""COMPUTED_VALUE"""),22.0)</f>
        <v>22</v>
      </c>
      <c r="L63" s="15" t="str">
        <f>IFERROR(__xludf.DUMMYFUNCTION("""COMPUTED_VALUE"""),"YES")</f>
        <v>YES</v>
      </c>
      <c r="M63" s="15" t="str">
        <f>IFERROR(__xludf.DUMMYFUNCTION("""COMPUTED_VALUE"""),"NYCT")</f>
        <v>NYCT</v>
      </c>
      <c r="N63" s="15" t="str">
        <f>IFERROR(__xludf.DUMMYFUNCTION("""COMPUTED_VALUE"""),"KONE")</f>
        <v>KONE</v>
      </c>
      <c r="O63" s="15" t="str">
        <f>IFERROR(__xludf.DUMMYFUNCTION("""COMPUTED_VALUE"""),"YES")</f>
        <v>YES</v>
      </c>
      <c r="P63" s="15" t="str">
        <f>IFERROR(__xludf.DUMMYFUNCTION("""COMPUTED_VALUE"""),"YES")</f>
        <v>YES</v>
      </c>
      <c r="Q63" s="15" t="str">
        <f>IFERROR(__xludf.DUMMYFUNCTION("""COMPUTED_VALUE"""),"YES")</f>
        <v>YES</v>
      </c>
      <c r="R63" s="15" t="str">
        <f>IFERROR(__xludf.DUMMYFUNCTION("""COMPUTED_VALUE"""),"26'")</f>
        <v>26'</v>
      </c>
      <c r="S63" s="15">
        <f>IFERROR(__xludf.DUMMYFUNCTION("""COMPUTED_VALUE"""),96.0)</f>
        <v>96</v>
      </c>
      <c r="T63" s="15" t="str">
        <f>IFERROR(__xludf.DUMMYFUNCTION("""COMPUTED_VALUE"""),"40in")</f>
        <v>40in</v>
      </c>
      <c r="U63" s="15" t="str">
        <f>IFERROR(__xludf.DUMMYFUNCTION("""COMPUTED_VALUE"""),"mezzanine to Metropolitan Ave &amp; Jamaica Ave (NE corner)")</f>
        <v>mezzanine to Metropolitan Ave &amp; Jamaica Ave (NE corner)</v>
      </c>
      <c r="V63" s="15" t="str">
        <f>IFERROR(__xludf.DUMMYFUNCTION("""COMPUTED_VALUE"""),"POINT (-73.81707 40.702473)")</f>
        <v>POINT (-73.81707 40.702473)</v>
      </c>
    </row>
    <row r="64" ht="22.5" customHeight="1">
      <c r="A64" s="7" t="str">
        <f>IFERROR(__xludf.DUMMYFUNCTION("""COMPUTED_VALUE"""),"Grand Central-42 St")</f>
        <v>Grand Central-42 St</v>
      </c>
      <c r="B64" s="8" t="str">
        <f>IFERROR(__xludf.DUMMYFUNCTION("""COMPUTED_VALUE"""),"42nd St Line")</f>
        <v>42nd St Line</v>
      </c>
      <c r="C64" s="8" t="str">
        <f>IFERROR(__xludf.DUMMYFUNCTION("""COMPUTED_VALUE"""),"Manhattan")</f>
        <v>Manhattan</v>
      </c>
      <c r="D64" s="8" t="str">
        <f>IFERROR(__xludf.DUMMYFUNCTION("""COMPUTED_VALUE"""),"Midtown")</f>
        <v>Midtown</v>
      </c>
      <c r="E64" s="33">
        <f>IFERROR(__xludf.DUMMYFUNCTION("""COMPUTED_VALUE"""),1762.0)</f>
        <v>1762</v>
      </c>
      <c r="F64" s="10">
        <f>IFERROR(__xludf.DUMMYFUNCTION("""COMPUTED_VALUE"""),3.3496874E7)</f>
        <v>33496874</v>
      </c>
      <c r="G64" s="17">
        <f>IFERROR(__xludf.DUMMYFUNCTION("""COMPUTED_VALUE"""),2.0)</f>
        <v>2</v>
      </c>
      <c r="H64" s="8" t="str">
        <f>IFERROR(__xludf.DUMMYFUNCTION("""COMPUTED_VALUE"""),"↗️")</f>
        <v>↗️</v>
      </c>
      <c r="I64" s="13"/>
      <c r="J64" s="32">
        <f>IFERROR(__xludf.DUMMYFUNCTION("""COMPUTED_VALUE"""),41091.0)</f>
        <v>41091</v>
      </c>
      <c r="K64" s="8">
        <f>IFERROR(__xludf.DUMMYFUNCTION("""COMPUTED_VALUE"""),22.0)</f>
        <v>22</v>
      </c>
      <c r="L64" s="15" t="str">
        <f>IFERROR(__xludf.DUMMYFUNCTION("""COMPUTED_VALUE"""),"NO")</f>
        <v>NO</v>
      </c>
      <c r="M64" s="15" t="str">
        <f>IFERROR(__xludf.DUMMYFUNCTION("""COMPUTED_VALUE"""),"Private Contractor")</f>
        <v>Private Contractor</v>
      </c>
      <c r="N64" s="15" t="str">
        <f>IFERROR(__xludf.DUMMYFUNCTION("""COMPUTED_VALUE"""),"AM")</f>
        <v>AM</v>
      </c>
      <c r="O64" s="15" t="str">
        <f>IFERROR(__xludf.DUMMYFUNCTION("""COMPUTED_VALUE"""),"YES")</f>
        <v>YES</v>
      </c>
      <c r="P64" s="15" t="str">
        <f>IFERROR(__xludf.DUMMYFUNCTION("""COMPUTED_VALUE"""),"NO")</f>
        <v>NO</v>
      </c>
      <c r="Q64" s="15" t="str">
        <f>IFERROR(__xludf.DUMMYFUNCTION("""COMPUTED_VALUE"""),"NO")</f>
        <v>NO</v>
      </c>
      <c r="R64" s="15"/>
      <c r="S64" s="15"/>
      <c r="T64" s="15"/>
      <c r="U64" s="15" t="str">
        <f>IFERROR(__xludf.DUMMYFUNCTION("""COMPUTED_VALUE"""),"Park Ave &amp; 42 St (SW corner) to mezzanine for 4/5/6 service")</f>
        <v>Park Ave &amp; 42 St (SW corner) to mezzanine for 4/5/6 service</v>
      </c>
      <c r="V64" s="15" t="str">
        <f>IFERROR(__xludf.DUMMYFUNCTION("""COMPUTED_VALUE"""),"POINT (-73.97919 40.75276)")</f>
        <v>POINT (-73.97919 40.75276)</v>
      </c>
    </row>
    <row r="65" ht="22.5" customHeight="1">
      <c r="A65" s="7" t="str">
        <f>IFERROR(__xludf.DUMMYFUNCTION("""COMPUTED_VALUE"""),"34 St-Herald Sq")</f>
        <v>34 St-Herald Sq</v>
      </c>
      <c r="B65" s="8" t="str">
        <f>IFERROR(__xludf.DUMMYFUNCTION("""COMPUTED_VALUE"""),"Broadway Line")</f>
        <v>Broadway Line</v>
      </c>
      <c r="C65" s="8" t="str">
        <f>IFERROR(__xludf.DUMMYFUNCTION("""COMPUTED_VALUE"""),"Manhattan")</f>
        <v>Manhattan</v>
      </c>
      <c r="D65" s="8" t="str">
        <f>IFERROR(__xludf.DUMMYFUNCTION("""COMPUTED_VALUE"""),"Midtown")</f>
        <v>Midtown</v>
      </c>
      <c r="E65" s="33">
        <f>IFERROR(__xludf.DUMMYFUNCTION("""COMPUTED_VALUE"""),6580.0)</f>
        <v>6580</v>
      </c>
      <c r="F65" s="10">
        <f>IFERROR(__xludf.DUMMYFUNCTION("""COMPUTED_VALUE"""),2.5012549E7)</f>
        <v>25012549</v>
      </c>
      <c r="G65" s="19">
        <f>IFERROR(__xludf.DUMMYFUNCTION("""COMPUTED_VALUE"""),3.0)</f>
        <v>3</v>
      </c>
      <c r="H65" s="10" t="str">
        <f>IFERROR(__xludf.DUMMYFUNCTION("""COMPUTED_VALUE"""),"↗️")</f>
        <v>↗️</v>
      </c>
      <c r="I65" s="13">
        <f>IFERROR(__xludf.DUMMYFUNCTION("""COMPUTED_VALUE"""),14960.0)</f>
        <v>14960</v>
      </c>
      <c r="J65" s="32">
        <f>IFERROR(__xludf.DUMMYFUNCTION("""COMPUTED_VALUE"""),39044.0)</f>
        <v>39044</v>
      </c>
      <c r="K65" s="8">
        <f>IFERROR(__xludf.DUMMYFUNCTION("""COMPUTED_VALUE"""),22.0)</f>
        <v>22</v>
      </c>
      <c r="L65" s="15" t="str">
        <f>IFERROR(__xludf.DUMMYFUNCTION("""COMPUTED_VALUE"""),"YES")</f>
        <v>YES</v>
      </c>
      <c r="M65" s="15" t="str">
        <f>IFERROR(__xludf.DUMMYFUNCTION("""COMPUTED_VALUE"""),"NYCT")</f>
        <v>NYCT</v>
      </c>
      <c r="N65" s="15" t="str">
        <f>IFERROR(__xludf.DUMMYFUNCTION("""COMPUTED_VALUE"""),"FUJITEC")</f>
        <v>FUJITEC</v>
      </c>
      <c r="O65" s="15" t="str">
        <f>IFERROR(__xludf.DUMMYFUNCTION("""COMPUTED_VALUE"""),"YES")</f>
        <v>YES</v>
      </c>
      <c r="P65" s="15" t="str">
        <f>IFERROR(__xludf.DUMMYFUNCTION("""COMPUTED_VALUE"""),"NO")</f>
        <v>NO</v>
      </c>
      <c r="Q65" s="15" t="str">
        <f>IFERROR(__xludf.DUMMYFUNCTION("""COMPUTED_VALUE"""),"NO")</f>
        <v>NO</v>
      </c>
      <c r="R65" s="15" t="str">
        <f>IFERROR(__xludf.DUMMYFUNCTION("""COMPUTED_VALUE"""),"30'")</f>
        <v>30'</v>
      </c>
      <c r="S65" s="15">
        <f>IFERROR(__xludf.DUMMYFUNCTION("""COMPUTED_VALUE"""),110.0)</f>
        <v>110</v>
      </c>
      <c r="T65" s="15">
        <f>IFERROR(__xludf.DUMMYFUNCTION("""COMPUTED_VALUE"""),24.0)</f>
        <v>24</v>
      </c>
      <c r="U65" s="15" t="str">
        <f>IFERROR(__xludf.DUMMYFUNCTION("""COMPUTED_VALUE"""),"uptown B/D/F/M platform to mezzanine for N/Q/R/W service")</f>
        <v>uptown B/D/F/M platform to mezzanine for N/Q/R/W service</v>
      </c>
      <c r="V65" s="15" t="str">
        <f>IFERROR(__xludf.DUMMYFUNCTION("""COMPUTED_VALUE"""),"POINT (-73.98772 40.749756)")</f>
        <v>POINT (-73.98772 40.749756)</v>
      </c>
    </row>
    <row r="66" ht="22.5" customHeight="1">
      <c r="A66" s="7" t="str">
        <f>IFERROR(__xludf.DUMMYFUNCTION("""COMPUTED_VALUE"""),"72 St")</f>
        <v>72 St</v>
      </c>
      <c r="B66" s="8" t="str">
        <f>IFERROR(__xludf.DUMMYFUNCTION("""COMPUTED_VALUE"""),"Broadway-7 Av Line")</f>
        <v>Broadway-7 Av Line</v>
      </c>
      <c r="C66" s="8" t="str">
        <f>IFERROR(__xludf.DUMMYFUNCTION("""COMPUTED_VALUE"""),"Manhattan")</f>
        <v>Manhattan</v>
      </c>
      <c r="D66" s="8" t="str">
        <f>IFERROR(__xludf.DUMMYFUNCTION("""COMPUTED_VALUE"""),"Upper West Side")</f>
        <v>Upper West Side</v>
      </c>
      <c r="E66" s="33">
        <f>IFERROR(__xludf.DUMMYFUNCTION("""COMPUTED_VALUE"""),1762.0)</f>
        <v>1762</v>
      </c>
      <c r="F66" s="10">
        <f>IFERROR(__xludf.DUMMYFUNCTION("""COMPUTED_VALUE"""),9752193.0)</f>
        <v>9752193</v>
      </c>
      <c r="G66" s="19">
        <f>IFERROR(__xludf.DUMMYFUNCTION("""COMPUTED_VALUE"""),22.0)</f>
        <v>22</v>
      </c>
      <c r="H66" s="10" t="str">
        <f>IFERROR(__xludf.DUMMYFUNCTION("""COMPUTED_VALUE"""),"↗️")</f>
        <v>↗️</v>
      </c>
      <c r="I66" s="13">
        <f>IFERROR(__xludf.DUMMYFUNCTION("""COMPUTED_VALUE"""),42736.0)</f>
        <v>42736</v>
      </c>
      <c r="J66" s="32">
        <f>IFERROR(__xludf.DUMMYFUNCTION("""COMPUTED_VALUE"""),42736.0)</f>
        <v>42736</v>
      </c>
      <c r="K66" s="8">
        <f>IFERROR(__xludf.DUMMYFUNCTION("""COMPUTED_VALUE"""),22.0)</f>
        <v>22</v>
      </c>
      <c r="L66" s="15" t="str">
        <f>IFERROR(__xludf.DUMMYFUNCTION("""COMPUTED_VALUE"""),"YES")</f>
        <v>YES</v>
      </c>
      <c r="M66" s="15" t="str">
        <f>IFERROR(__xludf.DUMMYFUNCTION("""COMPUTED_VALUE"""),"NYCT")</f>
        <v>NYCT</v>
      </c>
      <c r="N66" s="15" t="str">
        <f>IFERROR(__xludf.DUMMYFUNCTION("""COMPUTED_VALUE"""),"SCHINDLER")</f>
        <v>SCHINDLER</v>
      </c>
      <c r="O66" s="15" t="str">
        <f>IFERROR(__xludf.DUMMYFUNCTION("""COMPUTED_VALUE"""),"YES")</f>
        <v>YES</v>
      </c>
      <c r="P66" s="15" t="str">
        <f>IFERROR(__xludf.DUMMYFUNCTION("""COMPUTED_VALUE"""),"YES")</f>
        <v>YES</v>
      </c>
      <c r="Q66" s="15" t="str">
        <f>IFERROR(__xludf.DUMMYFUNCTION("""COMPUTED_VALUE"""),"YES")</f>
        <v>YES</v>
      </c>
      <c r="R66" s="15" t="str">
        <f>IFERROR(__xludf.DUMMYFUNCTION("""COMPUTED_VALUE"""),"3783 mm (12' 4 23/25in)")</f>
        <v>3783 mm (12' 4 23/25in)</v>
      </c>
      <c r="S66" s="15">
        <f>IFERROR(__xludf.DUMMYFUNCTION("""COMPUTED_VALUE"""),0.0)</f>
        <v>0</v>
      </c>
      <c r="T66" s="15"/>
      <c r="U66" s="15" t="str">
        <f>IFERROR(__xludf.DUMMYFUNCTION("""COMPUTED_VALUE"""),"upper mezzanine to 70 St &amp; 2nd Ave (SE corner)")</f>
        <v>upper mezzanine to 70 St &amp; 2nd Ave (SE corner)</v>
      </c>
      <c r="V66" s="15" t="str">
        <f>IFERROR(__xludf.DUMMYFUNCTION("""COMPUTED_VALUE"""),"POINT (-73.95946 40.767166)")</f>
        <v>POINT (-73.95946 40.767166)</v>
      </c>
    </row>
    <row r="67" ht="22.5" customHeight="1">
      <c r="A67" s="7" t="str">
        <f>IFERROR(__xludf.DUMMYFUNCTION("""COMPUTED_VALUE"""),"96 St")</f>
        <v>96 St</v>
      </c>
      <c r="B67" s="8" t="str">
        <f>IFERROR(__xludf.DUMMYFUNCTION("""COMPUTED_VALUE"""),"Broadway-7 Av Line")</f>
        <v>Broadway-7 Av Line</v>
      </c>
      <c r="C67" s="8" t="str">
        <f>IFERROR(__xludf.DUMMYFUNCTION("""COMPUTED_VALUE"""),"Manhattan")</f>
        <v>Manhattan</v>
      </c>
      <c r="D67" s="8" t="str">
        <f>IFERROR(__xludf.DUMMYFUNCTION("""COMPUTED_VALUE"""),"Upper West Side")</f>
        <v>Upper West Side</v>
      </c>
      <c r="E67" s="33">
        <f>IFERROR(__xludf.DUMMYFUNCTION("""COMPUTED_VALUE"""),1762.0)</f>
        <v>1762</v>
      </c>
      <c r="F67" s="10">
        <f>IFERROR(__xludf.DUMMYFUNCTION("""COMPUTED_VALUE"""),8250940.0)</f>
        <v>8250940</v>
      </c>
      <c r="G67" s="17">
        <f>IFERROR(__xludf.DUMMYFUNCTION("""COMPUTED_VALUE"""),26.0)</f>
        <v>26</v>
      </c>
      <c r="H67" s="31" t="str">
        <f>IFERROR(__xludf.DUMMYFUNCTION("""COMPUTED_VALUE"""),"↗️")</f>
        <v>↗️</v>
      </c>
      <c r="I67" s="13">
        <f>IFERROR(__xludf.DUMMYFUNCTION("""COMPUTED_VALUE"""),42736.0)</f>
        <v>42736</v>
      </c>
      <c r="J67" s="32">
        <f>IFERROR(__xludf.DUMMYFUNCTION("""COMPUTED_VALUE"""),42736.0)</f>
        <v>42736</v>
      </c>
      <c r="K67" s="8">
        <f>IFERROR(__xludf.DUMMYFUNCTION("""COMPUTED_VALUE"""),22.0)</f>
        <v>22</v>
      </c>
      <c r="L67" s="15" t="str">
        <f>IFERROR(__xludf.DUMMYFUNCTION("""COMPUTED_VALUE"""),"YES")</f>
        <v>YES</v>
      </c>
      <c r="M67" s="15" t="str">
        <f>IFERROR(__xludf.DUMMYFUNCTION("""COMPUTED_VALUE"""),"NYCT")</f>
        <v>NYCT</v>
      </c>
      <c r="N67" s="15" t="str">
        <f>IFERROR(__xludf.DUMMYFUNCTION("""COMPUTED_VALUE"""),"KONE")</f>
        <v>KONE</v>
      </c>
      <c r="O67" s="15" t="str">
        <f>IFERROR(__xludf.DUMMYFUNCTION("""COMPUTED_VALUE"""),"YES")</f>
        <v>YES</v>
      </c>
      <c r="P67" s="15" t="str">
        <f>IFERROR(__xludf.DUMMYFUNCTION("""COMPUTED_VALUE"""),"NO")</f>
        <v>NO</v>
      </c>
      <c r="Q67" s="15" t="str">
        <f>IFERROR(__xludf.DUMMYFUNCTION("""COMPUTED_VALUE"""),"NO")</f>
        <v>NO</v>
      </c>
      <c r="R67" s="15" t="str">
        <f>IFERROR(__xludf.DUMMYFUNCTION("""COMPUTED_VALUE"""),"5137mm (16' 10 1/4in)")</f>
        <v>5137mm (16' 10 1/4in)</v>
      </c>
      <c r="S67" s="15">
        <f>IFERROR(__xludf.DUMMYFUNCTION("""COMPUTED_VALUE"""),77.0)</f>
        <v>77</v>
      </c>
      <c r="T67" s="15" t="str">
        <f>IFERROR(__xludf.DUMMYFUNCTION("""COMPUTED_VALUE"""),"1000 mm (39 3/8in)")</f>
        <v>1000 mm (39 3/8in)</v>
      </c>
      <c r="U67" s="15" t="str">
        <f>IFERROR(__xludf.DUMMYFUNCTION("""COMPUTED_VALUE"""),"platform to mezzanine for 94 St &amp; 2nd Ave exit")</f>
        <v>platform to mezzanine for 94 St &amp; 2nd Ave exit</v>
      </c>
      <c r="V67" s="15" t="str">
        <f>IFERROR(__xludf.DUMMYFUNCTION("""COMPUTED_VALUE"""),"POINT (-73.9479 40.782997)")</f>
        <v>POINT (-73.9479 40.782997)</v>
      </c>
    </row>
    <row r="68" ht="22.5" customHeight="1">
      <c r="A68" s="7" t="str">
        <f>IFERROR(__xludf.DUMMYFUNCTION("""COMPUTED_VALUE"""),"86 St")</f>
        <v>86 St</v>
      </c>
      <c r="B68" s="8" t="str">
        <f>IFERROR(__xludf.DUMMYFUNCTION("""COMPUTED_VALUE"""),"4 Av Line")</f>
        <v>4 Av Line</v>
      </c>
      <c r="C68" s="8" t="str">
        <f>IFERROR(__xludf.DUMMYFUNCTION("""COMPUTED_VALUE"""),"Brooklyn")</f>
        <v>Brooklyn</v>
      </c>
      <c r="D68" s="8" t="str">
        <f>IFERROR(__xludf.DUMMYFUNCTION("""COMPUTED_VALUE"""),"Bay Ridge")</f>
        <v>Bay Ridge</v>
      </c>
      <c r="E68" s="33">
        <f>IFERROR(__xludf.DUMMYFUNCTION("""COMPUTED_VALUE"""),5859.0)</f>
        <v>5859</v>
      </c>
      <c r="F68" s="10">
        <f>IFERROR(__xludf.DUMMYFUNCTION("""COMPUTED_VALUE"""),2580130.0)</f>
        <v>2580130</v>
      </c>
      <c r="G68" s="17">
        <f>IFERROR(__xludf.DUMMYFUNCTION("""COMPUTED_VALUE"""),135.0)</f>
        <v>135</v>
      </c>
      <c r="H68" s="31" t="str">
        <f>IFERROR(__xludf.DUMMYFUNCTION("""COMPUTED_VALUE"""),"↗️")</f>
        <v>↗️</v>
      </c>
      <c r="I68" s="13">
        <f>IFERROR(__xludf.DUMMYFUNCTION("""COMPUTED_VALUE"""),42736.0)</f>
        <v>42736</v>
      </c>
      <c r="J68" s="32">
        <f>IFERROR(__xludf.DUMMYFUNCTION("""COMPUTED_VALUE"""),42736.0)</f>
        <v>42736</v>
      </c>
      <c r="K68" s="8">
        <f>IFERROR(__xludf.DUMMYFUNCTION("""COMPUTED_VALUE"""),22.0)</f>
        <v>22</v>
      </c>
      <c r="L68" s="15" t="str">
        <f>IFERROR(__xludf.DUMMYFUNCTION("""COMPUTED_VALUE"""),"YES")</f>
        <v>YES</v>
      </c>
      <c r="M68" s="15" t="str">
        <f>IFERROR(__xludf.DUMMYFUNCTION("""COMPUTED_VALUE"""),"NYCT")</f>
        <v>NYCT</v>
      </c>
      <c r="N68" s="15" t="str">
        <f>IFERROR(__xludf.DUMMYFUNCTION("""COMPUTED_VALUE"""),"KONE")</f>
        <v>KONE</v>
      </c>
      <c r="O68" s="15" t="str">
        <f>IFERROR(__xludf.DUMMYFUNCTION("""COMPUTED_VALUE"""),"YES")</f>
        <v>YES</v>
      </c>
      <c r="P68" s="15" t="str">
        <f>IFERROR(__xludf.DUMMYFUNCTION("""COMPUTED_VALUE"""),"YES")</f>
        <v>YES</v>
      </c>
      <c r="Q68" s="15" t="str">
        <f>IFERROR(__xludf.DUMMYFUNCTION("""COMPUTED_VALUE"""),"YES")</f>
        <v>YES</v>
      </c>
      <c r="R68" s="15" t="str">
        <f>IFERROR(__xludf.DUMMYFUNCTION("""COMPUTED_VALUE"""),"23,519 mm (77' 1 15/16in)")</f>
        <v>23,519 mm (77' 1 15/16in)</v>
      </c>
      <c r="S68" s="15">
        <f>IFERROR(__xludf.DUMMYFUNCTION("""COMPUTED_VALUE"""),269.0)</f>
        <v>269</v>
      </c>
      <c r="T68" s="15"/>
      <c r="U68" s="15" t="str">
        <f>IFERROR(__xludf.DUMMYFUNCTION("""COMPUTED_VALUE"""),"lower mezzanine to 83 St &amp; 2nd Ave (NE corner)")</f>
        <v>lower mezzanine to 83 St &amp; 2nd Ave (NE corner)</v>
      </c>
      <c r="V68" s="15" t="str">
        <f>IFERROR(__xludf.DUMMYFUNCTION("""COMPUTED_VALUE"""),"POINT (-73.95273 40.7762)")</f>
        <v>POINT (-73.95273 40.7762)</v>
      </c>
    </row>
    <row r="69" ht="22.5" customHeight="1">
      <c r="A69" s="7" t="str">
        <f>IFERROR(__xludf.DUMMYFUNCTION("""COMPUTED_VALUE"""),"Bowling Green")</f>
        <v>Bowling Green</v>
      </c>
      <c r="B69" s="8" t="str">
        <f>IFERROR(__xludf.DUMMYFUNCTION("""COMPUTED_VALUE"""),"Lexington Av Line")</f>
        <v>Lexington Av Line</v>
      </c>
      <c r="C69" s="8" t="str">
        <f>IFERROR(__xludf.DUMMYFUNCTION("""COMPUTED_VALUE"""),"Manhattan")</f>
        <v>Manhattan</v>
      </c>
      <c r="D69" s="8" t="str">
        <f>IFERROR(__xludf.DUMMYFUNCTION("""COMPUTED_VALUE"""),"Financial District")</f>
        <v>Financial District</v>
      </c>
      <c r="E69" s="33">
        <f>IFERROR(__xludf.DUMMYFUNCTION("""COMPUTED_VALUE"""),2018.0)</f>
        <v>2018</v>
      </c>
      <c r="F69" s="10">
        <f>IFERROR(__xludf.DUMMYFUNCTION("""COMPUTED_VALUE"""),4676646.0)</f>
        <v>4676646</v>
      </c>
      <c r="G69" s="19">
        <f>IFERROR(__xludf.DUMMYFUNCTION("""COMPUTED_VALUE"""),62.0)</f>
        <v>62</v>
      </c>
      <c r="H69" s="10" t="str">
        <f>IFERROR(__xludf.DUMMYFUNCTION("""COMPUTED_VALUE"""),"↗️")</f>
        <v>↗️</v>
      </c>
      <c r="I69" s="13">
        <f>IFERROR(__xludf.DUMMYFUNCTION("""COMPUTED_VALUE"""),28216.0)</f>
        <v>28216</v>
      </c>
      <c r="J69" s="32">
        <f>IFERROR(__xludf.DUMMYFUNCTION("""COMPUTED_VALUE"""),37723.0)</f>
        <v>37723</v>
      </c>
      <c r="K69" s="8">
        <f>IFERROR(__xludf.DUMMYFUNCTION("""COMPUTED_VALUE"""),22.0)</f>
        <v>22</v>
      </c>
      <c r="L69" s="15" t="str">
        <f>IFERROR(__xludf.DUMMYFUNCTION("""COMPUTED_VALUE"""),"YES")</f>
        <v>YES</v>
      </c>
      <c r="M69" s="15" t="str">
        <f>IFERROR(__xludf.DUMMYFUNCTION("""COMPUTED_VALUE"""),"NYCT")</f>
        <v>NYCT</v>
      </c>
      <c r="N69" s="15" t="str">
        <f>IFERROR(__xludf.DUMMYFUNCTION("""COMPUTED_VALUE"""),"FUJITEC")</f>
        <v>FUJITEC</v>
      </c>
      <c r="O69" s="15" t="str">
        <f>IFERROR(__xludf.DUMMYFUNCTION("""COMPUTED_VALUE"""),"YES")</f>
        <v>YES</v>
      </c>
      <c r="P69" s="15" t="str">
        <f>IFERROR(__xludf.DUMMYFUNCTION("""COMPUTED_VALUE"""),"NO")</f>
        <v>NO</v>
      </c>
      <c r="Q69" s="15" t="str">
        <f>IFERROR(__xludf.DUMMYFUNCTION("""COMPUTED_VALUE"""),"NO")</f>
        <v>NO</v>
      </c>
      <c r="R69" s="15" t="str">
        <f>IFERROR(__xludf.DUMMYFUNCTION("""COMPUTED_VALUE"""),"24'")</f>
        <v>24'</v>
      </c>
      <c r="S69" s="15">
        <f>IFERROR(__xludf.DUMMYFUNCTION("""COMPUTED_VALUE"""),90.0)</f>
        <v>90</v>
      </c>
      <c r="T69" s="15">
        <f>IFERROR(__xludf.DUMMYFUNCTION("""COMPUTED_VALUE"""),40.0)</f>
        <v>40</v>
      </c>
      <c r="U69" s="15" t="str">
        <f>IFERROR(__xludf.DUMMYFUNCTION("""COMPUTED_VALUE"""),"uptown 4/5 mezzanine to lower mezzanine for downtown 4/5 service")</f>
        <v>uptown 4/5 mezzanine to lower mezzanine for downtown 4/5 service</v>
      </c>
      <c r="V69" s="15" t="str">
        <f>IFERROR(__xludf.DUMMYFUNCTION("""COMPUTED_VALUE"""),"POINT (-74.01384 40.704594)")</f>
        <v>POINT (-74.01384 40.704594)</v>
      </c>
    </row>
    <row r="70" ht="22.5" customHeight="1">
      <c r="A70" s="7" t="str">
        <f>IFERROR(__xludf.DUMMYFUNCTION("""COMPUTED_VALUE"""),"59 St")</f>
        <v>59 St</v>
      </c>
      <c r="B70" s="8" t="str">
        <f>IFERROR(__xludf.DUMMYFUNCTION("""COMPUTED_VALUE"""),"4 Av Line")</f>
        <v>4 Av Line</v>
      </c>
      <c r="C70" s="8" t="str">
        <f>IFERROR(__xludf.DUMMYFUNCTION("""COMPUTED_VALUE"""),"Brooklyn")</f>
        <v>Brooklyn</v>
      </c>
      <c r="D70" s="8" t="str">
        <f>IFERROR(__xludf.DUMMYFUNCTION("""COMPUTED_VALUE"""),"Sunset Park")</f>
        <v>Sunset Park</v>
      </c>
      <c r="E70" s="33">
        <f>IFERROR(__xludf.DUMMYFUNCTION("""COMPUTED_VALUE"""),5652.0)</f>
        <v>5652</v>
      </c>
      <c r="F70" s="10">
        <f>IFERROR(__xludf.DUMMYFUNCTION("""COMPUTED_VALUE"""),2952891.0)</f>
        <v>2952891</v>
      </c>
      <c r="G70" s="19">
        <f>IFERROR(__xludf.DUMMYFUNCTION("""COMPUTED_VALUE"""),112.0)</f>
        <v>112</v>
      </c>
      <c r="H70" s="10" t="str">
        <f>IFERROR(__xludf.DUMMYFUNCTION("""COMPUTED_VALUE"""),"↗️")</f>
        <v>↗️</v>
      </c>
      <c r="I70" s="13">
        <f>IFERROR(__xludf.DUMMYFUNCTION("""COMPUTED_VALUE"""),22965.0)</f>
        <v>22965</v>
      </c>
      <c r="J70" s="32">
        <f>IFERROR(__xludf.DUMMYFUNCTION("""COMPUTED_VALUE"""),45710.0)</f>
        <v>45710</v>
      </c>
      <c r="K70" s="8">
        <f>IFERROR(__xludf.DUMMYFUNCTION("""COMPUTED_VALUE"""),22.0)</f>
        <v>22</v>
      </c>
      <c r="L70" s="15" t="str">
        <f>IFERROR(__xludf.DUMMYFUNCTION("""COMPUTED_VALUE"""),"YES")</f>
        <v>YES</v>
      </c>
      <c r="M70" s="15" t="str">
        <f>IFERROR(__xludf.DUMMYFUNCTION("""COMPUTED_VALUE"""),"NYCT")</f>
        <v>NYCT</v>
      </c>
      <c r="N70" s="15" t="str">
        <f>IFERROR(__xludf.DUMMYFUNCTION("""COMPUTED_VALUE"""),"KONE")</f>
        <v>KONE</v>
      </c>
      <c r="O70" s="15" t="str">
        <f>IFERROR(__xludf.DUMMYFUNCTION("""COMPUTED_VALUE"""),"YES")</f>
        <v>YES</v>
      </c>
      <c r="P70" s="15" t="str">
        <f>IFERROR(__xludf.DUMMYFUNCTION("""COMPUTED_VALUE"""),"NO")</f>
        <v>NO</v>
      </c>
      <c r="Q70" s="15" t="str">
        <f>IFERROR(__xludf.DUMMYFUNCTION("""COMPUTED_VALUE"""),"NO")</f>
        <v>NO</v>
      </c>
      <c r="R70" s="15" t="str">
        <f>IFERROR(__xludf.DUMMYFUNCTION("""COMPUTED_VALUE"""),"50'")</f>
        <v>50'</v>
      </c>
      <c r="S70" s="15">
        <f>IFERROR(__xludf.DUMMYFUNCTION("""COMPUTED_VALUE"""),173.0)</f>
        <v>173</v>
      </c>
      <c r="T70" s="15" t="str">
        <f>IFERROR(__xludf.DUMMYFUNCTION("""COMPUTED_VALUE"""),"10in")</f>
        <v>10in</v>
      </c>
      <c r="U70" s="15" t="str">
        <f>IFERROR(__xludf.DUMMYFUNCTION("""COMPUTED_VALUE"""),"downtown 4/5 platform to downtown 6 platform")</f>
        <v>downtown 4/5 platform to downtown 6 platform</v>
      </c>
      <c r="V70" s="15" t="str">
        <f>IFERROR(__xludf.DUMMYFUNCTION("""COMPUTED_VALUE"""),"POINT (-73.96808 40.76221)")</f>
        <v>POINT (-73.96808 40.76221)</v>
      </c>
    </row>
    <row r="71" ht="22.5" customHeight="1">
      <c r="A71" s="7" t="str">
        <f>IFERROR(__xludf.DUMMYFUNCTION("""COMPUTED_VALUE"""),"181 St")</f>
        <v>181 St</v>
      </c>
      <c r="B71" s="8" t="str">
        <f>IFERROR(__xludf.DUMMYFUNCTION("""COMPUTED_VALUE"""),"8 Av Line")</f>
        <v>8 Av Line</v>
      </c>
      <c r="C71" s="8" t="str">
        <f>IFERROR(__xludf.DUMMYFUNCTION("""COMPUTED_VALUE"""),"Manhattan")</f>
        <v>Manhattan</v>
      </c>
      <c r="D71" s="8" t="str">
        <f>IFERROR(__xludf.DUMMYFUNCTION("""COMPUTED_VALUE"""),"Washington Heights")</f>
        <v>Washington Heights</v>
      </c>
      <c r="E71" s="33">
        <f>IFERROR(__xludf.DUMMYFUNCTION("""COMPUTED_VALUE"""),11942.0)</f>
        <v>11942</v>
      </c>
      <c r="F71" s="8">
        <f>IFERROR(__xludf.DUMMYFUNCTION("""COMPUTED_VALUE"""),2042771.0)</f>
        <v>2042771</v>
      </c>
      <c r="G71" s="19">
        <f>IFERROR(__xludf.DUMMYFUNCTION("""COMPUTED_VALUE"""),160.0)</f>
        <v>160</v>
      </c>
      <c r="H71" s="10" t="str">
        <f>IFERROR(__xludf.DUMMYFUNCTION("""COMPUTED_VALUE"""),"↗️")</f>
        <v>↗️</v>
      </c>
      <c r="I71" s="13">
        <f>IFERROR(__xludf.DUMMYFUNCTION("""COMPUTED_VALUE"""),13656.0)</f>
        <v>13656</v>
      </c>
      <c r="J71" s="32">
        <f>IFERROR(__xludf.DUMMYFUNCTION("""COMPUTED_VALUE"""),45016.0)</f>
        <v>45016</v>
      </c>
      <c r="K71" s="8">
        <f>IFERROR(__xludf.DUMMYFUNCTION("""COMPUTED_VALUE"""),22.0)</f>
        <v>22</v>
      </c>
      <c r="L71" s="15" t="str">
        <f>IFERROR(__xludf.DUMMYFUNCTION("""COMPUTED_VALUE"""),"YES")</f>
        <v>YES</v>
      </c>
      <c r="M71" s="15" t="str">
        <f>IFERROR(__xludf.DUMMYFUNCTION("""COMPUTED_VALUE"""),"NYCT")</f>
        <v>NYCT</v>
      </c>
      <c r="N71" s="15" t="str">
        <f>IFERROR(__xludf.DUMMYFUNCTION("""COMPUTED_VALUE"""),"KONE")</f>
        <v>KONE</v>
      </c>
      <c r="O71" s="15" t="str">
        <f>IFERROR(__xludf.DUMMYFUNCTION("""COMPUTED_VALUE"""),"YES")</f>
        <v>YES</v>
      </c>
      <c r="P71" s="15" t="str">
        <f>IFERROR(__xludf.DUMMYFUNCTION("""COMPUTED_VALUE"""),"NO")</f>
        <v>NO</v>
      </c>
      <c r="Q71" s="15" t="str">
        <f>IFERROR(__xludf.DUMMYFUNCTION("""COMPUTED_VALUE"""),"NO")</f>
        <v>NO</v>
      </c>
      <c r="R71" s="15" t="str">
        <f>IFERROR(__xludf.DUMMYFUNCTION("""COMPUTED_VALUE"""),"15824 mm (51'-11in)")</f>
        <v>15824 mm (51'-11in)</v>
      </c>
      <c r="S71" s="15">
        <f>IFERROR(__xludf.DUMMYFUNCTION("""COMPUTED_VALUE"""),112.0)</f>
        <v>112</v>
      </c>
      <c r="T71" s="15" t="str">
        <f>IFERROR(__xludf.DUMMYFUNCTION("""COMPUTED_VALUE"""),"600 mm (24in NOMINAL)")</f>
        <v>600 mm (24in NOMINAL)</v>
      </c>
      <c r="U71" s="15" t="str">
        <f>IFERROR(__xludf.DUMMYFUNCTION("""COMPUTED_VALUE"""),"lower mezzanine to upper mezzanine for 181 St &amp; Fort Washington Ave exit")</f>
        <v>lower mezzanine to upper mezzanine for 181 St &amp; Fort Washington Ave exit</v>
      </c>
      <c r="V71" s="15" t="str">
        <f>IFERROR(__xludf.DUMMYFUNCTION("""COMPUTED_VALUE"""),"POINT (-73.93812 40.851116)")</f>
        <v>POINT (-73.93812 40.851116)</v>
      </c>
    </row>
    <row r="72" ht="22.5" customHeight="1">
      <c r="A72" s="7" t="str">
        <f>IFERROR(__xludf.DUMMYFUNCTION("""COMPUTED_VALUE"""),"86 St")</f>
        <v>86 St</v>
      </c>
      <c r="B72" s="8" t="str">
        <f>IFERROR(__xludf.DUMMYFUNCTION("""COMPUTED_VALUE"""),"4 Av Line")</f>
        <v>4 Av Line</v>
      </c>
      <c r="C72" s="8" t="str">
        <f>IFERROR(__xludf.DUMMYFUNCTION("""COMPUTED_VALUE"""),"Brooklyn")</f>
        <v>Brooklyn</v>
      </c>
      <c r="D72" s="8" t="str">
        <f>IFERROR(__xludf.DUMMYFUNCTION("""COMPUTED_VALUE"""),"Bay Ridge")</f>
        <v>Bay Ridge</v>
      </c>
      <c r="E72" s="33">
        <f>IFERROR(__xludf.DUMMYFUNCTION("""COMPUTED_VALUE"""),5859.0)</f>
        <v>5859</v>
      </c>
      <c r="F72" s="10">
        <f>IFERROR(__xludf.DUMMYFUNCTION("""COMPUTED_VALUE"""),2580130.0)</f>
        <v>2580130</v>
      </c>
      <c r="G72" s="19">
        <f>IFERROR(__xludf.DUMMYFUNCTION("""COMPUTED_VALUE"""),135.0)</f>
        <v>135</v>
      </c>
      <c r="H72" s="10" t="str">
        <f>IFERROR(__xludf.DUMMYFUNCTION("""COMPUTED_VALUE"""),"↗️")</f>
        <v>↗️</v>
      </c>
      <c r="I72" s="13">
        <f>IFERROR(__xludf.DUMMYFUNCTION("""COMPUTED_VALUE"""),42736.0)</f>
        <v>42736</v>
      </c>
      <c r="J72" s="32">
        <f>IFERROR(__xludf.DUMMYFUNCTION("""COMPUTED_VALUE"""),42736.0)</f>
        <v>42736</v>
      </c>
      <c r="K72" s="8">
        <f>IFERROR(__xludf.DUMMYFUNCTION("""COMPUTED_VALUE"""),22.0)</f>
        <v>22</v>
      </c>
      <c r="L72" s="15" t="str">
        <f>IFERROR(__xludf.DUMMYFUNCTION("""COMPUTED_VALUE"""),"YES")</f>
        <v>YES</v>
      </c>
      <c r="M72" s="15" t="str">
        <f>IFERROR(__xludf.DUMMYFUNCTION("""COMPUTED_VALUE"""),"NYCT")</f>
        <v>NYCT</v>
      </c>
      <c r="N72" s="15" t="str">
        <f>IFERROR(__xludf.DUMMYFUNCTION("""COMPUTED_VALUE"""),"KONE")</f>
        <v>KONE</v>
      </c>
      <c r="O72" s="15" t="str">
        <f>IFERROR(__xludf.DUMMYFUNCTION("""COMPUTED_VALUE"""),"YES")</f>
        <v>YES</v>
      </c>
      <c r="P72" s="15" t="str">
        <f>IFERROR(__xludf.DUMMYFUNCTION("""COMPUTED_VALUE"""),"YES")</f>
        <v>YES</v>
      </c>
      <c r="Q72" s="15" t="str">
        <f>IFERROR(__xludf.DUMMYFUNCTION("""COMPUTED_VALUE"""),"YES")</f>
        <v>YES</v>
      </c>
      <c r="R72" s="15" t="str">
        <f>IFERROR(__xludf.DUMMYFUNCTION("""COMPUTED_VALUE"""),"9950 mm (32 ' 7 3/4in)")</f>
        <v>9950 mm (32 ' 7 3/4in)</v>
      </c>
      <c r="S72" s="15">
        <f>IFERROR(__xludf.DUMMYFUNCTION("""COMPUTED_VALUE"""),125.0)</f>
        <v>125</v>
      </c>
      <c r="T72" s="15"/>
      <c r="U72" s="15" t="str">
        <f>IFERROR(__xludf.DUMMYFUNCTION("""COMPUTED_VALUE"""),"upper mezzanine to 86 St &amp; 2nd Ave (NE corner)")</f>
        <v>upper mezzanine to 86 St &amp; 2nd Ave (NE corner)</v>
      </c>
      <c r="V72" s="15" t="str">
        <f>IFERROR(__xludf.DUMMYFUNCTION("""COMPUTED_VALUE"""),"POINT (-73.9514 40.77784)")</f>
        <v>POINT (-73.9514 40.77784)</v>
      </c>
    </row>
    <row r="73" ht="22.5" customHeight="1">
      <c r="A73" s="7" t="str">
        <f>IFERROR(__xludf.DUMMYFUNCTION("""COMPUTED_VALUE"""),"125 St")</f>
        <v>125 St</v>
      </c>
      <c r="B73" s="8" t="str">
        <f>IFERROR(__xludf.DUMMYFUNCTION("""COMPUTED_VALUE"""),"Broadway-7 Av Line")</f>
        <v>Broadway-7 Av Line</v>
      </c>
      <c r="C73" s="8" t="str">
        <f>IFERROR(__xludf.DUMMYFUNCTION("""COMPUTED_VALUE"""),"Manhattan")</f>
        <v>Manhattan</v>
      </c>
      <c r="D73" s="8" t="str">
        <f>IFERROR(__xludf.DUMMYFUNCTION("""COMPUTED_VALUE"""),"Manhattanville")</f>
        <v>Manhattanville</v>
      </c>
      <c r="E73" s="33">
        <f>IFERROR(__xludf.DUMMYFUNCTION("""COMPUTED_VALUE"""),1762.0)</f>
        <v>1762</v>
      </c>
      <c r="F73" s="10">
        <f>IFERROR(__xludf.DUMMYFUNCTION("""COMPUTED_VALUE"""),1977586.0)</f>
        <v>1977586</v>
      </c>
      <c r="G73" s="19">
        <f>IFERROR(__xludf.DUMMYFUNCTION("""COMPUTED_VALUE"""),165.0)</f>
        <v>165</v>
      </c>
      <c r="H73" s="10" t="str">
        <f>IFERROR(__xludf.DUMMYFUNCTION("""COMPUTED_VALUE"""),"↗️")</f>
        <v>↗️</v>
      </c>
      <c r="I73" s="13">
        <f>IFERROR(__xludf.DUMMYFUNCTION("""COMPUTED_VALUE"""),11592.0)</f>
        <v>11592</v>
      </c>
      <c r="J73" s="32">
        <f>IFERROR(__xludf.DUMMYFUNCTION("""COMPUTED_VALUE"""),44743.0)</f>
        <v>44743</v>
      </c>
      <c r="K73" s="8">
        <f>IFERROR(__xludf.DUMMYFUNCTION("""COMPUTED_VALUE"""),22.0)</f>
        <v>22</v>
      </c>
      <c r="L73" s="15" t="str">
        <f>IFERROR(__xludf.DUMMYFUNCTION("""COMPUTED_VALUE"""),"YES")</f>
        <v>YES</v>
      </c>
      <c r="M73" s="15" t="str">
        <f>IFERROR(__xludf.DUMMYFUNCTION("""COMPUTED_VALUE"""),"NYCT")</f>
        <v>NYCT</v>
      </c>
      <c r="N73" s="15" t="str">
        <f>IFERROR(__xludf.DUMMYFUNCTION("""COMPUTED_VALUE"""),"KONE")</f>
        <v>KONE</v>
      </c>
      <c r="O73" s="15" t="str">
        <f>IFERROR(__xludf.DUMMYFUNCTION("""COMPUTED_VALUE"""),"YES")</f>
        <v>YES</v>
      </c>
      <c r="P73" s="15" t="str">
        <f>IFERROR(__xludf.DUMMYFUNCTION("""COMPUTED_VALUE"""),"YES")</f>
        <v>YES</v>
      </c>
      <c r="Q73" s="15" t="str">
        <f>IFERROR(__xludf.DUMMYFUNCTION("""COMPUTED_VALUE"""),"YES")</f>
        <v>YES</v>
      </c>
      <c r="R73" s="15" t="str">
        <f>IFERROR(__xludf.DUMMYFUNCTION("""COMPUTED_VALUE"""),"32'")</f>
        <v>32'</v>
      </c>
      <c r="S73" s="15">
        <f>IFERROR(__xludf.DUMMYFUNCTION("""COMPUTED_VALUE"""),114.0)</f>
        <v>114</v>
      </c>
      <c r="T73" s="15">
        <f>IFERROR(__xludf.DUMMYFUNCTION("""COMPUTED_VALUE"""),40.0)</f>
        <v>40</v>
      </c>
      <c r="U73" s="15" t="str">
        <f>IFERROR(__xludf.DUMMYFUNCTION("""COMPUTED_VALUE"""),"125 St &amp; Broadway (SE corner) to mezzanine")</f>
        <v>125 St &amp; Broadway (SE corner) to mezzanine</v>
      </c>
      <c r="V73" s="15" t="str">
        <f>IFERROR(__xludf.DUMMYFUNCTION("""COMPUTED_VALUE"""),"POINT (-73.958374 40.815235)")</f>
        <v>POINT (-73.958374 40.815235)</v>
      </c>
    </row>
    <row r="74" ht="22.5" customHeight="1">
      <c r="A74" s="7" t="str">
        <f>IFERROR(__xludf.DUMMYFUNCTION("""COMPUTED_VALUE"""),"Jamaica Center-Parsons/Archer")</f>
        <v>Jamaica Center-Parsons/Archer</v>
      </c>
      <c r="B74" s="8" t="str">
        <f>IFERROR(__xludf.DUMMYFUNCTION("""COMPUTED_VALUE"""),"Archer Av Line")</f>
        <v>Archer Av Line</v>
      </c>
      <c r="C74" s="8" t="str">
        <f>IFERROR(__xludf.DUMMYFUNCTION("""COMPUTED_VALUE"""),"Queens")</f>
        <v>Queens</v>
      </c>
      <c r="D74" s="8" t="str">
        <f>IFERROR(__xludf.DUMMYFUNCTION("""COMPUTED_VALUE"""),"Jamaica")</f>
        <v>Jamaica</v>
      </c>
      <c r="E74" s="33">
        <f>IFERROR(__xludf.DUMMYFUNCTION("""COMPUTED_VALUE"""),32488.0)</f>
        <v>32488</v>
      </c>
      <c r="F74" s="10">
        <f>IFERROR(__xludf.DUMMYFUNCTION("""COMPUTED_VALUE"""),6137267.0)</f>
        <v>6137267</v>
      </c>
      <c r="G74" s="17">
        <f>IFERROR(__xludf.DUMMYFUNCTION("""COMPUTED_VALUE"""),38.0)</f>
        <v>38</v>
      </c>
      <c r="H74" s="10" t="str">
        <f>IFERROR(__xludf.DUMMYFUNCTION("""COMPUTED_VALUE"""),"↗️")</f>
        <v>↗️</v>
      </c>
      <c r="I74" s="13">
        <f>IFERROR(__xludf.DUMMYFUNCTION("""COMPUTED_VALUE"""),32478.0)</f>
        <v>32478</v>
      </c>
      <c r="J74" s="32">
        <f>IFERROR(__xludf.DUMMYFUNCTION("""COMPUTED_VALUE"""),39419.0)</f>
        <v>39419</v>
      </c>
      <c r="K74" s="8">
        <f>IFERROR(__xludf.DUMMYFUNCTION("""COMPUTED_VALUE"""),22.0)</f>
        <v>22</v>
      </c>
      <c r="L74" s="15" t="str">
        <f>IFERROR(__xludf.DUMMYFUNCTION("""COMPUTED_VALUE"""),"YES")</f>
        <v>YES</v>
      </c>
      <c r="M74" s="15" t="str">
        <f>IFERROR(__xludf.DUMMYFUNCTION("""COMPUTED_VALUE"""),"NYCT")</f>
        <v>NYCT</v>
      </c>
      <c r="N74" s="15" t="str">
        <f>IFERROR(__xludf.DUMMYFUNCTION("""COMPUTED_VALUE"""),"KONE")</f>
        <v>KONE</v>
      </c>
      <c r="O74" s="15" t="str">
        <f>IFERROR(__xludf.DUMMYFUNCTION("""COMPUTED_VALUE"""),"YES")</f>
        <v>YES</v>
      </c>
      <c r="P74" s="15" t="str">
        <f>IFERROR(__xludf.DUMMYFUNCTION("""COMPUTED_VALUE"""),"YES")</f>
        <v>YES</v>
      </c>
      <c r="Q74" s="15" t="str">
        <f>IFERROR(__xludf.DUMMYFUNCTION("""COMPUTED_VALUE"""),"YES")</f>
        <v>YES</v>
      </c>
      <c r="R74" s="15" t="str">
        <f>IFERROR(__xludf.DUMMYFUNCTION("""COMPUTED_VALUE"""),"25'")</f>
        <v>25'</v>
      </c>
      <c r="S74" s="15">
        <f>IFERROR(__xludf.DUMMYFUNCTION("""COMPUTED_VALUE"""),95.0)</f>
        <v>95</v>
      </c>
      <c r="T74" s="15" t="str">
        <f>IFERROR(__xludf.DUMMYFUNCTION("""COMPUTED_VALUE"""),"40in")</f>
        <v>40in</v>
      </c>
      <c r="U74" s="15" t="str">
        <f>IFERROR(__xludf.DUMMYFUNCTION("""COMPUTED_VALUE"""),"mezzanine to Parsons Blvd &amp; Archer Ave (SW corner)")</f>
        <v>mezzanine to Parsons Blvd &amp; Archer Ave (SW corner)</v>
      </c>
      <c r="V74" s="15" t="str">
        <f>IFERROR(__xludf.DUMMYFUNCTION("""COMPUTED_VALUE"""),"POINT (-73.79986 40.702667)")</f>
        <v>POINT (-73.79986 40.702667)</v>
      </c>
    </row>
    <row r="75" ht="22.5" customHeight="1">
      <c r="A75" s="7" t="str">
        <f>IFERROR(__xludf.DUMMYFUNCTION("""COMPUTED_VALUE"""),"34 St-Herald Sq")</f>
        <v>34 St-Herald Sq</v>
      </c>
      <c r="B75" s="8" t="str">
        <f>IFERROR(__xludf.DUMMYFUNCTION("""COMPUTED_VALUE"""),"Broadway Line")</f>
        <v>Broadway Line</v>
      </c>
      <c r="C75" s="8" t="str">
        <f>IFERROR(__xludf.DUMMYFUNCTION("""COMPUTED_VALUE"""),"Manhattan")</f>
        <v>Manhattan</v>
      </c>
      <c r="D75" s="8" t="str">
        <f>IFERROR(__xludf.DUMMYFUNCTION("""COMPUTED_VALUE"""),"Midtown")</f>
        <v>Midtown</v>
      </c>
      <c r="E75" s="33">
        <f>IFERROR(__xludf.DUMMYFUNCTION("""COMPUTED_VALUE"""),6580.0)</f>
        <v>6580</v>
      </c>
      <c r="F75" s="10">
        <f>IFERROR(__xludf.DUMMYFUNCTION("""COMPUTED_VALUE"""),2.5012549E7)</f>
        <v>25012549</v>
      </c>
      <c r="G75" s="17">
        <f>IFERROR(__xludf.DUMMYFUNCTION("""COMPUTED_VALUE"""),3.0)</f>
        <v>3</v>
      </c>
      <c r="H75" s="10" t="str">
        <f>IFERROR(__xludf.DUMMYFUNCTION("""COMPUTED_VALUE"""),"↗️")</f>
        <v>↗️</v>
      </c>
      <c r="I75" s="13">
        <f>IFERROR(__xludf.DUMMYFUNCTION("""COMPUTED_VALUE"""),14960.0)</f>
        <v>14960</v>
      </c>
      <c r="J75" s="32">
        <f>IFERROR(__xludf.DUMMYFUNCTION("""COMPUTED_VALUE"""),39044.0)</f>
        <v>39044</v>
      </c>
      <c r="K75" s="8">
        <f>IFERROR(__xludf.DUMMYFUNCTION("""COMPUTED_VALUE"""),22.0)</f>
        <v>22</v>
      </c>
      <c r="L75" s="15" t="str">
        <f>IFERROR(__xludf.DUMMYFUNCTION("""COMPUTED_VALUE"""),"YES")</f>
        <v>YES</v>
      </c>
      <c r="M75" s="15" t="str">
        <f>IFERROR(__xludf.DUMMYFUNCTION("""COMPUTED_VALUE"""),"NYCT")</f>
        <v>NYCT</v>
      </c>
      <c r="N75" s="15" t="str">
        <f>IFERROR(__xludf.DUMMYFUNCTION("""COMPUTED_VALUE"""),"FUJITEC")</f>
        <v>FUJITEC</v>
      </c>
      <c r="O75" s="15" t="str">
        <f>IFERROR(__xludf.DUMMYFUNCTION("""COMPUTED_VALUE"""),"YES")</f>
        <v>YES</v>
      </c>
      <c r="P75" s="15" t="str">
        <f>IFERROR(__xludf.DUMMYFUNCTION("""COMPUTED_VALUE"""),"NO")</f>
        <v>NO</v>
      </c>
      <c r="Q75" s="15" t="str">
        <f>IFERROR(__xludf.DUMMYFUNCTION("""COMPUTED_VALUE"""),"NO")</f>
        <v>NO</v>
      </c>
      <c r="R75" s="15" t="str">
        <f>IFERROR(__xludf.DUMMYFUNCTION("""COMPUTED_VALUE"""),"30'")</f>
        <v>30'</v>
      </c>
      <c r="S75" s="15">
        <f>IFERROR(__xludf.DUMMYFUNCTION("""COMPUTED_VALUE"""),109.0)</f>
        <v>109</v>
      </c>
      <c r="T75" s="15">
        <f>IFERROR(__xludf.DUMMYFUNCTION("""COMPUTED_VALUE"""),24.0)</f>
        <v>24</v>
      </c>
      <c r="U75" s="15" t="str">
        <f>IFERROR(__xludf.DUMMYFUNCTION("""COMPUTED_VALUE"""),"N/Q/R/W mezzanine to downtown B/D/F/M platform")</f>
        <v>N/Q/R/W mezzanine to downtown B/D/F/M platform</v>
      </c>
      <c r="V75" s="15" t="str">
        <f>IFERROR(__xludf.DUMMYFUNCTION("""COMPUTED_VALUE"""),"POINT (-73.9877 40.75007)")</f>
        <v>POINT (-73.9877 40.75007)</v>
      </c>
    </row>
    <row r="76" ht="22.5" customHeight="1">
      <c r="A76" s="7" t="str">
        <f>IFERROR(__xludf.DUMMYFUNCTION("""COMPUTED_VALUE"""),"East Broadway")</f>
        <v>East Broadway</v>
      </c>
      <c r="B76" s="8" t="str">
        <f>IFERROR(__xludf.DUMMYFUNCTION("""COMPUTED_VALUE"""),"6 Av Line")</f>
        <v>6 Av Line</v>
      </c>
      <c r="C76" s="8" t="str">
        <f>IFERROR(__xludf.DUMMYFUNCTION("""COMPUTED_VALUE"""),"Manhattan")</f>
        <v>Manhattan</v>
      </c>
      <c r="D76" s="8" t="str">
        <f>IFERROR(__xludf.DUMMYFUNCTION("""COMPUTED_VALUE"""),"Lower East Side")</f>
        <v>Lower East Side</v>
      </c>
      <c r="E76" s="33">
        <f>IFERROR(__xludf.DUMMYFUNCTION("""COMPUTED_VALUE"""),13150.0)</f>
        <v>13150</v>
      </c>
      <c r="F76" s="10">
        <f>IFERROR(__xludf.DUMMYFUNCTION("""COMPUTED_VALUE"""),3596399.0)</f>
        <v>3596399</v>
      </c>
      <c r="G76" s="17">
        <f>IFERROR(__xludf.DUMMYFUNCTION("""COMPUTED_VALUE"""),91.0)</f>
        <v>91</v>
      </c>
      <c r="H76" s="10" t="str">
        <f>IFERROR(__xludf.DUMMYFUNCTION("""COMPUTED_VALUE"""),"↗️")</f>
        <v>↗️</v>
      </c>
      <c r="I76" s="13">
        <f>IFERROR(__xludf.DUMMYFUNCTION("""COMPUTED_VALUE"""),30773.0)</f>
        <v>30773</v>
      </c>
      <c r="J76" s="32">
        <f>IFERROR(__xludf.DUMMYFUNCTION("""COMPUTED_VALUE"""),41690.0)</f>
        <v>41690</v>
      </c>
      <c r="K76" s="8">
        <f>IFERROR(__xludf.DUMMYFUNCTION("""COMPUTED_VALUE"""),22.0)</f>
        <v>22</v>
      </c>
      <c r="L76" s="15" t="str">
        <f>IFERROR(__xludf.DUMMYFUNCTION("""COMPUTED_VALUE"""),"YES")</f>
        <v>YES</v>
      </c>
      <c r="M76" s="15" t="str">
        <f>IFERROR(__xludf.DUMMYFUNCTION("""COMPUTED_VALUE"""),"NYCT")</f>
        <v>NYCT</v>
      </c>
      <c r="N76" s="15" t="str">
        <f>IFERROR(__xludf.DUMMYFUNCTION("""COMPUTED_VALUE"""),"KONE")</f>
        <v>KONE</v>
      </c>
      <c r="O76" s="15" t="str">
        <f>IFERROR(__xludf.DUMMYFUNCTION("""COMPUTED_VALUE"""),"YES")</f>
        <v>YES</v>
      </c>
      <c r="P76" s="15" t="str">
        <f>IFERROR(__xludf.DUMMYFUNCTION("""COMPUTED_VALUE"""),"NO")</f>
        <v>NO</v>
      </c>
      <c r="Q76" s="15" t="str">
        <f>IFERROR(__xludf.DUMMYFUNCTION("""COMPUTED_VALUE"""),"NO")</f>
        <v>NO</v>
      </c>
      <c r="R76" s="15" t="str">
        <f>IFERROR(__xludf.DUMMYFUNCTION("""COMPUTED_VALUE"""),"29' 8 3/4in")</f>
        <v>29' 8 3/4in</v>
      </c>
      <c r="S76" s="15">
        <f>IFERROR(__xludf.DUMMYFUNCTION("""COMPUTED_VALUE"""),112.0)</f>
        <v>112</v>
      </c>
      <c r="T76" s="15" t="str">
        <f>IFERROR(__xludf.DUMMYFUNCTION("""COMPUTED_VALUE"""),"40in")</f>
        <v>40in</v>
      </c>
      <c r="U76" s="15" t="str">
        <f>IFERROR(__xludf.DUMMYFUNCTION("""COMPUTED_VALUE"""),"F platform to mezzanine for East Broadway &amp; Rutgers St exit")</f>
        <v>F platform to mezzanine for East Broadway &amp; Rutgers St exit</v>
      </c>
      <c r="V76" s="15" t="str">
        <f>IFERROR(__xludf.DUMMYFUNCTION("""COMPUTED_VALUE"""),"POINT (-73.990074 40.714214)")</f>
        <v>POINT (-73.990074 40.714214)</v>
      </c>
    </row>
    <row r="77" ht="22.5" customHeight="1">
      <c r="A77" s="7" t="str">
        <f>IFERROR(__xludf.DUMMYFUNCTION("""COMPUTED_VALUE"""),"Broadway Junction")</f>
        <v>Broadway Junction</v>
      </c>
      <c r="B77" s="8" t="str">
        <f>IFERROR(__xludf.DUMMYFUNCTION("""COMPUTED_VALUE"""),"Canarsie Line")</f>
        <v>Canarsie Line</v>
      </c>
      <c r="C77" s="8" t="str">
        <f>IFERROR(__xludf.DUMMYFUNCTION("""COMPUTED_VALUE"""),"Brooklyn")</f>
        <v>Brooklyn</v>
      </c>
      <c r="D77" s="8" t="str">
        <f>IFERROR(__xludf.DUMMYFUNCTION("""COMPUTED_VALUE"""),"East New York")</f>
        <v>East New York</v>
      </c>
      <c r="E77" s="33">
        <f>IFERROR(__xludf.DUMMYFUNCTION("""COMPUTED_VALUE"""),10423.0)</f>
        <v>10423</v>
      </c>
      <c r="F77" s="10">
        <f>IFERROR(__xludf.DUMMYFUNCTION("""COMPUTED_VALUE"""),1808472.0)</f>
        <v>1808472</v>
      </c>
      <c r="G77" s="17">
        <f>IFERROR(__xludf.DUMMYFUNCTION("""COMPUTED_VALUE"""),176.0)</f>
        <v>176</v>
      </c>
      <c r="H77" s="10" t="str">
        <f>IFERROR(__xludf.DUMMYFUNCTION("""COMPUTED_VALUE"""),"↗️")</f>
        <v>↗️</v>
      </c>
      <c r="I77" s="13">
        <f>IFERROR(__xludf.DUMMYFUNCTION("""COMPUTED_VALUE"""),35327.0)</f>
        <v>35327</v>
      </c>
      <c r="J77" s="32">
        <f>IFERROR(__xludf.DUMMYFUNCTION("""COMPUTED_VALUE"""),35327.0)</f>
        <v>35327</v>
      </c>
      <c r="K77" s="8">
        <f>IFERROR(__xludf.DUMMYFUNCTION("""COMPUTED_VALUE"""),22.0)</f>
        <v>22</v>
      </c>
      <c r="L77" s="15" t="str">
        <f>IFERROR(__xludf.DUMMYFUNCTION("""COMPUTED_VALUE"""),"YES")</f>
        <v>YES</v>
      </c>
      <c r="M77" s="15" t="str">
        <f>IFERROR(__xludf.DUMMYFUNCTION("""COMPUTED_VALUE"""),"NYCT")</f>
        <v>NYCT</v>
      </c>
      <c r="N77" s="15" t="str">
        <f>IFERROR(__xludf.DUMMYFUNCTION("""COMPUTED_VALUE"""),"OK")</f>
        <v>OK</v>
      </c>
      <c r="O77" s="15" t="str">
        <f>IFERROR(__xludf.DUMMYFUNCTION("""COMPUTED_VALUE"""),"YES")</f>
        <v>YES</v>
      </c>
      <c r="P77" s="15" t="str">
        <f>IFERROR(__xludf.DUMMYFUNCTION("""COMPUTED_VALUE"""),"YES")</f>
        <v>YES</v>
      </c>
      <c r="Q77" s="15" t="str">
        <f>IFERROR(__xludf.DUMMYFUNCTION("""COMPUTED_VALUE"""),"NO")</f>
        <v>NO</v>
      </c>
      <c r="R77" s="15" t="str">
        <f>IFERROR(__xludf.DUMMYFUNCTION("""COMPUTED_VALUE"""),"43'")</f>
        <v>43'</v>
      </c>
      <c r="S77" s="15">
        <f>IFERROR(__xludf.DUMMYFUNCTION("""COMPUTED_VALUE"""),150.0)</f>
        <v>150</v>
      </c>
      <c r="T77" s="15">
        <f>IFERROR(__xludf.DUMMYFUNCTION("""COMPUTED_VALUE"""),32.0)</f>
        <v>32</v>
      </c>
      <c r="U77" s="15" t="str">
        <f>IFERROR(__xludf.DUMMYFUNCTION("""COMPUTED_VALUE"""),"A/C mezzanine (Van Sinderen Ave) to upper mezzanine for J/Z and L service")</f>
        <v>A/C mezzanine (Van Sinderen Ave) to upper mezzanine for J/Z and L service</v>
      </c>
      <c r="V77" s="15" t="str">
        <f>IFERROR(__xludf.DUMMYFUNCTION("""COMPUTED_VALUE"""),"POINT (-73.9039 40.67856)")</f>
        <v>POINT (-73.9039 40.67856)</v>
      </c>
    </row>
    <row r="78" ht="22.5" customHeight="1">
      <c r="A78" s="7" t="str">
        <f>IFERROR(__xludf.DUMMYFUNCTION("""COMPUTED_VALUE"""),"Wall St")</f>
        <v>Wall St</v>
      </c>
      <c r="B78" s="8" t="str">
        <f>IFERROR(__xludf.DUMMYFUNCTION("""COMPUTED_VALUE"""),"Broadway-7 Av Line")</f>
        <v>Broadway-7 Av Line</v>
      </c>
      <c r="C78" s="8" t="str">
        <f>IFERROR(__xludf.DUMMYFUNCTION("""COMPUTED_VALUE"""),"Manhattan")</f>
        <v>Manhattan</v>
      </c>
      <c r="D78" s="8" t="str">
        <f>IFERROR(__xludf.DUMMYFUNCTION("""COMPUTED_VALUE"""),"Financial District")</f>
        <v>Financial District</v>
      </c>
      <c r="E78" s="33">
        <f>IFERROR(__xludf.DUMMYFUNCTION("""COMPUTED_VALUE"""),6757.0)</f>
        <v>6757</v>
      </c>
      <c r="F78" s="10">
        <f>IFERROR(__xludf.DUMMYFUNCTION("""COMPUTED_VALUE"""),4112164.0)</f>
        <v>4112164</v>
      </c>
      <c r="G78" s="19">
        <f>IFERROR(__xludf.DUMMYFUNCTION("""COMPUTED_VALUE"""),72.0)</f>
        <v>72</v>
      </c>
      <c r="H78" s="10" t="str">
        <f>IFERROR(__xludf.DUMMYFUNCTION("""COMPUTED_VALUE"""),"↗️")</f>
        <v>↗️</v>
      </c>
      <c r="I78" s="13"/>
      <c r="J78" s="32">
        <f>IFERROR(__xludf.DUMMYFUNCTION("""COMPUTED_VALUE"""),40817.0)</f>
        <v>40817</v>
      </c>
      <c r="K78" s="8">
        <f>IFERROR(__xludf.DUMMYFUNCTION("""COMPUTED_VALUE"""),22.0)</f>
        <v>22</v>
      </c>
      <c r="L78" s="15" t="str">
        <f>IFERROR(__xludf.DUMMYFUNCTION("""COMPUTED_VALUE"""),"NO")</f>
        <v>NO</v>
      </c>
      <c r="M78" s="15" t="str">
        <f>IFERROR(__xludf.DUMMYFUNCTION("""COMPUTED_VALUE"""),"Private Contractor")</f>
        <v>Private Contractor</v>
      </c>
      <c r="N78" s="15" t="str">
        <f>IFERROR(__xludf.DUMMYFUNCTION("""COMPUTED_VALUE"""),"AM")</f>
        <v>AM</v>
      </c>
      <c r="O78" s="15" t="str">
        <f>IFERROR(__xludf.DUMMYFUNCTION("""COMPUTED_VALUE"""),"YES")</f>
        <v>YES</v>
      </c>
      <c r="P78" s="15" t="str">
        <f>IFERROR(__xludf.DUMMYFUNCTION("""COMPUTED_VALUE"""),"NO")</f>
        <v>NO</v>
      </c>
      <c r="Q78" s="15" t="str">
        <f>IFERROR(__xludf.DUMMYFUNCTION("""COMPUTED_VALUE"""),"NO")</f>
        <v>NO</v>
      </c>
      <c r="R78" s="15"/>
      <c r="S78" s="15">
        <f>IFERROR(__xludf.DUMMYFUNCTION("""COMPUTED_VALUE"""),0.0)</f>
        <v>0</v>
      </c>
      <c r="T78" s="15"/>
      <c r="U78" s="15" t="str">
        <f>IFERROR(__xludf.DUMMYFUNCTION("""COMPUTED_VALUE"""),"60 Wall St atrium (between William St &amp; Pearl St) to mezzanine for 2/3 service")</f>
        <v>60 Wall St atrium (between William St &amp; Pearl St) to mezzanine for 2/3 service</v>
      </c>
      <c r="V78" s="15" t="str">
        <f>IFERROR(__xludf.DUMMYFUNCTION("""COMPUTED_VALUE"""),"POINT (-74.00872 40.706657)")</f>
        <v>POINT (-74.00872 40.706657)</v>
      </c>
    </row>
    <row r="79" ht="22.5" customHeight="1">
      <c r="A79" s="7" t="str">
        <f>IFERROR(__xludf.DUMMYFUNCTION("""COMPUTED_VALUE"""),"Lexington Av/63 St")</f>
        <v>Lexington Av/63 St</v>
      </c>
      <c r="B79" s="8" t="str">
        <f>IFERROR(__xludf.DUMMYFUNCTION("""COMPUTED_VALUE"""),"")</f>
        <v/>
      </c>
      <c r="C79" s="8" t="str">
        <f>IFERROR(__xludf.DUMMYFUNCTION("""COMPUTED_VALUE"""),"")</f>
        <v/>
      </c>
      <c r="D79" s="8" t="str">
        <f>IFERROR(__xludf.DUMMYFUNCTION("""COMPUTED_VALUE"""),"")</f>
        <v/>
      </c>
      <c r="E79" s="33" t="str">
        <f>IFERROR(__xludf.DUMMYFUNCTION("""COMPUTED_VALUE"""),"")</f>
        <v/>
      </c>
      <c r="F79" s="10" t="str">
        <f>IFERROR(__xludf.DUMMYFUNCTION("""COMPUTED_VALUE"""),"")</f>
        <v/>
      </c>
      <c r="G79" s="19" t="str">
        <f>IFERROR(__xludf.DUMMYFUNCTION("""COMPUTED_VALUE"""),"")</f>
        <v/>
      </c>
      <c r="H79" s="10" t="str">
        <f>IFERROR(__xludf.DUMMYFUNCTION("""COMPUTED_VALUE"""),"↗️")</f>
        <v>↗️</v>
      </c>
      <c r="I79" s="13">
        <f>IFERROR(__xludf.DUMMYFUNCTION("""COMPUTED_VALUE"""),42734.0)</f>
        <v>42734</v>
      </c>
      <c r="J79" s="32">
        <f>IFERROR(__xludf.DUMMYFUNCTION("""COMPUTED_VALUE"""),42734.0)</f>
        <v>42734</v>
      </c>
      <c r="K79" s="8">
        <f>IFERROR(__xludf.DUMMYFUNCTION("""COMPUTED_VALUE"""),22.0)</f>
        <v>22</v>
      </c>
      <c r="L79" s="15" t="str">
        <f>IFERROR(__xludf.DUMMYFUNCTION("""COMPUTED_VALUE"""),"YES")</f>
        <v>YES</v>
      </c>
      <c r="M79" s="15" t="str">
        <f>IFERROR(__xludf.DUMMYFUNCTION("""COMPUTED_VALUE"""),"NYCT")</f>
        <v>NYCT</v>
      </c>
      <c r="N79" s="15" t="str">
        <f>IFERROR(__xludf.DUMMYFUNCTION("""COMPUTED_VALUE"""),"KONE")</f>
        <v>KONE</v>
      </c>
      <c r="O79" s="15" t="str">
        <f>IFERROR(__xludf.DUMMYFUNCTION("""COMPUTED_VALUE"""),"YES")</f>
        <v>YES</v>
      </c>
      <c r="P79" s="15" t="str">
        <f>IFERROR(__xludf.DUMMYFUNCTION("""COMPUTED_VALUE"""),"YES")</f>
        <v>YES</v>
      </c>
      <c r="Q79" s="15" t="str">
        <f>IFERROR(__xludf.DUMMYFUNCTION("""COMPUTED_VALUE"""),"YES")</f>
        <v>YES</v>
      </c>
      <c r="R79" s="15" t="str">
        <f>IFERROR(__xludf.DUMMYFUNCTION("""COMPUTED_VALUE"""),"9611mm (31' 6 3/8in)")</f>
        <v>9611mm (31' 6 3/8in)</v>
      </c>
      <c r="S79" s="15">
        <f>IFERROR(__xludf.DUMMYFUNCTION("""COMPUTED_VALUE"""),122.0)</f>
        <v>122</v>
      </c>
      <c r="T79" s="15" t="str">
        <f>IFERROR(__xludf.DUMMYFUNCTION("""COMPUTED_VALUE"""),"Step Width 996 mm (39 3/8in)")</f>
        <v>Step Width 996 mm (39 3/8in)</v>
      </c>
      <c r="U79" s="15" t="str">
        <f>IFERROR(__xludf.DUMMYFUNCTION("""COMPUTED_VALUE"""),"3rd Ave &amp; 63 St (SE corner) to mezzanine")</f>
        <v>3rd Ave &amp; 63 St (SE corner) to mezzanine</v>
      </c>
      <c r="V79" s="15" t="str">
        <f>IFERROR(__xludf.DUMMYFUNCTION("""COMPUTED_VALUE"""),"POINT (-73.9646 40.76388)")</f>
        <v>POINT (-73.9646 40.76388)</v>
      </c>
    </row>
    <row r="80" ht="22.5" customHeight="1">
      <c r="A80" s="7" t="str">
        <f>IFERROR(__xludf.DUMMYFUNCTION("""COMPUTED_VALUE"""),"74 St-Broadway")</f>
        <v>74 St-Broadway</v>
      </c>
      <c r="B80" s="8" t="str">
        <f>IFERROR(__xludf.DUMMYFUNCTION("""COMPUTED_VALUE"""),"")</f>
        <v/>
      </c>
      <c r="C80" s="8" t="str">
        <f>IFERROR(__xludf.DUMMYFUNCTION("""COMPUTED_VALUE"""),"")</f>
        <v/>
      </c>
      <c r="D80" s="8" t="str">
        <f>IFERROR(__xludf.DUMMYFUNCTION("""COMPUTED_VALUE"""),"")</f>
        <v/>
      </c>
      <c r="E80" s="33" t="str">
        <f>IFERROR(__xludf.DUMMYFUNCTION("""COMPUTED_VALUE"""),"")</f>
        <v/>
      </c>
      <c r="F80" s="10" t="str">
        <f>IFERROR(__xludf.DUMMYFUNCTION("""COMPUTED_VALUE"""),"")</f>
        <v/>
      </c>
      <c r="G80" s="19" t="str">
        <f>IFERROR(__xludf.DUMMYFUNCTION("""COMPUTED_VALUE"""),"")</f>
        <v/>
      </c>
      <c r="H80" s="10" t="str">
        <f>IFERROR(__xludf.DUMMYFUNCTION("""COMPUTED_VALUE"""),"↗️")</f>
        <v>↗️</v>
      </c>
      <c r="I80" s="13">
        <f>IFERROR(__xludf.DUMMYFUNCTION("""COMPUTED_VALUE"""),36363.0)</f>
        <v>36363</v>
      </c>
      <c r="J80" s="32">
        <f>IFERROR(__xludf.DUMMYFUNCTION("""COMPUTED_VALUE"""),45596.0)</f>
        <v>45596</v>
      </c>
      <c r="K80" s="8">
        <f>IFERROR(__xludf.DUMMYFUNCTION("""COMPUTED_VALUE"""),22.0)</f>
        <v>22</v>
      </c>
      <c r="L80" s="15" t="str">
        <f>IFERROR(__xludf.DUMMYFUNCTION("""COMPUTED_VALUE"""),"YES")</f>
        <v>YES</v>
      </c>
      <c r="M80" s="15" t="str">
        <f>IFERROR(__xludf.DUMMYFUNCTION("""COMPUTED_VALUE"""),"NYCT")</f>
        <v>NYCT</v>
      </c>
      <c r="N80" s="15" t="str">
        <f>IFERROR(__xludf.DUMMYFUNCTION("""COMPUTED_VALUE"""),"OK")</f>
        <v>OK</v>
      </c>
      <c r="O80" s="15" t="str">
        <f>IFERROR(__xludf.DUMMYFUNCTION("""COMPUTED_VALUE"""),"YES")</f>
        <v>YES</v>
      </c>
      <c r="P80" s="15" t="str">
        <f>IFERROR(__xludf.DUMMYFUNCTION("""COMPUTED_VALUE"""),"NO")</f>
        <v>NO</v>
      </c>
      <c r="Q80" s="15" t="str">
        <f>IFERROR(__xludf.DUMMYFUNCTION("""COMPUTED_VALUE"""),"NO")</f>
        <v>NO</v>
      </c>
      <c r="R80" s="15" t="str">
        <f>IFERROR(__xludf.DUMMYFUNCTION("""COMPUTED_VALUE"""),"31'")</f>
        <v>31'</v>
      </c>
      <c r="S80" s="15">
        <f>IFERROR(__xludf.DUMMYFUNCTION("""COMPUTED_VALUE"""),115.0)</f>
        <v>115</v>
      </c>
      <c r="T80" s="15" t="str">
        <f>IFERROR(__xludf.DUMMYFUNCTION("""COMPUTED_VALUE"""),"40in")</f>
        <v>40in</v>
      </c>
      <c r="U80" s="15" t="str">
        <f>IFERROR(__xludf.DUMMYFUNCTION("""COMPUTED_VALUE"""),"7 underpass to lower mezzanine for E/F/M/R service")</f>
        <v>7 underpass to lower mezzanine for E/F/M/R service</v>
      </c>
      <c r="V80" s="15" t="str">
        <f>IFERROR(__xludf.DUMMYFUNCTION("""COMPUTED_VALUE"""),"POINT (-73.89245 40.74686)")</f>
        <v>POINT (-73.89245 40.74686)</v>
      </c>
    </row>
    <row r="81" ht="22.5" customHeight="1">
      <c r="A81" s="7" t="str">
        <f>IFERROR(__xludf.DUMMYFUNCTION("""COMPUTED_VALUE"""),"W 4 St-Wash Sq")</f>
        <v>W 4 St-Wash Sq</v>
      </c>
      <c r="B81" s="8" t="str">
        <f>IFERROR(__xludf.DUMMYFUNCTION("""COMPUTED_VALUE"""),"")</f>
        <v/>
      </c>
      <c r="C81" s="8" t="str">
        <f>IFERROR(__xludf.DUMMYFUNCTION("""COMPUTED_VALUE"""),"")</f>
        <v/>
      </c>
      <c r="D81" s="8" t="str">
        <f>IFERROR(__xludf.DUMMYFUNCTION("""COMPUTED_VALUE"""),"")</f>
        <v/>
      </c>
      <c r="E81" s="33" t="str">
        <f>IFERROR(__xludf.DUMMYFUNCTION("""COMPUTED_VALUE"""),"")</f>
        <v/>
      </c>
      <c r="F81" s="10" t="str">
        <f>IFERROR(__xludf.DUMMYFUNCTION("""COMPUTED_VALUE"""),"")</f>
        <v/>
      </c>
      <c r="G81" s="17" t="str">
        <f>IFERROR(__xludf.DUMMYFUNCTION("""COMPUTED_VALUE"""),"")</f>
        <v/>
      </c>
      <c r="H81" s="10" t="str">
        <f>IFERROR(__xludf.DUMMYFUNCTION("""COMPUTED_VALUE"""),"↗️")</f>
        <v>↗️</v>
      </c>
      <c r="I81" s="13">
        <f>IFERROR(__xludf.DUMMYFUNCTION("""COMPUTED_VALUE"""),25781.0)</f>
        <v>25781</v>
      </c>
      <c r="J81" s="32">
        <f>IFERROR(__xludf.DUMMYFUNCTION("""COMPUTED_VALUE"""),45788.0)</f>
        <v>45788</v>
      </c>
      <c r="K81" s="8">
        <f>IFERROR(__xludf.DUMMYFUNCTION("""COMPUTED_VALUE"""),22.0)</f>
        <v>22</v>
      </c>
      <c r="L81" s="15" t="str">
        <f>IFERROR(__xludf.DUMMYFUNCTION("""COMPUTED_VALUE"""),"YES")</f>
        <v>YES</v>
      </c>
      <c r="M81" s="15" t="str">
        <f>IFERROR(__xludf.DUMMYFUNCTION("""COMPUTED_VALUE"""),"NYCT")</f>
        <v>NYCT</v>
      </c>
      <c r="N81" s="15" t="str">
        <f>IFERROR(__xludf.DUMMYFUNCTION("""COMPUTED_VALUE"""),"ALLEN BRADLEY")</f>
        <v>ALLEN BRADLEY</v>
      </c>
      <c r="O81" s="15" t="str">
        <f>IFERROR(__xludf.DUMMYFUNCTION("""COMPUTED_VALUE"""),"YES")</f>
        <v>YES</v>
      </c>
      <c r="P81" s="15" t="str">
        <f>IFERROR(__xludf.DUMMYFUNCTION("""COMPUTED_VALUE"""),"NO")</f>
        <v>NO</v>
      </c>
      <c r="Q81" s="15" t="str">
        <f>IFERROR(__xludf.DUMMYFUNCTION("""COMPUTED_VALUE"""),"NO")</f>
        <v>NO</v>
      </c>
      <c r="R81" s="15" t="str">
        <f>IFERROR(__xludf.DUMMYFUNCTION("""COMPUTED_VALUE"""),"24' 11 1/2in")</f>
        <v>24' 11 1/2in</v>
      </c>
      <c r="S81" s="15">
        <f>IFERROR(__xludf.DUMMYFUNCTION("""COMPUTED_VALUE"""),94.0)</f>
        <v>94</v>
      </c>
      <c r="T81" s="15" t="str">
        <f>IFERROR(__xludf.DUMMYFUNCTION("""COMPUTED_VALUE"""),"40in")</f>
        <v>40in</v>
      </c>
      <c r="U81" s="15" t="str">
        <f>IFERROR(__xludf.DUMMYFUNCTION("""COMPUTED_VALUE"""),"downtown B/D/F/M platform to downtown A/C/E platform and access to street")</f>
        <v>downtown B/D/F/M platform to downtown A/C/E platform and access to street</v>
      </c>
      <c r="V81" s="15" t="str">
        <f>IFERROR(__xludf.DUMMYFUNCTION("""COMPUTED_VALUE"""),"POINT (-74.000404 40.732605)")</f>
        <v>POINT (-74.000404 40.732605)</v>
      </c>
    </row>
    <row r="82" ht="22.5" customHeight="1">
      <c r="A82" s="7" t="str">
        <f>IFERROR(__xludf.DUMMYFUNCTION("""COMPUTED_VALUE"""),"Lexington Av/53 St")</f>
        <v>Lexington Av/53 St</v>
      </c>
      <c r="B82" s="8" t="str">
        <f>IFERROR(__xludf.DUMMYFUNCTION("""COMPUTED_VALUE"""),"")</f>
        <v/>
      </c>
      <c r="C82" s="8" t="str">
        <f>IFERROR(__xludf.DUMMYFUNCTION("""COMPUTED_VALUE"""),"")</f>
        <v/>
      </c>
      <c r="D82" s="8" t="str">
        <f>IFERROR(__xludf.DUMMYFUNCTION("""COMPUTED_VALUE"""),"")</f>
        <v/>
      </c>
      <c r="E82" s="33" t="str">
        <f>IFERROR(__xludf.DUMMYFUNCTION("""COMPUTED_VALUE"""),"")</f>
        <v/>
      </c>
      <c r="F82" s="8" t="str">
        <f>IFERROR(__xludf.DUMMYFUNCTION("""COMPUTED_VALUE"""),"")</f>
        <v/>
      </c>
      <c r="G82" s="19" t="str">
        <f>IFERROR(__xludf.DUMMYFUNCTION("""COMPUTED_VALUE"""),"")</f>
        <v/>
      </c>
      <c r="H82" s="10" t="str">
        <f>IFERROR(__xludf.DUMMYFUNCTION("""COMPUTED_VALUE"""),"↗️")</f>
        <v>↗️</v>
      </c>
      <c r="I82" s="13"/>
      <c r="J82" s="32">
        <f>IFERROR(__xludf.DUMMYFUNCTION("""COMPUTED_VALUE"""),40700.0)</f>
        <v>40700</v>
      </c>
      <c r="K82" s="8">
        <f>IFERROR(__xludf.DUMMYFUNCTION("""COMPUTED_VALUE"""),22.0)</f>
        <v>22</v>
      </c>
      <c r="L82" s="15" t="str">
        <f>IFERROR(__xludf.DUMMYFUNCTION("""COMPUTED_VALUE"""),"NO")</f>
        <v>NO</v>
      </c>
      <c r="M82" s="15" t="str">
        <f>IFERROR(__xludf.DUMMYFUNCTION("""COMPUTED_VALUE"""),"Private Contractor")</f>
        <v>Private Contractor</v>
      </c>
      <c r="N82" s="15" t="str">
        <f>IFERROR(__xludf.DUMMYFUNCTION("""COMPUTED_VALUE"""),"AM")</f>
        <v>AM</v>
      </c>
      <c r="O82" s="15" t="str">
        <f>IFERROR(__xludf.DUMMYFUNCTION("""COMPUTED_VALUE"""),"YES")</f>
        <v>YES</v>
      </c>
      <c r="P82" s="15" t="str">
        <f>IFERROR(__xludf.DUMMYFUNCTION("""COMPUTED_VALUE"""),"NO")</f>
        <v>NO</v>
      </c>
      <c r="Q82" s="15" t="str">
        <f>IFERROR(__xludf.DUMMYFUNCTION("""COMPUTED_VALUE"""),"NO")</f>
        <v>NO</v>
      </c>
      <c r="R82" s="15"/>
      <c r="S82" s="15">
        <f>IFERROR(__xludf.DUMMYFUNCTION("""COMPUTED_VALUE"""),0.0)</f>
        <v>0</v>
      </c>
      <c r="T82" s="15"/>
      <c r="U82" s="15" t="str">
        <f>IFERROR(__xludf.DUMMYFUNCTION("""COMPUTED_VALUE"""),"E/F platform to mezzanine for 6 service and 53 St &amp; Lexington Av exit.")</f>
        <v>E/F platform to mezzanine for 6 service and 53 St &amp; Lexington Av exit.</v>
      </c>
      <c r="V82" s="15" t="str">
        <f>IFERROR(__xludf.DUMMYFUNCTION("""COMPUTED_VALUE"""),"POINT (-73.96957 40.75777)")</f>
        <v>POINT (-73.96957 40.75777)</v>
      </c>
    </row>
    <row r="83" ht="22.5" customHeight="1">
      <c r="A83" s="7" t="str">
        <f>IFERROR(__xludf.DUMMYFUNCTION("""COMPUTED_VALUE"""),"Delancey St-Essex St")</f>
        <v>Delancey St-Essex St</v>
      </c>
      <c r="B83" s="8" t="str">
        <f>IFERROR(__xludf.DUMMYFUNCTION("""COMPUTED_VALUE"""),"")</f>
        <v/>
      </c>
      <c r="C83" s="8" t="str">
        <f>IFERROR(__xludf.DUMMYFUNCTION("""COMPUTED_VALUE"""),"")</f>
        <v/>
      </c>
      <c r="D83" s="8" t="str">
        <f>IFERROR(__xludf.DUMMYFUNCTION("""COMPUTED_VALUE"""),"")</f>
        <v/>
      </c>
      <c r="E83" s="33" t="str">
        <f>IFERROR(__xludf.DUMMYFUNCTION("""COMPUTED_VALUE"""),"")</f>
        <v/>
      </c>
      <c r="F83" s="8" t="str">
        <f>IFERROR(__xludf.DUMMYFUNCTION("""COMPUTED_VALUE"""),"")</f>
        <v/>
      </c>
      <c r="G83" s="19" t="str">
        <f>IFERROR(__xludf.DUMMYFUNCTION("""COMPUTED_VALUE"""),"")</f>
        <v/>
      </c>
      <c r="H83" s="10" t="str">
        <f>IFERROR(__xludf.DUMMYFUNCTION("""COMPUTED_VALUE"""),"↗️")</f>
        <v>↗️</v>
      </c>
      <c r="I83" s="13">
        <f>IFERROR(__xludf.DUMMYFUNCTION("""COMPUTED_VALUE"""),21337.0)</f>
        <v>21337</v>
      </c>
      <c r="J83" s="32">
        <f>IFERROR(__xludf.DUMMYFUNCTION("""COMPUTED_VALUE"""),36286.0)</f>
        <v>36286</v>
      </c>
      <c r="K83" s="8">
        <f>IFERROR(__xludf.DUMMYFUNCTION("""COMPUTED_VALUE"""),22.0)</f>
        <v>22</v>
      </c>
      <c r="L83" s="15" t="str">
        <f>IFERROR(__xludf.DUMMYFUNCTION("""COMPUTED_VALUE"""),"YES")</f>
        <v>YES</v>
      </c>
      <c r="M83" s="15" t="str">
        <f>IFERROR(__xludf.DUMMYFUNCTION("""COMPUTED_VALUE"""),"NYCT")</f>
        <v>NYCT</v>
      </c>
      <c r="N83" s="15" t="str">
        <f>IFERROR(__xludf.DUMMYFUNCTION("""COMPUTED_VALUE"""),"OK")</f>
        <v>OK</v>
      </c>
      <c r="O83" s="15" t="str">
        <f>IFERROR(__xludf.DUMMYFUNCTION("""COMPUTED_VALUE"""),"YES")</f>
        <v>YES</v>
      </c>
      <c r="P83" s="15" t="str">
        <f>IFERROR(__xludf.DUMMYFUNCTION("""COMPUTED_VALUE"""),"YES")</f>
        <v>YES</v>
      </c>
      <c r="Q83" s="15" t="str">
        <f>IFERROR(__xludf.DUMMYFUNCTION("""COMPUTED_VALUE"""),"YES")</f>
        <v>YES</v>
      </c>
      <c r="R83" s="15" t="str">
        <f>IFERROR(__xludf.DUMMYFUNCTION("""COMPUTED_VALUE"""),"27'")</f>
        <v>27'</v>
      </c>
      <c r="S83" s="15">
        <f>IFERROR(__xludf.DUMMYFUNCTION("""COMPUTED_VALUE"""),97.0)</f>
        <v>97</v>
      </c>
      <c r="T83" s="15">
        <f>IFERROR(__xludf.DUMMYFUNCTION("""COMPUTED_VALUE"""),24.0)</f>
        <v>24</v>
      </c>
      <c r="U83" s="15" t="str">
        <f>IFERROR(__xludf.DUMMYFUNCTION("""COMPUTED_VALUE"""),"mezzanine to Delancey St &amp; Essex St (NE corner)")</f>
        <v>mezzanine to Delancey St &amp; Essex St (NE corner)</v>
      </c>
      <c r="V83" s="15" t="str">
        <f>IFERROR(__xludf.DUMMYFUNCTION("""COMPUTED_VALUE"""),"POINT (-73.987564 40.718815)")</f>
        <v>POINT (-73.987564 40.718815)</v>
      </c>
    </row>
    <row r="84" ht="22.5" customHeight="1">
      <c r="A84" s="7" t="str">
        <f>IFERROR(__xludf.DUMMYFUNCTION("""COMPUTED_VALUE"""),"74 St-Broadway")</f>
        <v>74 St-Broadway</v>
      </c>
      <c r="B84" s="23" t="str">
        <f>IFERROR(__xludf.DUMMYFUNCTION("""COMPUTED_VALUE"""),"")</f>
        <v/>
      </c>
      <c r="C84" s="8" t="str">
        <f>IFERROR(__xludf.DUMMYFUNCTION("""COMPUTED_VALUE"""),"")</f>
        <v/>
      </c>
      <c r="D84" s="8" t="str">
        <f>IFERROR(__xludf.DUMMYFUNCTION("""COMPUTED_VALUE"""),"")</f>
        <v/>
      </c>
      <c r="E84" s="33" t="str">
        <f>IFERROR(__xludf.DUMMYFUNCTION("""COMPUTED_VALUE"""),"")</f>
        <v/>
      </c>
      <c r="F84" s="10" t="str">
        <f>IFERROR(__xludf.DUMMYFUNCTION("""COMPUTED_VALUE"""),"")</f>
        <v/>
      </c>
      <c r="G84" s="17" t="str">
        <f>IFERROR(__xludf.DUMMYFUNCTION("""COMPUTED_VALUE"""),"")</f>
        <v/>
      </c>
      <c r="H84" s="10" t="str">
        <f>IFERROR(__xludf.DUMMYFUNCTION("""COMPUTED_VALUE"""),"↗️")</f>
        <v>↗️</v>
      </c>
      <c r="I84" s="13">
        <f>IFERROR(__xludf.DUMMYFUNCTION("""COMPUTED_VALUE"""),21641.0)</f>
        <v>21641</v>
      </c>
      <c r="J84" s="32">
        <f>IFERROR(__xludf.DUMMYFUNCTION("""COMPUTED_VALUE"""),45596.0)</f>
        <v>45596</v>
      </c>
      <c r="K84" s="8">
        <f>IFERROR(__xludf.DUMMYFUNCTION("""COMPUTED_VALUE"""),22.0)</f>
        <v>22</v>
      </c>
      <c r="L84" s="15" t="str">
        <f>IFERROR(__xludf.DUMMYFUNCTION("""COMPUTED_VALUE"""),"YES")</f>
        <v>YES</v>
      </c>
      <c r="M84" s="15" t="str">
        <f>IFERROR(__xludf.DUMMYFUNCTION("""COMPUTED_VALUE"""),"NYCT")</f>
        <v>NYCT</v>
      </c>
      <c r="N84" s="15" t="str">
        <f>IFERROR(__xludf.DUMMYFUNCTION("""COMPUTED_VALUE"""),"OK")</f>
        <v>OK</v>
      </c>
      <c r="O84" s="15" t="str">
        <f>IFERROR(__xludf.DUMMYFUNCTION("""COMPUTED_VALUE"""),"YES")</f>
        <v>YES</v>
      </c>
      <c r="P84" s="15" t="str">
        <f>IFERROR(__xludf.DUMMYFUNCTION("""COMPUTED_VALUE"""),"NO")</f>
        <v>NO</v>
      </c>
      <c r="Q84" s="15" t="str">
        <f>IFERROR(__xludf.DUMMYFUNCTION("""COMPUTED_VALUE"""),"NO")</f>
        <v>NO</v>
      </c>
      <c r="R84" s="15" t="str">
        <f>IFERROR(__xludf.DUMMYFUNCTION("""COMPUTED_VALUE"""),"31'")</f>
        <v>31'</v>
      </c>
      <c r="S84" s="15">
        <f>IFERROR(__xludf.DUMMYFUNCTION("""COMPUTED_VALUE"""),115.0)</f>
        <v>115</v>
      </c>
      <c r="T84" s="15" t="str">
        <f>IFERROR(__xludf.DUMMYFUNCTION("""COMPUTED_VALUE"""),"40in")</f>
        <v>40in</v>
      </c>
      <c r="U84" s="15" t="str">
        <f>IFERROR(__xludf.DUMMYFUNCTION("""COMPUTED_VALUE"""),"E/F/M/R lower mezzanine to underpass for 7 service")</f>
        <v>E/F/M/R lower mezzanine to underpass for 7 service</v>
      </c>
      <c r="V84" s="15" t="str">
        <f>IFERROR(__xludf.DUMMYFUNCTION("""COMPUTED_VALUE"""),"POINT (-73.89245 40.746876)")</f>
        <v>POINT (-73.89245 40.746876)</v>
      </c>
    </row>
    <row r="85" ht="22.5" customHeight="1">
      <c r="A85" s="7" t="str">
        <f>IFERROR(__xludf.DUMMYFUNCTION("""COMPUTED_VALUE"""),"Howard Beach-JFK Airport")</f>
        <v>Howard Beach-JFK Airport</v>
      </c>
      <c r="B85" s="8" t="str">
        <f>IFERROR(__xludf.DUMMYFUNCTION("""COMPUTED_VALUE"""),"Rockaway Line")</f>
        <v>Rockaway Line</v>
      </c>
      <c r="C85" s="8" t="str">
        <f>IFERROR(__xludf.DUMMYFUNCTION("""COMPUTED_VALUE"""),"Queens")</f>
        <v>Queens</v>
      </c>
      <c r="D85" s="8" t="str">
        <f>IFERROR(__xludf.DUMMYFUNCTION("""COMPUTED_VALUE"""),"Howard Beach")</f>
        <v>Howard Beach</v>
      </c>
      <c r="E85" s="33">
        <f>IFERROR(__xludf.DUMMYFUNCTION("""COMPUTED_VALUE"""),20634.0)</f>
        <v>20634</v>
      </c>
      <c r="F85" s="10">
        <f>IFERROR(__xludf.DUMMYFUNCTION("""COMPUTED_VALUE"""),975786.0)</f>
        <v>975786</v>
      </c>
      <c r="G85" s="17">
        <f>IFERROR(__xludf.DUMMYFUNCTION("""COMPUTED_VALUE"""),297.0)</f>
        <v>297</v>
      </c>
      <c r="H85" s="10" t="str">
        <f>IFERROR(__xludf.DUMMYFUNCTION("""COMPUTED_VALUE"""),"↗️")</f>
        <v>↗️</v>
      </c>
      <c r="I85" s="13"/>
      <c r="J85" s="32">
        <f>IFERROR(__xludf.DUMMYFUNCTION("""COMPUTED_VALUE"""),41263.0)</f>
        <v>41263</v>
      </c>
      <c r="K85" s="8">
        <f>IFERROR(__xludf.DUMMYFUNCTION("""COMPUTED_VALUE"""),22.0)</f>
        <v>22</v>
      </c>
      <c r="L85" s="15" t="str">
        <f>IFERROR(__xludf.DUMMYFUNCTION("""COMPUTED_VALUE"""),"NO")</f>
        <v>NO</v>
      </c>
      <c r="M85" s="15" t="str">
        <f>IFERROR(__xludf.DUMMYFUNCTION("""COMPUTED_VALUE"""),"Private Contractor")</f>
        <v>Private Contractor</v>
      </c>
      <c r="N85" s="15" t="str">
        <f>IFERROR(__xludf.DUMMYFUNCTION("""COMPUTED_VALUE"""),"AM")</f>
        <v>AM</v>
      </c>
      <c r="O85" s="15" t="str">
        <f>IFERROR(__xludf.DUMMYFUNCTION("""COMPUTED_VALUE"""),"YES")</f>
        <v>YES</v>
      </c>
      <c r="P85" s="15" t="str">
        <f>IFERROR(__xludf.DUMMYFUNCTION("""COMPUTED_VALUE"""),"NO")</f>
        <v>NO</v>
      </c>
      <c r="Q85" s="15" t="str">
        <f>IFERROR(__xludf.DUMMYFUNCTION("""COMPUTED_VALUE"""),"NO")</f>
        <v>NO</v>
      </c>
      <c r="R85" s="15"/>
      <c r="S85" s="15"/>
      <c r="T85" s="15"/>
      <c r="U85" s="15" t="str">
        <f>IFERROR(__xludf.DUMMYFUNCTION("""COMPUTED_VALUE"""),"intermediate mezzanine to Brooklyn-bound platform")</f>
        <v>intermediate mezzanine to Brooklyn-bound platform</v>
      </c>
      <c r="V85" s="15" t="str">
        <f>IFERROR(__xludf.DUMMYFUNCTION("""COMPUTED_VALUE"""),"POINT (-73.83007 40.660423)")</f>
        <v>POINT (-73.83007 40.660423)</v>
      </c>
    </row>
    <row r="86" ht="22.5" customHeight="1">
      <c r="A86" s="7" t="str">
        <f>IFERROR(__xludf.DUMMYFUNCTION("""COMPUTED_VALUE"""),"Times Sq-42 St")</f>
        <v>Times Sq-42 St</v>
      </c>
      <c r="B86" s="8" t="str">
        <f>IFERROR(__xludf.DUMMYFUNCTION("""COMPUTED_VALUE"""),"42nd St Line")</f>
        <v>42nd St Line</v>
      </c>
      <c r="C86" s="8" t="str">
        <f>IFERROR(__xludf.DUMMYFUNCTION("""COMPUTED_VALUE"""),"Manhattan")</f>
        <v>Manhattan</v>
      </c>
      <c r="D86" s="8" t="str">
        <f>IFERROR(__xludf.DUMMYFUNCTION("""COMPUTED_VALUE"""),"Times Square")</f>
        <v>Times Square</v>
      </c>
      <c r="E86" s="33">
        <f>IFERROR(__xludf.DUMMYFUNCTION("""COMPUTED_VALUE"""),1762.0)</f>
        <v>1762</v>
      </c>
      <c r="F86" s="10">
        <f>IFERROR(__xludf.DUMMYFUNCTION("""COMPUTED_VALUE"""),5.7743486E7)</f>
        <v>57743486</v>
      </c>
      <c r="G86" s="17">
        <f>IFERROR(__xludf.DUMMYFUNCTION("""COMPUTED_VALUE"""),1.0)</f>
        <v>1</v>
      </c>
      <c r="H86" s="10" t="str">
        <f>IFERROR(__xludf.DUMMYFUNCTION("""COMPUTED_VALUE"""),"↗️")</f>
        <v>↗️</v>
      </c>
      <c r="I86" s="13"/>
      <c r="J86" s="32">
        <f>IFERROR(__xludf.DUMMYFUNCTION("""COMPUTED_VALUE"""),40722.0)</f>
        <v>40722</v>
      </c>
      <c r="K86" s="8">
        <f>IFERROR(__xludf.DUMMYFUNCTION("""COMPUTED_VALUE"""),22.0)</f>
        <v>22</v>
      </c>
      <c r="L86" s="15" t="str">
        <f>IFERROR(__xludf.DUMMYFUNCTION("""COMPUTED_VALUE"""),"NO")</f>
        <v>NO</v>
      </c>
      <c r="M86" s="15" t="str">
        <f>IFERROR(__xludf.DUMMYFUNCTION("""COMPUTED_VALUE"""),"Private Contractor")</f>
        <v>Private Contractor</v>
      </c>
      <c r="N86" s="15" t="str">
        <f>IFERROR(__xludf.DUMMYFUNCTION("""COMPUTED_VALUE"""),"AM")</f>
        <v>AM</v>
      </c>
      <c r="O86" s="15" t="str">
        <f>IFERROR(__xludf.DUMMYFUNCTION("""COMPUTED_VALUE"""),"YES")</f>
        <v>YES</v>
      </c>
      <c r="P86" s="15" t="str">
        <f>IFERROR(__xludf.DUMMYFUNCTION("""COMPUTED_VALUE"""),"NO")</f>
        <v>NO</v>
      </c>
      <c r="Q86" s="15" t="str">
        <f>IFERROR(__xludf.DUMMYFUNCTION("""COMPUTED_VALUE"""),"NO")</f>
        <v>NO</v>
      </c>
      <c r="R86" s="15"/>
      <c r="S86" s="15">
        <f>IFERROR(__xludf.DUMMYFUNCTION("""COMPUTED_VALUE"""),0.0)</f>
        <v>0</v>
      </c>
      <c r="T86" s="15"/>
      <c r="U86" s="15" t="str">
        <f>IFERROR(__xludf.DUMMYFUNCTION("""COMPUTED_VALUE"""),"N/Q/R/W mezzanine to 42 St &amp; 7th Ave (SE corner)")</f>
        <v>N/Q/R/W mezzanine to 42 St &amp; 7th Ave (SE corner)</v>
      </c>
      <c r="V86" s="15" t="str">
        <f>IFERROR(__xludf.DUMMYFUNCTION("""COMPUTED_VALUE"""),"POINT (-73.98679 40.755707)")</f>
        <v>POINT (-73.98679 40.755707)</v>
      </c>
    </row>
    <row r="87" ht="22.5" customHeight="1">
      <c r="A87" s="7" t="str">
        <f>IFERROR(__xludf.DUMMYFUNCTION("""COMPUTED_VALUE"""),"Bowling Green")</f>
        <v>Bowling Green</v>
      </c>
      <c r="B87" s="8" t="str">
        <f>IFERROR(__xludf.DUMMYFUNCTION("""COMPUTED_VALUE"""),"Lexington Av Line")</f>
        <v>Lexington Av Line</v>
      </c>
      <c r="C87" s="8" t="str">
        <f>IFERROR(__xludf.DUMMYFUNCTION("""COMPUTED_VALUE"""),"Manhattan")</f>
        <v>Manhattan</v>
      </c>
      <c r="D87" s="8" t="str">
        <f>IFERROR(__xludf.DUMMYFUNCTION("""COMPUTED_VALUE"""),"Financial District")</f>
        <v>Financial District</v>
      </c>
      <c r="E87" s="33">
        <f>IFERROR(__xludf.DUMMYFUNCTION("""COMPUTED_VALUE"""),2018.0)</f>
        <v>2018</v>
      </c>
      <c r="F87" s="10">
        <f>IFERROR(__xludf.DUMMYFUNCTION("""COMPUTED_VALUE"""),4676646.0)</f>
        <v>4676646</v>
      </c>
      <c r="G87" s="19">
        <f>IFERROR(__xludf.DUMMYFUNCTION("""COMPUTED_VALUE"""),62.0)</f>
        <v>62</v>
      </c>
      <c r="H87" s="10" t="str">
        <f>IFERROR(__xludf.DUMMYFUNCTION("""COMPUTED_VALUE"""),"↗️")</f>
        <v>↗️</v>
      </c>
      <c r="I87" s="13">
        <f>IFERROR(__xludf.DUMMYFUNCTION("""COMPUTED_VALUE"""),28216.0)</f>
        <v>28216</v>
      </c>
      <c r="J87" s="32">
        <f>IFERROR(__xludf.DUMMYFUNCTION("""COMPUTED_VALUE"""),37757.0)</f>
        <v>37757</v>
      </c>
      <c r="K87" s="8">
        <f>IFERROR(__xludf.DUMMYFUNCTION("""COMPUTED_VALUE"""),22.0)</f>
        <v>22</v>
      </c>
      <c r="L87" s="15" t="str">
        <f>IFERROR(__xludf.DUMMYFUNCTION("""COMPUTED_VALUE"""),"YES")</f>
        <v>YES</v>
      </c>
      <c r="M87" s="15" t="str">
        <f>IFERROR(__xludf.DUMMYFUNCTION("""COMPUTED_VALUE"""),"NYCT")</f>
        <v>NYCT</v>
      </c>
      <c r="N87" s="15" t="str">
        <f>IFERROR(__xludf.DUMMYFUNCTION("""COMPUTED_VALUE"""),"FUJITEC")</f>
        <v>FUJITEC</v>
      </c>
      <c r="O87" s="15" t="str">
        <f>IFERROR(__xludf.DUMMYFUNCTION("""COMPUTED_VALUE"""),"YES")</f>
        <v>YES</v>
      </c>
      <c r="P87" s="15" t="str">
        <f>IFERROR(__xludf.DUMMYFUNCTION("""COMPUTED_VALUE"""),"NO")</f>
        <v>NO</v>
      </c>
      <c r="Q87" s="15" t="str">
        <f>IFERROR(__xludf.DUMMYFUNCTION("""COMPUTED_VALUE"""),"NO")</f>
        <v>NO</v>
      </c>
      <c r="R87" s="15" t="str">
        <f>IFERROR(__xludf.DUMMYFUNCTION("""COMPUTED_VALUE"""),"24'")</f>
        <v>24'</v>
      </c>
      <c r="S87" s="15">
        <f>IFERROR(__xludf.DUMMYFUNCTION("""COMPUTED_VALUE"""),89.0)</f>
        <v>89</v>
      </c>
      <c r="T87" s="15">
        <f>IFERROR(__xludf.DUMMYFUNCTION("""COMPUTED_VALUE"""),40.0)</f>
        <v>40</v>
      </c>
      <c r="U87" s="15" t="str">
        <f>IFERROR(__xludf.DUMMYFUNCTION("""COMPUTED_VALUE"""),"lower mezzanine to downtown 4/5 platform")</f>
        <v>lower mezzanine to downtown 4/5 platform</v>
      </c>
      <c r="V87" s="15" t="str">
        <f>IFERROR(__xludf.DUMMYFUNCTION("""COMPUTED_VALUE"""),"POINT (-74.014305 40.704437)")</f>
        <v>POINT (-74.014305 40.704437)</v>
      </c>
    </row>
    <row r="88" ht="22.5" customHeight="1">
      <c r="A88" s="7" t="str">
        <f>IFERROR(__xludf.DUMMYFUNCTION("""COMPUTED_VALUE"""),"34 St-Herald Sq")</f>
        <v>34 St-Herald Sq</v>
      </c>
      <c r="B88" s="8" t="str">
        <f>IFERROR(__xludf.DUMMYFUNCTION("""COMPUTED_VALUE"""),"Broadway Line")</f>
        <v>Broadway Line</v>
      </c>
      <c r="C88" s="8" t="str">
        <f>IFERROR(__xludf.DUMMYFUNCTION("""COMPUTED_VALUE"""),"Manhattan")</f>
        <v>Manhattan</v>
      </c>
      <c r="D88" s="8" t="str">
        <f>IFERROR(__xludf.DUMMYFUNCTION("""COMPUTED_VALUE"""),"Midtown")</f>
        <v>Midtown</v>
      </c>
      <c r="E88" s="33">
        <f>IFERROR(__xludf.DUMMYFUNCTION("""COMPUTED_VALUE"""),6580.0)</f>
        <v>6580</v>
      </c>
      <c r="F88" s="10">
        <f>IFERROR(__xludf.DUMMYFUNCTION("""COMPUTED_VALUE"""),2.5012549E7)</f>
        <v>25012549</v>
      </c>
      <c r="G88" s="19">
        <f>IFERROR(__xludf.DUMMYFUNCTION("""COMPUTED_VALUE"""),3.0)</f>
        <v>3</v>
      </c>
      <c r="H88" s="10" t="str">
        <f>IFERROR(__xludf.DUMMYFUNCTION("""COMPUTED_VALUE"""),"↗️")</f>
        <v>↗️</v>
      </c>
      <c r="I88" s="13">
        <f>IFERROR(__xludf.DUMMYFUNCTION("""COMPUTED_VALUE"""),14960.0)</f>
        <v>14960</v>
      </c>
      <c r="J88" s="32">
        <f>IFERROR(__xludf.DUMMYFUNCTION("""COMPUTED_VALUE"""),39460.0)</f>
        <v>39460</v>
      </c>
      <c r="K88" s="8">
        <f>IFERROR(__xludf.DUMMYFUNCTION("""COMPUTED_VALUE"""),22.0)</f>
        <v>22</v>
      </c>
      <c r="L88" s="15" t="str">
        <f>IFERROR(__xludf.DUMMYFUNCTION("""COMPUTED_VALUE"""),"YES")</f>
        <v>YES</v>
      </c>
      <c r="M88" s="15" t="str">
        <f>IFERROR(__xludf.DUMMYFUNCTION("""COMPUTED_VALUE"""),"NYCT")</f>
        <v>NYCT</v>
      </c>
      <c r="N88" s="15" t="str">
        <f>IFERROR(__xludf.DUMMYFUNCTION("""COMPUTED_VALUE"""),"FUJITEC")</f>
        <v>FUJITEC</v>
      </c>
      <c r="O88" s="15" t="str">
        <f>IFERROR(__xludf.DUMMYFUNCTION("""COMPUTED_VALUE"""),"YES")</f>
        <v>YES</v>
      </c>
      <c r="P88" s="15" t="str">
        <f>IFERROR(__xludf.DUMMYFUNCTION("""COMPUTED_VALUE"""),"NO")</f>
        <v>NO</v>
      </c>
      <c r="Q88" s="15" t="str">
        <f>IFERROR(__xludf.DUMMYFUNCTION("""COMPUTED_VALUE"""),"NO")</f>
        <v>NO</v>
      </c>
      <c r="R88" s="15" t="str">
        <f>IFERROR(__xludf.DUMMYFUNCTION("""COMPUTED_VALUE"""),"29'")</f>
        <v>29'</v>
      </c>
      <c r="S88" s="15">
        <f>IFERROR(__xludf.DUMMYFUNCTION("""COMPUTED_VALUE"""),110.0)</f>
        <v>110</v>
      </c>
      <c r="T88" s="15">
        <f>IFERROR(__xludf.DUMMYFUNCTION("""COMPUTED_VALUE"""),24.0)</f>
        <v>24</v>
      </c>
      <c r="U88" s="15" t="str">
        <f>IFERROR(__xludf.DUMMYFUNCTION("""COMPUTED_VALUE"""),"uptown B/D/F/M platform to mezzanine for N/Q/R/W service")</f>
        <v>uptown B/D/F/M platform to mezzanine for N/Q/R/W service</v>
      </c>
      <c r="V88" s="15" t="str">
        <f>IFERROR(__xludf.DUMMYFUNCTION("""COMPUTED_VALUE"""),"POINT (-73.98753 40.75)")</f>
        <v>POINT (-73.98753 40.75)</v>
      </c>
    </row>
    <row r="89" ht="22.5" customHeight="1">
      <c r="A89" s="7" t="str">
        <f>IFERROR(__xludf.DUMMYFUNCTION("""COMPUTED_VALUE"""),"Roosevelt Island")</f>
        <v>Roosevelt Island</v>
      </c>
      <c r="B89" s="8" t="str">
        <f>IFERROR(__xludf.DUMMYFUNCTION("""COMPUTED_VALUE"""),"63rd St Line")</f>
        <v>63rd St Line</v>
      </c>
      <c r="C89" s="8" t="str">
        <f>IFERROR(__xludf.DUMMYFUNCTION("""COMPUTED_VALUE"""),"Manhattan")</f>
        <v>Manhattan</v>
      </c>
      <c r="D89" s="8" t="str">
        <f>IFERROR(__xludf.DUMMYFUNCTION("""COMPUTED_VALUE"""),"Roosevelt Island")</f>
        <v>Roosevelt Island</v>
      </c>
      <c r="E89" s="33">
        <f>IFERROR(__xludf.DUMMYFUNCTION("""COMPUTED_VALUE"""),32810.0)</f>
        <v>32810</v>
      </c>
      <c r="F89" s="10">
        <f>IFERROR(__xludf.DUMMYFUNCTION("""COMPUTED_VALUE"""),1885823.0)</f>
        <v>1885823</v>
      </c>
      <c r="G89" s="19">
        <f>IFERROR(__xludf.DUMMYFUNCTION("""COMPUTED_VALUE"""),171.0)</f>
        <v>171</v>
      </c>
      <c r="H89" s="10" t="str">
        <f>IFERROR(__xludf.DUMMYFUNCTION("""COMPUTED_VALUE"""),"↗️")</f>
        <v>↗️</v>
      </c>
      <c r="I89" s="13">
        <f>IFERROR(__xludf.DUMMYFUNCTION("""COMPUTED_VALUE"""),32782.0)</f>
        <v>32782</v>
      </c>
      <c r="J89" s="32">
        <f>IFERROR(__xludf.DUMMYFUNCTION("""COMPUTED_VALUE"""),39647.0)</f>
        <v>39647</v>
      </c>
      <c r="K89" s="8">
        <f>IFERROR(__xludf.DUMMYFUNCTION("""COMPUTED_VALUE"""),22.0)</f>
        <v>22</v>
      </c>
      <c r="L89" s="15" t="str">
        <f>IFERROR(__xludf.DUMMYFUNCTION("""COMPUTED_VALUE"""),"YES")</f>
        <v>YES</v>
      </c>
      <c r="M89" s="15" t="str">
        <f>IFERROR(__xludf.DUMMYFUNCTION("""COMPUTED_VALUE"""),"NYCT")</f>
        <v>NYCT</v>
      </c>
      <c r="N89" s="15" t="str">
        <f>IFERROR(__xludf.DUMMYFUNCTION("""COMPUTED_VALUE"""),"OK")</f>
        <v>OK</v>
      </c>
      <c r="O89" s="15" t="str">
        <f>IFERROR(__xludf.DUMMYFUNCTION("""COMPUTED_VALUE"""),"YES")</f>
        <v>YES</v>
      </c>
      <c r="P89" s="15" t="str">
        <f>IFERROR(__xludf.DUMMYFUNCTION("""COMPUTED_VALUE"""),"NO")</f>
        <v>NO</v>
      </c>
      <c r="Q89" s="15" t="str">
        <f>IFERROR(__xludf.DUMMYFUNCTION("""COMPUTED_VALUE"""),"NO")</f>
        <v>NO</v>
      </c>
      <c r="R89" s="15" t="str">
        <f>IFERROR(__xludf.DUMMYFUNCTION("""COMPUTED_VALUE"""),"14'")</f>
        <v>14'</v>
      </c>
      <c r="S89" s="15">
        <f>IFERROR(__xludf.DUMMYFUNCTION("""COMPUTED_VALUE"""),56.0)</f>
        <v>56</v>
      </c>
      <c r="T89" s="15">
        <f>IFERROR(__xludf.DUMMYFUNCTION("""COMPUTED_VALUE"""),40.0)</f>
        <v>40</v>
      </c>
      <c r="U89" s="15" t="str">
        <f>IFERROR(__xludf.DUMMYFUNCTION("""COMPUTED_VALUE"""),"Jamaica 179 St-bound platform to lower mezzanine")</f>
        <v>Jamaica 179 St-bound platform to lower mezzanine</v>
      </c>
      <c r="V89" s="15" t="str">
        <f>IFERROR(__xludf.DUMMYFUNCTION("""COMPUTED_VALUE"""),"POINT (-73.95275 40.75882)")</f>
        <v>POINT (-73.95275 40.75882)</v>
      </c>
    </row>
    <row r="90" ht="22.5" customHeight="1">
      <c r="A90" s="7" t="str">
        <f>IFERROR(__xludf.DUMMYFUNCTION("""COMPUTED_VALUE"""),"96 St")</f>
        <v>96 St</v>
      </c>
      <c r="B90" s="23" t="str">
        <f>IFERROR(__xludf.DUMMYFUNCTION("""COMPUTED_VALUE"""),"Broadway-7 Av Line")</f>
        <v>Broadway-7 Av Line</v>
      </c>
      <c r="C90" s="8" t="str">
        <f>IFERROR(__xludf.DUMMYFUNCTION("""COMPUTED_VALUE"""),"Manhattan")</f>
        <v>Manhattan</v>
      </c>
      <c r="D90" s="8" t="str">
        <f>IFERROR(__xludf.DUMMYFUNCTION("""COMPUTED_VALUE"""),"Upper West Side")</f>
        <v>Upper West Side</v>
      </c>
      <c r="E90" s="33">
        <f>IFERROR(__xludf.DUMMYFUNCTION("""COMPUTED_VALUE"""),1762.0)</f>
        <v>1762</v>
      </c>
      <c r="F90" s="10">
        <f>IFERROR(__xludf.DUMMYFUNCTION("""COMPUTED_VALUE"""),8250940.0)</f>
        <v>8250940</v>
      </c>
      <c r="G90" s="19">
        <f>IFERROR(__xludf.DUMMYFUNCTION("""COMPUTED_VALUE"""),26.0)</f>
        <v>26</v>
      </c>
      <c r="H90" s="10" t="str">
        <f>IFERROR(__xludf.DUMMYFUNCTION("""COMPUTED_VALUE"""),"↗️")</f>
        <v>↗️</v>
      </c>
      <c r="I90" s="13">
        <f>IFERROR(__xludf.DUMMYFUNCTION("""COMPUTED_VALUE"""),42736.0)</f>
        <v>42736</v>
      </c>
      <c r="J90" s="32">
        <f>IFERROR(__xludf.DUMMYFUNCTION("""COMPUTED_VALUE"""),42736.0)</f>
        <v>42736</v>
      </c>
      <c r="K90" s="8">
        <f>IFERROR(__xludf.DUMMYFUNCTION("""COMPUTED_VALUE"""),22.0)</f>
        <v>22</v>
      </c>
      <c r="L90" s="15" t="str">
        <f>IFERROR(__xludf.DUMMYFUNCTION("""COMPUTED_VALUE"""),"YES")</f>
        <v>YES</v>
      </c>
      <c r="M90" s="15" t="str">
        <f>IFERROR(__xludf.DUMMYFUNCTION("""COMPUTED_VALUE"""),"NYCT")</f>
        <v>NYCT</v>
      </c>
      <c r="N90" s="15" t="str">
        <f>IFERROR(__xludf.DUMMYFUNCTION("""COMPUTED_VALUE"""),"KONE")</f>
        <v>KONE</v>
      </c>
      <c r="O90" s="15" t="str">
        <f>IFERROR(__xludf.DUMMYFUNCTION("""COMPUTED_VALUE"""),"YES")</f>
        <v>YES</v>
      </c>
      <c r="P90" s="15" t="str">
        <f>IFERROR(__xludf.DUMMYFUNCTION("""COMPUTED_VALUE"""),"YES")</f>
        <v>YES</v>
      </c>
      <c r="Q90" s="15" t="str">
        <f>IFERROR(__xludf.DUMMYFUNCTION("""COMPUTED_VALUE"""),"YES")</f>
        <v>YES</v>
      </c>
      <c r="R90" s="15" t="str">
        <f>IFERROR(__xludf.DUMMYFUNCTION("""COMPUTED_VALUE"""),"9687mm (31' 9 3/8in)")</f>
        <v>9687mm (31' 9 3/8in)</v>
      </c>
      <c r="S90" s="15">
        <f>IFERROR(__xludf.DUMMYFUNCTION("""COMPUTED_VALUE"""),122.0)</f>
        <v>122</v>
      </c>
      <c r="T90" s="15" t="str">
        <f>IFERROR(__xludf.DUMMYFUNCTION("""COMPUTED_VALUE"""),"1000 mm (39 3/8in)")</f>
        <v>1000 mm (39 3/8in)</v>
      </c>
      <c r="U90" s="15" t="str">
        <f>IFERROR(__xludf.DUMMYFUNCTION("""COMPUTED_VALUE"""),"mezzanine to 94 St &amp; 2nd Ave (SW corner)")</f>
        <v>mezzanine to 94 St &amp; 2nd Ave (SW corner)</v>
      </c>
      <c r="V90" s="15" t="str">
        <f>IFERROR(__xludf.DUMMYFUNCTION("""COMPUTED_VALUE"""),"POINT (-73.94715 40.78431)")</f>
        <v>POINT (-73.94715 40.78431)</v>
      </c>
    </row>
    <row r="91" ht="22.5" customHeight="1">
      <c r="A91" s="7" t="str">
        <f>IFERROR(__xludf.DUMMYFUNCTION("""COMPUTED_VALUE"""),"Roosevelt Island")</f>
        <v>Roosevelt Island</v>
      </c>
      <c r="B91" s="23" t="str">
        <f>IFERROR(__xludf.DUMMYFUNCTION("""COMPUTED_VALUE"""),"63rd St Line")</f>
        <v>63rd St Line</v>
      </c>
      <c r="C91" s="8" t="str">
        <f>IFERROR(__xludf.DUMMYFUNCTION("""COMPUTED_VALUE"""),"Manhattan")</f>
        <v>Manhattan</v>
      </c>
      <c r="D91" s="8" t="str">
        <f>IFERROR(__xludf.DUMMYFUNCTION("""COMPUTED_VALUE"""),"Roosevelt Island")</f>
        <v>Roosevelt Island</v>
      </c>
      <c r="E91" s="33">
        <f>IFERROR(__xludf.DUMMYFUNCTION("""COMPUTED_VALUE"""),32810.0)</f>
        <v>32810</v>
      </c>
      <c r="F91" s="10">
        <f>IFERROR(__xludf.DUMMYFUNCTION("""COMPUTED_VALUE"""),1885823.0)</f>
        <v>1885823</v>
      </c>
      <c r="G91" s="19">
        <f>IFERROR(__xludf.DUMMYFUNCTION("""COMPUTED_VALUE"""),171.0)</f>
        <v>171</v>
      </c>
      <c r="H91" s="10" t="str">
        <f>IFERROR(__xludf.DUMMYFUNCTION("""COMPUTED_VALUE"""),"↗️")</f>
        <v>↗️</v>
      </c>
      <c r="I91" s="13">
        <f>IFERROR(__xludf.DUMMYFUNCTION("""COMPUTED_VALUE"""),32782.0)</f>
        <v>32782</v>
      </c>
      <c r="J91" s="32">
        <f>IFERROR(__xludf.DUMMYFUNCTION("""COMPUTED_VALUE"""),39405.0)</f>
        <v>39405</v>
      </c>
      <c r="K91" s="8">
        <f>IFERROR(__xludf.DUMMYFUNCTION("""COMPUTED_VALUE"""),22.0)</f>
        <v>22</v>
      </c>
      <c r="L91" s="15" t="str">
        <f>IFERROR(__xludf.DUMMYFUNCTION("""COMPUTED_VALUE"""),"YES")</f>
        <v>YES</v>
      </c>
      <c r="M91" s="15" t="str">
        <f>IFERROR(__xludf.DUMMYFUNCTION("""COMPUTED_VALUE"""),"NYCT")</f>
        <v>NYCT</v>
      </c>
      <c r="N91" s="15" t="str">
        <f>IFERROR(__xludf.DUMMYFUNCTION("""COMPUTED_VALUE"""),"KONE")</f>
        <v>KONE</v>
      </c>
      <c r="O91" s="15" t="str">
        <f>IFERROR(__xludf.DUMMYFUNCTION("""COMPUTED_VALUE"""),"YES")</f>
        <v>YES</v>
      </c>
      <c r="P91" s="15" t="str">
        <f>IFERROR(__xludf.DUMMYFUNCTION("""COMPUTED_VALUE"""),"YES")</f>
        <v>YES</v>
      </c>
      <c r="Q91" s="15" t="str">
        <f>IFERROR(__xludf.DUMMYFUNCTION("""COMPUTED_VALUE"""),"NO")</f>
        <v>NO</v>
      </c>
      <c r="R91" s="15" t="str">
        <f>IFERROR(__xludf.DUMMYFUNCTION("""COMPUTED_VALUE"""),"38'")</f>
        <v>38'</v>
      </c>
      <c r="S91" s="15">
        <f>IFERROR(__xludf.DUMMYFUNCTION("""COMPUTED_VALUE"""),136.0)</f>
        <v>136</v>
      </c>
      <c r="T91" s="15">
        <f>IFERROR(__xludf.DUMMYFUNCTION("""COMPUTED_VALUE"""),40.0)</f>
        <v>40</v>
      </c>
      <c r="U91" s="15" t="str">
        <f>IFERROR(__xludf.DUMMYFUNCTION("""COMPUTED_VALUE"""),"W Rd entrance to intermediate mezzanine")</f>
        <v>W Rd entrance to intermediate mezzanine</v>
      </c>
      <c r="V91" s="15" t="str">
        <f>IFERROR(__xludf.DUMMYFUNCTION("""COMPUTED_VALUE"""),"POINT (-73.95321 40.75905)")</f>
        <v>POINT (-73.95321 40.75905)</v>
      </c>
    </row>
    <row r="92" ht="22.5" customHeight="1">
      <c r="A92" s="7" t="str">
        <f>IFERROR(__xludf.DUMMYFUNCTION("""COMPUTED_VALUE"""),"96 St")</f>
        <v>96 St</v>
      </c>
      <c r="B92" s="8" t="str">
        <f>IFERROR(__xludf.DUMMYFUNCTION("""COMPUTED_VALUE"""),"Broadway-7 Av Line")</f>
        <v>Broadway-7 Av Line</v>
      </c>
      <c r="C92" s="8" t="str">
        <f>IFERROR(__xludf.DUMMYFUNCTION("""COMPUTED_VALUE"""),"Manhattan")</f>
        <v>Manhattan</v>
      </c>
      <c r="D92" s="8" t="str">
        <f>IFERROR(__xludf.DUMMYFUNCTION("""COMPUTED_VALUE"""),"Upper West Side")</f>
        <v>Upper West Side</v>
      </c>
      <c r="E92" s="33">
        <f>IFERROR(__xludf.DUMMYFUNCTION("""COMPUTED_VALUE"""),1762.0)</f>
        <v>1762</v>
      </c>
      <c r="F92" s="10">
        <f>IFERROR(__xludf.DUMMYFUNCTION("""COMPUTED_VALUE"""),8250940.0)</f>
        <v>8250940</v>
      </c>
      <c r="G92" s="17">
        <f>IFERROR(__xludf.DUMMYFUNCTION("""COMPUTED_VALUE"""),26.0)</f>
        <v>26</v>
      </c>
      <c r="H92" s="31" t="str">
        <f>IFERROR(__xludf.DUMMYFUNCTION("""COMPUTED_VALUE"""),"↗️")</f>
        <v>↗️</v>
      </c>
      <c r="I92" s="13">
        <f>IFERROR(__xludf.DUMMYFUNCTION("""COMPUTED_VALUE"""),42736.0)</f>
        <v>42736</v>
      </c>
      <c r="J92" s="32">
        <f>IFERROR(__xludf.DUMMYFUNCTION("""COMPUTED_VALUE"""),42736.0)</f>
        <v>42736</v>
      </c>
      <c r="K92" s="8">
        <f>IFERROR(__xludf.DUMMYFUNCTION("""COMPUTED_VALUE"""),22.0)</f>
        <v>22</v>
      </c>
      <c r="L92" s="15" t="str">
        <f>IFERROR(__xludf.DUMMYFUNCTION("""COMPUTED_VALUE"""),"YES")</f>
        <v>YES</v>
      </c>
      <c r="M92" s="15" t="str">
        <f>IFERROR(__xludf.DUMMYFUNCTION("""COMPUTED_VALUE"""),"NYCT")</f>
        <v>NYCT</v>
      </c>
      <c r="N92" s="15" t="str">
        <f>IFERROR(__xludf.DUMMYFUNCTION("""COMPUTED_VALUE"""),"KONE")</f>
        <v>KONE</v>
      </c>
      <c r="O92" s="15" t="str">
        <f>IFERROR(__xludf.DUMMYFUNCTION("""COMPUTED_VALUE"""),"YES")</f>
        <v>YES</v>
      </c>
      <c r="P92" s="15" t="str">
        <f>IFERROR(__xludf.DUMMYFUNCTION("""COMPUTED_VALUE"""),"YES")</f>
        <v>YES</v>
      </c>
      <c r="Q92" s="15" t="str">
        <f>IFERROR(__xludf.DUMMYFUNCTION("""COMPUTED_VALUE"""),"YES")</f>
        <v>YES</v>
      </c>
      <c r="R92" s="15" t="str">
        <f>IFERROR(__xludf.DUMMYFUNCTION("""COMPUTED_VALUE"""),"8,519mm (27' 11 3/8in)")</f>
        <v>8,519mm (27' 11 3/8in)</v>
      </c>
      <c r="S92" s="15">
        <f>IFERROR(__xludf.DUMMYFUNCTION("""COMPUTED_VALUE"""),111.0)</f>
        <v>111</v>
      </c>
      <c r="T92" s="15" t="str">
        <f>IFERROR(__xludf.DUMMYFUNCTION("""COMPUTED_VALUE"""),"1000 mm (39 3/8in)")</f>
        <v>1000 mm (39 3/8in)</v>
      </c>
      <c r="U92" s="15" t="str">
        <f>IFERROR(__xludf.DUMMYFUNCTION("""COMPUTED_VALUE"""),"94 St &amp; 2nd Ave (NE corner) to mezzanine")</f>
        <v>94 St &amp; 2nd Ave (NE corner) to mezzanine</v>
      </c>
      <c r="V92" s="15" t="str">
        <f>IFERROR(__xludf.DUMMYFUNCTION("""COMPUTED_VALUE"""),"POINT (-73.94781 40.782993)")</f>
        <v>POINT (-73.94781 40.782993)</v>
      </c>
    </row>
    <row r="93" ht="22.5" customHeight="1">
      <c r="A93" s="7" t="str">
        <f>IFERROR(__xludf.DUMMYFUNCTION("""COMPUTED_VALUE"""),"Lexington Av/63 St")</f>
        <v>Lexington Av/63 St</v>
      </c>
      <c r="B93" s="8" t="str">
        <f>IFERROR(__xludf.DUMMYFUNCTION("""COMPUTED_VALUE"""),"")</f>
        <v/>
      </c>
      <c r="C93" s="8" t="str">
        <f>IFERROR(__xludf.DUMMYFUNCTION("""COMPUTED_VALUE"""),"")</f>
        <v/>
      </c>
      <c r="D93" s="8" t="str">
        <f>IFERROR(__xludf.DUMMYFUNCTION("""COMPUTED_VALUE"""),"")</f>
        <v/>
      </c>
      <c r="E93" s="33" t="str">
        <f>IFERROR(__xludf.DUMMYFUNCTION("""COMPUTED_VALUE"""),"")</f>
        <v/>
      </c>
      <c r="F93" s="10" t="str">
        <f>IFERROR(__xludf.DUMMYFUNCTION("""COMPUTED_VALUE"""),"")</f>
        <v/>
      </c>
      <c r="G93" s="17" t="str">
        <f>IFERROR(__xludf.DUMMYFUNCTION("""COMPUTED_VALUE"""),"")</f>
        <v/>
      </c>
      <c r="H93" s="10" t="str">
        <f>IFERROR(__xludf.DUMMYFUNCTION("""COMPUTED_VALUE"""),"↗️")</f>
        <v>↗️</v>
      </c>
      <c r="I93" s="13">
        <f>IFERROR(__xludf.DUMMYFUNCTION("""COMPUTED_VALUE"""),42734.0)</f>
        <v>42734</v>
      </c>
      <c r="J93" s="32">
        <f>IFERROR(__xludf.DUMMYFUNCTION("""COMPUTED_VALUE"""),42734.0)</f>
        <v>42734</v>
      </c>
      <c r="K93" s="8">
        <f>IFERROR(__xludf.DUMMYFUNCTION("""COMPUTED_VALUE"""),22.0)</f>
        <v>22</v>
      </c>
      <c r="L93" s="15" t="str">
        <f>IFERROR(__xludf.DUMMYFUNCTION("""COMPUTED_VALUE"""),"YES")</f>
        <v>YES</v>
      </c>
      <c r="M93" s="15" t="str">
        <f>IFERROR(__xludf.DUMMYFUNCTION("""COMPUTED_VALUE"""),"NYCT")</f>
        <v>NYCT</v>
      </c>
      <c r="N93" s="15" t="str">
        <f>IFERROR(__xludf.DUMMYFUNCTION("""COMPUTED_VALUE"""),"KONE")</f>
        <v>KONE</v>
      </c>
      <c r="O93" s="15" t="str">
        <f>IFERROR(__xludf.DUMMYFUNCTION("""COMPUTED_VALUE"""),"YES")</f>
        <v>YES</v>
      </c>
      <c r="P93" s="15" t="str">
        <f>IFERROR(__xludf.DUMMYFUNCTION("""COMPUTED_VALUE"""),"YES")</f>
        <v>YES</v>
      </c>
      <c r="Q93" s="15" t="str">
        <f>IFERROR(__xludf.DUMMYFUNCTION("""COMPUTED_VALUE"""),"YES")</f>
        <v>YES</v>
      </c>
      <c r="R93" s="15" t="str">
        <f>IFERROR(__xludf.DUMMYFUNCTION("""COMPUTED_VALUE"""),"9611mm (31' 6 3/8in)")</f>
        <v>9611mm (31' 6 3/8in)</v>
      </c>
      <c r="S93" s="15">
        <f>IFERROR(__xludf.DUMMYFUNCTION("""COMPUTED_VALUE"""),122.0)</f>
        <v>122</v>
      </c>
      <c r="T93" s="15" t="str">
        <f>IFERROR(__xludf.DUMMYFUNCTION("""COMPUTED_VALUE"""),"Step Width 996 mm (39 3/8in)")</f>
        <v>Step Width 996 mm (39 3/8in)</v>
      </c>
      <c r="U93" s="15" t="str">
        <f>IFERROR(__xludf.DUMMYFUNCTION("""COMPUTED_VALUE"""),"mezzanine to 3rd Ave &amp; 63 St (SE corner)")</f>
        <v>mezzanine to 3rd Ave &amp; 63 St (SE corner)</v>
      </c>
      <c r="V93" s="15" t="str">
        <f>IFERROR(__xludf.DUMMYFUNCTION("""COMPUTED_VALUE"""),"POINT (-73.964615 40.763866)")</f>
        <v>POINT (-73.964615 40.763866)</v>
      </c>
    </row>
    <row r="94" ht="22.5" customHeight="1">
      <c r="A94" s="7" t="str">
        <f>IFERROR(__xludf.DUMMYFUNCTION("""COMPUTED_VALUE"""),"72 St")</f>
        <v>72 St</v>
      </c>
      <c r="B94" s="23" t="str">
        <f>IFERROR(__xludf.DUMMYFUNCTION("""COMPUTED_VALUE"""),"Broadway-7 Av Line")</f>
        <v>Broadway-7 Av Line</v>
      </c>
      <c r="C94" s="8" t="str">
        <f>IFERROR(__xludf.DUMMYFUNCTION("""COMPUTED_VALUE"""),"Manhattan")</f>
        <v>Manhattan</v>
      </c>
      <c r="D94" s="8" t="str">
        <f>IFERROR(__xludf.DUMMYFUNCTION("""COMPUTED_VALUE"""),"Upper West Side")</f>
        <v>Upper West Side</v>
      </c>
      <c r="E94" s="33">
        <f>IFERROR(__xludf.DUMMYFUNCTION("""COMPUTED_VALUE"""),1762.0)</f>
        <v>1762</v>
      </c>
      <c r="F94" s="10">
        <f>IFERROR(__xludf.DUMMYFUNCTION("""COMPUTED_VALUE"""),9752193.0)</f>
        <v>9752193</v>
      </c>
      <c r="G94" s="19">
        <f>IFERROR(__xludf.DUMMYFUNCTION("""COMPUTED_VALUE"""),22.0)</f>
        <v>22</v>
      </c>
      <c r="H94" s="10" t="str">
        <f>IFERROR(__xludf.DUMMYFUNCTION("""COMPUTED_VALUE"""),"↗️")</f>
        <v>↗️</v>
      </c>
      <c r="I94" s="13">
        <f>IFERROR(__xludf.DUMMYFUNCTION("""COMPUTED_VALUE"""),42736.0)</f>
        <v>42736</v>
      </c>
      <c r="J94" s="32">
        <f>IFERROR(__xludf.DUMMYFUNCTION("""COMPUTED_VALUE"""),42736.0)</f>
        <v>42736</v>
      </c>
      <c r="K94" s="8">
        <f>IFERROR(__xludf.DUMMYFUNCTION("""COMPUTED_VALUE"""),22.0)</f>
        <v>22</v>
      </c>
      <c r="L94" s="15" t="str">
        <f>IFERROR(__xludf.DUMMYFUNCTION("""COMPUTED_VALUE"""),"YES")</f>
        <v>YES</v>
      </c>
      <c r="M94" s="15" t="str">
        <f>IFERROR(__xludf.DUMMYFUNCTION("""COMPUTED_VALUE"""),"NYCT")</f>
        <v>NYCT</v>
      </c>
      <c r="N94" s="15" t="str">
        <f>IFERROR(__xludf.DUMMYFUNCTION("""COMPUTED_VALUE"""),"SCHINDLER")</f>
        <v>SCHINDLER</v>
      </c>
      <c r="O94" s="15" t="str">
        <f>IFERROR(__xludf.DUMMYFUNCTION("""COMPUTED_VALUE"""),"YES")</f>
        <v>YES</v>
      </c>
      <c r="P94" s="15" t="str">
        <f>IFERROR(__xludf.DUMMYFUNCTION("""COMPUTED_VALUE"""),"NO")</f>
        <v>NO</v>
      </c>
      <c r="Q94" s="15" t="str">
        <f>IFERROR(__xludf.DUMMYFUNCTION("""COMPUTED_VALUE"""),"NO")</f>
        <v>NO</v>
      </c>
      <c r="R94" s="15" t="str">
        <f>IFERROR(__xludf.DUMMYFUNCTION("""COMPUTED_VALUE"""),"20828 mm (68'4in)")</f>
        <v>20828 mm (68'4in)</v>
      </c>
      <c r="S94" s="15">
        <f>IFERROR(__xludf.DUMMYFUNCTION("""COMPUTED_VALUE"""),0.0)</f>
        <v>0</v>
      </c>
      <c r="T94" s="15"/>
      <c r="U94" s="15" t="str">
        <f>IFERROR(__xludf.DUMMYFUNCTION("""COMPUTED_VALUE"""),"lower mezzanine to upper mezzanine for 69 St &amp; 2nd Ave exit")</f>
        <v>lower mezzanine to upper mezzanine for 69 St &amp; 2nd Ave exit</v>
      </c>
      <c r="V94" s="15" t="str">
        <f>IFERROR(__xludf.DUMMYFUNCTION("""COMPUTED_VALUE"""),"POINT (-73.95919 40.767212)")</f>
        <v>POINT (-73.95919 40.767212)</v>
      </c>
    </row>
    <row r="95" ht="22.5" customHeight="1">
      <c r="A95" s="7" t="str">
        <f>IFERROR(__xludf.DUMMYFUNCTION("""COMPUTED_VALUE"""),"West 8 St-NY Aquarium")</f>
        <v>West 8 St-NY Aquarium</v>
      </c>
      <c r="B95" s="8" t="str">
        <f>IFERROR(__xludf.DUMMYFUNCTION("""COMPUTED_VALUE"""),"")</f>
        <v/>
      </c>
      <c r="C95" s="8" t="str">
        <f>IFERROR(__xludf.DUMMYFUNCTION("""COMPUTED_VALUE"""),"")</f>
        <v/>
      </c>
      <c r="D95" s="8" t="str">
        <f>IFERROR(__xludf.DUMMYFUNCTION("""COMPUTED_VALUE"""),"")</f>
        <v/>
      </c>
      <c r="E95" s="33" t="str">
        <f>IFERROR(__xludf.DUMMYFUNCTION("""COMPUTED_VALUE"""),"")</f>
        <v/>
      </c>
      <c r="F95" s="8" t="str">
        <f>IFERROR(__xludf.DUMMYFUNCTION("""COMPUTED_VALUE"""),"")</f>
        <v/>
      </c>
      <c r="G95" s="19" t="str">
        <f>IFERROR(__xludf.DUMMYFUNCTION("""COMPUTED_VALUE"""),"")</f>
        <v/>
      </c>
      <c r="H95" s="10" t="str">
        <f>IFERROR(__xludf.DUMMYFUNCTION("""COMPUTED_VALUE"""),"↗️")</f>
        <v>↗️</v>
      </c>
      <c r="I95" s="13">
        <f>IFERROR(__xludf.DUMMYFUNCTION("""COMPUTED_VALUE"""),26481.0)</f>
        <v>26481</v>
      </c>
      <c r="J95" s="32">
        <f>IFERROR(__xludf.DUMMYFUNCTION("""COMPUTED_VALUE"""),37900.0)</f>
        <v>37900</v>
      </c>
      <c r="K95" s="8">
        <f>IFERROR(__xludf.DUMMYFUNCTION("""COMPUTED_VALUE"""),22.0)</f>
        <v>22</v>
      </c>
      <c r="L95" s="15" t="str">
        <f>IFERROR(__xludf.DUMMYFUNCTION("""COMPUTED_VALUE"""),"YES")</f>
        <v>YES</v>
      </c>
      <c r="M95" s="15" t="str">
        <f>IFERROR(__xludf.DUMMYFUNCTION("""COMPUTED_VALUE"""),"NYCT")</f>
        <v>NYCT</v>
      </c>
      <c r="N95" s="15" t="str">
        <f>IFERROR(__xludf.DUMMYFUNCTION("""COMPUTED_VALUE"""),"FUJITEC")</f>
        <v>FUJITEC</v>
      </c>
      <c r="O95" s="15" t="str">
        <f>IFERROR(__xludf.DUMMYFUNCTION("""COMPUTED_VALUE"""),"YES")</f>
        <v>YES</v>
      </c>
      <c r="P95" s="15" t="str">
        <f>IFERROR(__xludf.DUMMYFUNCTION("""COMPUTED_VALUE"""),"NO")</f>
        <v>NO</v>
      </c>
      <c r="Q95" s="15" t="str">
        <f>IFERROR(__xludf.DUMMYFUNCTION("""COMPUTED_VALUE"""),"YES")</f>
        <v>YES</v>
      </c>
      <c r="R95" s="15" t="str">
        <f>IFERROR(__xludf.DUMMYFUNCTION("""COMPUTED_VALUE"""),"37'")</f>
        <v>37'</v>
      </c>
      <c r="S95" s="15">
        <f>IFERROR(__xludf.DUMMYFUNCTION("""COMPUTED_VALUE"""),128.0)</f>
        <v>128</v>
      </c>
      <c r="T95" s="15">
        <f>IFERROR(__xludf.DUMMYFUNCTION("""COMPUTED_VALUE"""),40.0)</f>
        <v>40</v>
      </c>
      <c r="U95" s="15" t="str">
        <f>IFERROR(__xludf.DUMMYFUNCTION("""COMPUTED_VALUE"""),"mezzanine (W 5 St &amp; Brighton Ave) to Manhattan-bound Q platform")</f>
        <v>mezzanine (W 5 St &amp; Brighton Ave) to Manhattan-bound Q platform</v>
      </c>
      <c r="V95" s="15" t="str">
        <f>IFERROR(__xludf.DUMMYFUNCTION("""COMPUTED_VALUE"""),"POINT (-73.97512 40.5763)")</f>
        <v>POINT (-73.97512 40.5763)</v>
      </c>
    </row>
    <row r="96" ht="22.5" customHeight="1">
      <c r="A96" s="7" t="str">
        <f>IFERROR(__xludf.DUMMYFUNCTION("""COMPUTED_VALUE"""),"DeKalb Av")</f>
        <v>DeKalb Av</v>
      </c>
      <c r="B96" s="8" t="str">
        <f>IFERROR(__xludf.DUMMYFUNCTION("""COMPUTED_VALUE"""),"Canarsie Line")</f>
        <v>Canarsie Line</v>
      </c>
      <c r="C96" s="8" t="str">
        <f>IFERROR(__xludf.DUMMYFUNCTION("""COMPUTED_VALUE"""),"Brooklyn")</f>
        <v>Brooklyn</v>
      </c>
      <c r="D96" s="8" t="str">
        <f>IFERROR(__xludf.DUMMYFUNCTION("""COMPUTED_VALUE"""),"Bushwick")</f>
        <v>Bushwick</v>
      </c>
      <c r="E96" s="33">
        <f>IFERROR(__xludf.DUMMYFUNCTION("""COMPUTED_VALUE"""),10423.0)</f>
        <v>10423</v>
      </c>
      <c r="F96" s="10">
        <f>IFERROR(__xludf.DUMMYFUNCTION("""COMPUTED_VALUE"""),2931695.0)</f>
        <v>2931695</v>
      </c>
      <c r="G96" s="19">
        <f>IFERROR(__xludf.DUMMYFUNCTION("""COMPUTED_VALUE"""),113.0)</f>
        <v>113</v>
      </c>
      <c r="H96" s="10" t="str">
        <f>IFERROR(__xludf.DUMMYFUNCTION("""COMPUTED_VALUE"""),"↗️")</f>
        <v>↗️</v>
      </c>
      <c r="I96" s="13">
        <f>IFERROR(__xludf.DUMMYFUNCTION("""COMPUTED_VALUE"""),22373.0)</f>
        <v>22373</v>
      </c>
      <c r="J96" s="32">
        <f>IFERROR(__xludf.DUMMYFUNCTION("""COMPUTED_VALUE"""),45198.0)</f>
        <v>45198</v>
      </c>
      <c r="K96" s="8">
        <f>IFERROR(__xludf.DUMMYFUNCTION("""COMPUTED_VALUE"""),22.0)</f>
        <v>22</v>
      </c>
      <c r="L96" s="15" t="str">
        <f>IFERROR(__xludf.DUMMYFUNCTION("""COMPUTED_VALUE"""),"YES")</f>
        <v>YES</v>
      </c>
      <c r="M96" s="15" t="str">
        <f>IFERROR(__xludf.DUMMYFUNCTION("""COMPUTED_VALUE"""),"NYCT")</f>
        <v>NYCT</v>
      </c>
      <c r="N96" s="15" t="str">
        <f>IFERROR(__xludf.DUMMYFUNCTION("""COMPUTED_VALUE"""),"KONE")</f>
        <v>KONE</v>
      </c>
      <c r="O96" s="15" t="str">
        <f>IFERROR(__xludf.DUMMYFUNCTION("""COMPUTED_VALUE"""),"YES")</f>
        <v>YES</v>
      </c>
      <c r="P96" s="15" t="str">
        <f>IFERROR(__xludf.DUMMYFUNCTION("""COMPUTED_VALUE"""),"NO")</f>
        <v>NO</v>
      </c>
      <c r="Q96" s="15" t="str">
        <f>IFERROR(__xludf.DUMMYFUNCTION("""COMPUTED_VALUE"""),"NO")</f>
        <v>NO</v>
      </c>
      <c r="R96" s="15" t="str">
        <f>IFERROR(__xludf.DUMMYFUNCTION("""COMPUTED_VALUE"""),"6306mm (20' 8-1/4in)")</f>
        <v>6306mm (20' 8-1/4in)</v>
      </c>
      <c r="S96" s="15">
        <f>IFERROR(__xludf.DUMMYFUNCTION("""COMPUTED_VALUE"""),82.0)</f>
        <v>82</v>
      </c>
      <c r="T96" s="15" t="str">
        <f>IFERROR(__xludf.DUMMYFUNCTION("""COMPUTED_VALUE"""),"1000mm (40in NOMINAL)")</f>
        <v>1000mm (40in NOMINAL)</v>
      </c>
      <c r="U96" s="15" t="str">
        <f>IFERROR(__xludf.DUMMYFUNCTION("""COMPUTED_VALUE"""),"Brooklyn-bound platform to mezzanine for Flatbush Ave &amp; Lafayette St exit")</f>
        <v>Brooklyn-bound platform to mezzanine for Flatbush Ave &amp; Lafayette St exit</v>
      </c>
      <c r="V96" s="15" t="str">
        <f>IFERROR(__xludf.DUMMYFUNCTION("""COMPUTED_VALUE"""),"POINT (-73.9823 40.691307)")</f>
        <v>POINT (-73.9823 40.691307)</v>
      </c>
    </row>
    <row r="97" ht="22.5" customHeight="1">
      <c r="A97" s="7" t="str">
        <f>IFERROR(__xludf.DUMMYFUNCTION("""COMPUTED_VALUE"""),"72 St")</f>
        <v>72 St</v>
      </c>
      <c r="B97" s="8" t="str">
        <f>IFERROR(__xludf.DUMMYFUNCTION("""COMPUTED_VALUE"""),"Broadway-7 Av Line")</f>
        <v>Broadway-7 Av Line</v>
      </c>
      <c r="C97" s="8" t="str">
        <f>IFERROR(__xludf.DUMMYFUNCTION("""COMPUTED_VALUE"""),"Manhattan")</f>
        <v>Manhattan</v>
      </c>
      <c r="D97" s="8" t="str">
        <f>IFERROR(__xludf.DUMMYFUNCTION("""COMPUTED_VALUE"""),"Upper West Side")</f>
        <v>Upper West Side</v>
      </c>
      <c r="E97" s="33">
        <f>IFERROR(__xludf.DUMMYFUNCTION("""COMPUTED_VALUE"""),1762.0)</f>
        <v>1762</v>
      </c>
      <c r="F97" s="8">
        <f>IFERROR(__xludf.DUMMYFUNCTION("""COMPUTED_VALUE"""),9752193.0)</f>
        <v>9752193</v>
      </c>
      <c r="G97" s="19">
        <f>IFERROR(__xludf.DUMMYFUNCTION("""COMPUTED_VALUE"""),22.0)</f>
        <v>22</v>
      </c>
      <c r="H97" s="10" t="str">
        <f>IFERROR(__xludf.DUMMYFUNCTION("""COMPUTED_VALUE"""),"↗️")</f>
        <v>↗️</v>
      </c>
      <c r="I97" s="13">
        <f>IFERROR(__xludf.DUMMYFUNCTION("""COMPUTED_VALUE"""),42736.0)</f>
        <v>42736</v>
      </c>
      <c r="J97" s="32">
        <f>IFERROR(__xludf.DUMMYFUNCTION("""COMPUTED_VALUE"""),42736.0)</f>
        <v>42736</v>
      </c>
      <c r="K97" s="8">
        <f>IFERROR(__xludf.DUMMYFUNCTION("""COMPUTED_VALUE"""),22.0)</f>
        <v>22</v>
      </c>
      <c r="L97" s="15" t="str">
        <f>IFERROR(__xludf.DUMMYFUNCTION("""COMPUTED_VALUE"""),"YES")</f>
        <v>YES</v>
      </c>
      <c r="M97" s="15" t="str">
        <f>IFERROR(__xludf.DUMMYFUNCTION("""COMPUTED_VALUE"""),"NYCT")</f>
        <v>NYCT</v>
      </c>
      <c r="N97" s="15" t="str">
        <f>IFERROR(__xludf.DUMMYFUNCTION("""COMPUTED_VALUE"""),"SCHINDLER")</f>
        <v>SCHINDLER</v>
      </c>
      <c r="O97" s="15" t="str">
        <f>IFERROR(__xludf.DUMMYFUNCTION("""COMPUTED_VALUE"""),"YES")</f>
        <v>YES</v>
      </c>
      <c r="P97" s="15" t="str">
        <f>IFERROR(__xludf.DUMMYFUNCTION("""COMPUTED_VALUE"""),"YES")</f>
        <v>YES</v>
      </c>
      <c r="Q97" s="15" t="str">
        <f>IFERROR(__xludf.DUMMYFUNCTION("""COMPUTED_VALUE"""),"YES")</f>
        <v>YES</v>
      </c>
      <c r="R97" s="15" t="str">
        <f>IFERROR(__xludf.DUMMYFUNCTION("""COMPUTED_VALUE"""),"21577 mm (70' 9 1/2in)")</f>
        <v>21577 mm (70' 9 1/2in)</v>
      </c>
      <c r="S97" s="15">
        <f>IFERROR(__xludf.DUMMYFUNCTION("""COMPUTED_VALUE"""),0.0)</f>
        <v>0</v>
      </c>
      <c r="T97" s="15"/>
      <c r="U97" s="15" t="str">
        <f>IFERROR(__xludf.DUMMYFUNCTION("""COMPUTED_VALUE"""),"lower mezzanine to 72 St &amp; 2nd Ave (NW corner)")</f>
        <v>lower mezzanine to 72 St &amp; 2nd Ave (NW corner)</v>
      </c>
      <c r="V97" s="15" t="str">
        <f>IFERROR(__xludf.DUMMYFUNCTION("""COMPUTED_VALUE"""),"POINT (-73.95848 40.769054)")</f>
        <v>POINT (-73.95848 40.769054)</v>
      </c>
    </row>
    <row r="98" ht="22.5" customHeight="1">
      <c r="A98" s="7" t="str">
        <f>IFERROR(__xludf.DUMMYFUNCTION("""COMPUTED_VALUE"""),"Fulton St")</f>
        <v>Fulton St</v>
      </c>
      <c r="B98" s="8" t="str">
        <f>IFERROR(__xludf.DUMMYFUNCTION("""COMPUTED_VALUE"""),"Broadway-7 Av Line")</f>
        <v>Broadway-7 Av Line</v>
      </c>
      <c r="C98" s="8" t="str">
        <f>IFERROR(__xludf.DUMMYFUNCTION("""COMPUTED_VALUE"""),"Manhattan")</f>
        <v>Manhattan</v>
      </c>
      <c r="D98" s="8" t="str">
        <f>IFERROR(__xludf.DUMMYFUNCTION("""COMPUTED_VALUE"""),"Financial District")</f>
        <v>Financial District</v>
      </c>
      <c r="E98" s="33">
        <f>IFERROR(__xludf.DUMMYFUNCTION("""COMPUTED_VALUE"""),6757.0)</f>
        <v>6757</v>
      </c>
      <c r="F98" s="10">
        <f>IFERROR(__xludf.DUMMYFUNCTION("""COMPUTED_VALUE"""),1.9221396E7)</f>
        <v>19221396</v>
      </c>
      <c r="G98" s="19">
        <f>IFERROR(__xludf.DUMMYFUNCTION("""COMPUTED_VALUE"""),5.0)</f>
        <v>5</v>
      </c>
      <c r="H98" s="10" t="str">
        <f>IFERROR(__xludf.DUMMYFUNCTION("""COMPUTED_VALUE"""),"↗️")</f>
        <v>↗️</v>
      </c>
      <c r="I98" s="13"/>
      <c r="J98" s="32">
        <f>IFERROR(__xludf.DUMMYFUNCTION("""COMPUTED_VALUE"""),41953.0)</f>
        <v>41953</v>
      </c>
      <c r="K98" s="8">
        <f>IFERROR(__xludf.DUMMYFUNCTION("""COMPUTED_VALUE"""),22.0)</f>
        <v>22</v>
      </c>
      <c r="L98" s="15" t="str">
        <f>IFERROR(__xludf.DUMMYFUNCTION("""COMPUTED_VALUE"""),"NO")</f>
        <v>NO</v>
      </c>
      <c r="M98" s="15" t="str">
        <f>IFERROR(__xludf.DUMMYFUNCTION("""COMPUTED_VALUE"""),"Private Contractor")</f>
        <v>Private Contractor</v>
      </c>
      <c r="N98" s="15" t="str">
        <f>IFERROR(__xludf.DUMMYFUNCTION("""COMPUTED_VALUE"""),"SCHINDLER")</f>
        <v>SCHINDLER</v>
      </c>
      <c r="O98" s="15" t="str">
        <f>IFERROR(__xludf.DUMMYFUNCTION("""COMPUTED_VALUE"""),"YES")</f>
        <v>YES</v>
      </c>
      <c r="P98" s="15" t="str">
        <f>IFERROR(__xludf.DUMMYFUNCTION("""COMPUTED_VALUE"""),"NO")</f>
        <v>NO</v>
      </c>
      <c r="Q98" s="15" t="str">
        <f>IFERROR(__xludf.DUMMYFUNCTION("""COMPUTED_VALUE"""),"NO")</f>
        <v>NO</v>
      </c>
      <c r="R98" s="15"/>
      <c r="S98" s="15"/>
      <c r="T98" s="15"/>
      <c r="U98" s="15" t="str">
        <f>IFERROR(__xludf.DUMMYFUNCTION("""COMPUTED_VALUE"""),"Transit Center entrance (John St east of Broadway) to lower concourse for A/C/J/Z/2/3 &amp; downtown 4/5 service and connection to WTC complex")</f>
        <v>Transit Center entrance (John St east of Broadway) to lower concourse for A/C/J/Z/2/3 &amp; downtown 4/5 service and connection to WTC complex</v>
      </c>
      <c r="V98" s="15" t="str">
        <f>IFERROR(__xludf.DUMMYFUNCTION("""COMPUTED_VALUE"""),"POINT (-74.00935 40.71033)")</f>
        <v>POINT (-74.00935 40.71033)</v>
      </c>
    </row>
    <row r="99" ht="22.5" customHeight="1">
      <c r="A99" s="7" t="str">
        <f>IFERROR(__xludf.DUMMYFUNCTION("""COMPUTED_VALUE"""),"34 St-Herald Sq")</f>
        <v>34 St-Herald Sq</v>
      </c>
      <c r="B99" s="8" t="str">
        <f>IFERROR(__xludf.DUMMYFUNCTION("""COMPUTED_VALUE"""),"Broadway Line")</f>
        <v>Broadway Line</v>
      </c>
      <c r="C99" s="8" t="str">
        <f>IFERROR(__xludf.DUMMYFUNCTION("""COMPUTED_VALUE"""),"Manhattan")</f>
        <v>Manhattan</v>
      </c>
      <c r="D99" s="8" t="str">
        <f>IFERROR(__xludf.DUMMYFUNCTION("""COMPUTED_VALUE"""),"Midtown")</f>
        <v>Midtown</v>
      </c>
      <c r="E99" s="33">
        <f>IFERROR(__xludf.DUMMYFUNCTION("""COMPUTED_VALUE"""),6580.0)</f>
        <v>6580</v>
      </c>
      <c r="F99" s="8">
        <f>IFERROR(__xludf.DUMMYFUNCTION("""COMPUTED_VALUE"""),2.5012549E7)</f>
        <v>25012549</v>
      </c>
      <c r="G99" s="17">
        <f>IFERROR(__xludf.DUMMYFUNCTION("""COMPUTED_VALUE"""),3.0)</f>
        <v>3</v>
      </c>
      <c r="H99" s="8" t="str">
        <f>IFERROR(__xludf.DUMMYFUNCTION("""COMPUTED_VALUE"""),"↗️")</f>
        <v>↗️</v>
      </c>
      <c r="I99" s="13">
        <f>IFERROR(__xludf.DUMMYFUNCTION("""COMPUTED_VALUE"""),14960.0)</f>
        <v>14960</v>
      </c>
      <c r="J99" s="32">
        <f>IFERROR(__xludf.DUMMYFUNCTION("""COMPUTED_VALUE"""),39460.0)</f>
        <v>39460</v>
      </c>
      <c r="K99" s="8">
        <f>IFERROR(__xludf.DUMMYFUNCTION("""COMPUTED_VALUE"""),22.0)</f>
        <v>22</v>
      </c>
      <c r="L99" s="15" t="str">
        <f>IFERROR(__xludf.DUMMYFUNCTION("""COMPUTED_VALUE"""),"YES")</f>
        <v>YES</v>
      </c>
      <c r="M99" s="15" t="str">
        <f>IFERROR(__xludf.DUMMYFUNCTION("""COMPUTED_VALUE"""),"NYCT")</f>
        <v>NYCT</v>
      </c>
      <c r="N99" s="15" t="str">
        <f>IFERROR(__xludf.DUMMYFUNCTION("""COMPUTED_VALUE"""),"FUJITEC")</f>
        <v>FUJITEC</v>
      </c>
      <c r="O99" s="15" t="str">
        <f>IFERROR(__xludf.DUMMYFUNCTION("""COMPUTED_VALUE"""),"YES")</f>
        <v>YES</v>
      </c>
      <c r="P99" s="15" t="str">
        <f>IFERROR(__xludf.DUMMYFUNCTION("""COMPUTED_VALUE"""),"NO")</f>
        <v>NO</v>
      </c>
      <c r="Q99" s="15" t="str">
        <f>IFERROR(__xludf.DUMMYFUNCTION("""COMPUTED_VALUE"""),"NO")</f>
        <v>NO</v>
      </c>
      <c r="R99" s="15" t="str">
        <f>IFERROR(__xludf.DUMMYFUNCTION("""COMPUTED_VALUE"""),"28'")</f>
        <v>28'</v>
      </c>
      <c r="S99" s="15">
        <f>IFERROR(__xludf.DUMMYFUNCTION("""COMPUTED_VALUE"""),109.0)</f>
        <v>109</v>
      </c>
      <c r="T99" s="15">
        <f>IFERROR(__xludf.DUMMYFUNCTION("""COMPUTED_VALUE"""),600.0)</f>
        <v>600</v>
      </c>
      <c r="U99" s="15" t="str">
        <f>IFERROR(__xludf.DUMMYFUNCTION("""COMPUTED_VALUE"""),"N/Q/R/W mezzanine to downtown B/D/F/M platform")</f>
        <v>N/Q/R/W mezzanine to downtown B/D/F/M platform</v>
      </c>
      <c r="V99" s="15" t="str">
        <f>IFERROR(__xludf.DUMMYFUNCTION("""COMPUTED_VALUE"""),"POINT (-73.987526 40.750324)")</f>
        <v>POINT (-73.987526 40.750324)</v>
      </c>
    </row>
    <row r="100" ht="22.5" customHeight="1">
      <c r="A100" s="7" t="str">
        <f>IFERROR(__xludf.DUMMYFUNCTION("""COMPUTED_VALUE"""),"Intervale Av")</f>
        <v>Intervale Av</v>
      </c>
      <c r="B100" s="8" t="str">
        <f>IFERROR(__xludf.DUMMYFUNCTION("""COMPUTED_VALUE"""),"White Plains Rd Line")</f>
        <v>White Plains Rd Line</v>
      </c>
      <c r="C100" s="8" t="str">
        <f>IFERROR(__xludf.DUMMYFUNCTION("""COMPUTED_VALUE"""),"The Bronx")</f>
        <v>The Bronx</v>
      </c>
      <c r="D100" s="8" t="str">
        <f>IFERROR(__xludf.DUMMYFUNCTION("""COMPUTED_VALUE"""),"Longwood")</f>
        <v>Longwood</v>
      </c>
      <c r="E100" s="33">
        <f>IFERROR(__xludf.DUMMYFUNCTION("""COMPUTED_VALUE"""),3773.0)</f>
        <v>3773</v>
      </c>
      <c r="F100" s="8">
        <f>IFERROR(__xludf.DUMMYFUNCTION("""COMPUTED_VALUE"""),535565.0)</f>
        <v>535565</v>
      </c>
      <c r="G100" s="17">
        <f>IFERROR(__xludf.DUMMYFUNCTION("""COMPUTED_VALUE"""),377.0)</f>
        <v>377</v>
      </c>
      <c r="H100" s="10" t="str">
        <f>IFERROR(__xludf.DUMMYFUNCTION("""COMPUTED_VALUE"""),"↗️")</f>
        <v>↗️</v>
      </c>
      <c r="I100" s="13">
        <f>IFERROR(__xludf.DUMMYFUNCTION("""COMPUTED_VALUE"""),3773.0)</f>
        <v>3773</v>
      </c>
      <c r="J100" s="32">
        <f>IFERROR(__xludf.DUMMYFUNCTION("""COMPUTED_VALUE"""),45721.0)</f>
        <v>45721</v>
      </c>
      <c r="K100" s="8">
        <f>IFERROR(__xludf.DUMMYFUNCTION("""COMPUTED_VALUE"""),22.0)</f>
        <v>22</v>
      </c>
      <c r="L100" s="15" t="str">
        <f>IFERROR(__xludf.DUMMYFUNCTION("""COMPUTED_VALUE"""),"YES")</f>
        <v>YES</v>
      </c>
      <c r="M100" s="15" t="str">
        <f>IFERROR(__xludf.DUMMYFUNCTION("""COMPUTED_VALUE"""),"NYCT")</f>
        <v>NYCT</v>
      </c>
      <c r="N100" s="15" t="str">
        <f>IFERROR(__xludf.DUMMYFUNCTION("""COMPUTED_VALUE"""),"KONE")</f>
        <v>KONE</v>
      </c>
      <c r="O100" s="15" t="str">
        <f>IFERROR(__xludf.DUMMYFUNCTION("""COMPUTED_VALUE"""),"YES")</f>
        <v>YES</v>
      </c>
      <c r="P100" s="15" t="str">
        <f>IFERROR(__xludf.DUMMYFUNCTION("""COMPUTED_VALUE"""),"YES")</f>
        <v>YES</v>
      </c>
      <c r="Q100" s="15" t="str">
        <f>IFERROR(__xludf.DUMMYFUNCTION("""COMPUTED_VALUE"""),"NO")</f>
        <v>NO</v>
      </c>
      <c r="R100" s="15" t="str">
        <f>IFERROR(__xludf.DUMMYFUNCTION("""COMPUTED_VALUE"""),"30'- 5/5in")</f>
        <v>30'- 5/5in</v>
      </c>
      <c r="S100" s="15">
        <f>IFERROR(__xludf.DUMMYFUNCTION("""COMPUTED_VALUE"""),111.0)</f>
        <v>111</v>
      </c>
      <c r="T100" s="15">
        <f>IFERROR(__xludf.DUMMYFUNCTION("""COMPUTED_VALUE"""),24.0)</f>
        <v>24</v>
      </c>
      <c r="U100" s="15" t="str">
        <f>IFERROR(__xludf.DUMMYFUNCTION("""COMPUTED_VALUE"""),"Westchester Ave &amp; Intervale Ave (NE corner) to mezzanine")</f>
        <v>Westchester Ave &amp; Intervale Ave (NE corner) to mezzanine</v>
      </c>
      <c r="V100" s="15" t="str">
        <f>IFERROR(__xludf.DUMMYFUNCTION("""COMPUTED_VALUE"""),"POINT (-73.8966 40.822376)")</f>
        <v>POINT (-73.8966 40.822376)</v>
      </c>
    </row>
    <row r="101" ht="22.5" customHeight="1">
      <c r="A101" s="7" t="str">
        <f>IFERROR(__xludf.DUMMYFUNCTION("""COMPUTED_VALUE"""),"South Ferry")</f>
        <v>South Ferry</v>
      </c>
      <c r="B101" s="8" t="str">
        <f>IFERROR(__xludf.DUMMYFUNCTION("""COMPUTED_VALUE"""),"")</f>
        <v/>
      </c>
      <c r="C101" s="8" t="str">
        <f>IFERROR(__xludf.DUMMYFUNCTION("""COMPUTED_VALUE"""),"")</f>
        <v/>
      </c>
      <c r="D101" s="8" t="str">
        <f>IFERROR(__xludf.DUMMYFUNCTION("""COMPUTED_VALUE"""),"")</f>
        <v/>
      </c>
      <c r="E101" s="33" t="str">
        <f>IFERROR(__xludf.DUMMYFUNCTION("""COMPUTED_VALUE"""),"")</f>
        <v/>
      </c>
      <c r="F101" s="8" t="str">
        <f>IFERROR(__xludf.DUMMYFUNCTION("""COMPUTED_VALUE"""),"")</f>
        <v/>
      </c>
      <c r="G101" s="17" t="str">
        <f>IFERROR(__xludf.DUMMYFUNCTION("""COMPUTED_VALUE"""),"")</f>
        <v/>
      </c>
      <c r="H101" s="10" t="str">
        <f>IFERROR(__xludf.DUMMYFUNCTION("""COMPUTED_VALUE"""),"↗️")</f>
        <v>↗️</v>
      </c>
      <c r="I101" s="13">
        <f>IFERROR(__xludf.DUMMYFUNCTION("""COMPUTED_VALUE"""),39888.0)</f>
        <v>39888</v>
      </c>
      <c r="J101" s="32">
        <f>IFERROR(__xludf.DUMMYFUNCTION("""COMPUTED_VALUE"""),42913.0)</f>
        <v>42913</v>
      </c>
      <c r="K101" s="8">
        <f>IFERROR(__xludf.DUMMYFUNCTION("""COMPUTED_VALUE"""),22.0)</f>
        <v>22</v>
      </c>
      <c r="L101" s="15" t="str">
        <f>IFERROR(__xludf.DUMMYFUNCTION("""COMPUTED_VALUE"""),"YES")</f>
        <v>YES</v>
      </c>
      <c r="M101" s="15" t="str">
        <f>IFERROR(__xludf.DUMMYFUNCTION("""COMPUTED_VALUE"""),"NYCT")</f>
        <v>NYCT</v>
      </c>
      <c r="N101" s="15" t="str">
        <f>IFERROR(__xludf.DUMMYFUNCTION("""COMPUTED_VALUE"""),"SCHINDLER")</f>
        <v>SCHINDLER</v>
      </c>
      <c r="O101" s="15" t="str">
        <f>IFERROR(__xludf.DUMMYFUNCTION("""COMPUTED_VALUE"""),"YES")</f>
        <v>YES</v>
      </c>
      <c r="P101" s="15" t="str">
        <f>IFERROR(__xludf.DUMMYFUNCTION("""COMPUTED_VALUE"""),"YES")</f>
        <v>YES</v>
      </c>
      <c r="Q101" s="15" t="str">
        <f>IFERROR(__xludf.DUMMYFUNCTION("""COMPUTED_VALUE"""),"YES")</f>
        <v>YES</v>
      </c>
      <c r="R101" s="15" t="str">
        <f>IFERROR(__xludf.DUMMYFUNCTION("""COMPUTED_VALUE"""),"20'")</f>
        <v>20'</v>
      </c>
      <c r="S101" s="15">
        <f>IFERROR(__xludf.DUMMYFUNCTION("""COMPUTED_VALUE"""),80.0)</f>
        <v>80</v>
      </c>
      <c r="T101" s="15" t="str">
        <f>IFERROR(__xludf.DUMMYFUNCTION("""COMPUTED_VALUE"""),"LH: 106'-5in ; RH: 106'-3in")</f>
        <v>LH: 106'-5in ; RH: 106'-3in</v>
      </c>
      <c r="U101" s="15" t="str">
        <f>IFERROR(__xludf.DUMMYFUNCTION("""COMPUTED_VALUE"""),"Peter Minuit Plaza to mezzanine for 1 and R/W service")</f>
        <v>Peter Minuit Plaza to mezzanine for 1 and R/W service</v>
      </c>
      <c r="V101" s="15" t="str">
        <f>IFERROR(__xludf.DUMMYFUNCTION("""COMPUTED_VALUE"""),"POINT (-74.01291 40.70174)")</f>
        <v>POINT (-74.01291 40.70174)</v>
      </c>
    </row>
    <row r="102" ht="22.5" customHeight="1">
      <c r="A102" s="7" t="str">
        <f>IFERROR(__xludf.DUMMYFUNCTION("""COMPUTED_VALUE"""),"Flushing-Main St")</f>
        <v>Flushing-Main St</v>
      </c>
      <c r="B102" s="8" t="str">
        <f>IFERROR(__xludf.DUMMYFUNCTION("""COMPUTED_VALUE"""),"Flushing Line")</f>
        <v>Flushing Line</v>
      </c>
      <c r="C102" s="8" t="str">
        <f>IFERROR(__xludf.DUMMYFUNCTION("""COMPUTED_VALUE"""),"Queens")</f>
        <v>Queens</v>
      </c>
      <c r="D102" s="8" t="str">
        <f>IFERROR(__xludf.DUMMYFUNCTION("""COMPUTED_VALUE"""),"Flushing")</f>
        <v>Flushing</v>
      </c>
      <c r="E102" s="33">
        <f>IFERROR(__xludf.DUMMYFUNCTION("""COMPUTED_VALUE"""),10248.0)</f>
        <v>10248</v>
      </c>
      <c r="F102" s="8">
        <f>IFERROR(__xludf.DUMMYFUNCTION("""COMPUTED_VALUE"""),1.4592853E7)</f>
        <v>14592853</v>
      </c>
      <c r="G102" s="17">
        <f>IFERROR(__xludf.DUMMYFUNCTION("""COMPUTED_VALUE"""),10.0)</f>
        <v>10</v>
      </c>
      <c r="H102" s="8" t="str">
        <f>IFERROR(__xludf.DUMMYFUNCTION("""COMPUTED_VALUE"""),"↗️")</f>
        <v>↗️</v>
      </c>
      <c r="I102" s="13">
        <f>IFERROR(__xludf.DUMMYFUNCTION("""COMPUTED_VALUE"""),36235.0)</f>
        <v>36235</v>
      </c>
      <c r="J102" s="32">
        <f>IFERROR(__xludf.DUMMYFUNCTION("""COMPUTED_VALUE"""),44421.0)</f>
        <v>44421</v>
      </c>
      <c r="K102" s="8">
        <f>IFERROR(__xludf.DUMMYFUNCTION("""COMPUTED_VALUE"""),22.0)</f>
        <v>22</v>
      </c>
      <c r="L102" s="15" t="str">
        <f>IFERROR(__xludf.DUMMYFUNCTION("""COMPUTED_VALUE"""),"YES")</f>
        <v>YES</v>
      </c>
      <c r="M102" s="15" t="str">
        <f>IFERROR(__xludf.DUMMYFUNCTION("""COMPUTED_VALUE"""),"NYCT")</f>
        <v>NYCT</v>
      </c>
      <c r="N102" s="15" t="str">
        <f>IFERROR(__xludf.DUMMYFUNCTION("""COMPUTED_VALUE"""),"KONE")</f>
        <v>KONE</v>
      </c>
      <c r="O102" s="15" t="str">
        <f>IFERROR(__xludf.DUMMYFUNCTION("""COMPUTED_VALUE"""),"YES")</f>
        <v>YES</v>
      </c>
      <c r="P102" s="15" t="str">
        <f>IFERROR(__xludf.DUMMYFUNCTION("""COMPUTED_VALUE"""),"YES")</f>
        <v>YES</v>
      </c>
      <c r="Q102" s="15" t="str">
        <f>IFERROR(__xludf.DUMMYFUNCTION("""COMPUTED_VALUE"""),"YES")</f>
        <v>YES</v>
      </c>
      <c r="R102" s="15" t="str">
        <f>IFERROR(__xludf.DUMMYFUNCTION("""COMPUTED_VALUE"""),"43'")</f>
        <v>43'</v>
      </c>
      <c r="S102" s="15">
        <f>IFERROR(__xludf.DUMMYFUNCTION("""COMPUTED_VALUE"""),157.0)</f>
        <v>157</v>
      </c>
      <c r="T102" s="15" t="str">
        <f>IFERROR(__xludf.DUMMYFUNCTION("""COMPUTED_VALUE"""),"40in")</f>
        <v>40in</v>
      </c>
      <c r="U102" s="15" t="str">
        <f>IFERROR(__xludf.DUMMYFUNCTION("""COMPUTED_VALUE"""),"Roosevelt Ave (E of Main St) to platform for Manhattan-bound service")</f>
        <v>Roosevelt Ave (E of Main St) to platform for Manhattan-bound service</v>
      </c>
      <c r="V102" s="15" t="str">
        <f>IFERROR(__xludf.DUMMYFUNCTION("""COMPUTED_VALUE"""),"POINT (-73.828735 40.759983)")</f>
        <v>POINT (-73.828735 40.759983)</v>
      </c>
    </row>
    <row r="103" ht="22.5" customHeight="1">
      <c r="A103" s="7" t="str">
        <f>IFERROR(__xludf.DUMMYFUNCTION("""COMPUTED_VALUE"""),"Bowling Green")</f>
        <v>Bowling Green</v>
      </c>
      <c r="B103" s="23" t="str">
        <f>IFERROR(__xludf.DUMMYFUNCTION("""COMPUTED_VALUE"""),"Lexington Av Line")</f>
        <v>Lexington Av Line</v>
      </c>
      <c r="C103" s="8" t="str">
        <f>IFERROR(__xludf.DUMMYFUNCTION("""COMPUTED_VALUE"""),"Manhattan")</f>
        <v>Manhattan</v>
      </c>
      <c r="D103" s="8" t="str">
        <f>IFERROR(__xludf.DUMMYFUNCTION("""COMPUTED_VALUE"""),"Financial District")</f>
        <v>Financial District</v>
      </c>
      <c r="E103" s="33">
        <f>IFERROR(__xludf.DUMMYFUNCTION("""COMPUTED_VALUE"""),2018.0)</f>
        <v>2018</v>
      </c>
      <c r="F103" s="8">
        <f>IFERROR(__xludf.DUMMYFUNCTION("""COMPUTED_VALUE"""),4676646.0)</f>
        <v>4676646</v>
      </c>
      <c r="G103" s="19">
        <f>IFERROR(__xludf.DUMMYFUNCTION("""COMPUTED_VALUE"""),62.0)</f>
        <v>62</v>
      </c>
      <c r="H103" s="10" t="str">
        <f>IFERROR(__xludf.DUMMYFUNCTION("""COMPUTED_VALUE"""),"↗️")</f>
        <v>↗️</v>
      </c>
      <c r="I103" s="13">
        <f>IFERROR(__xludf.DUMMYFUNCTION("""COMPUTED_VALUE"""),28216.0)</f>
        <v>28216</v>
      </c>
      <c r="J103" s="32">
        <f>IFERROR(__xludf.DUMMYFUNCTION("""COMPUTED_VALUE"""),38035.0)</f>
        <v>38035</v>
      </c>
      <c r="K103" s="8">
        <f>IFERROR(__xludf.DUMMYFUNCTION("""COMPUTED_VALUE"""),22.0)</f>
        <v>22</v>
      </c>
      <c r="L103" s="15" t="str">
        <f>IFERROR(__xludf.DUMMYFUNCTION("""COMPUTED_VALUE"""),"YES")</f>
        <v>YES</v>
      </c>
      <c r="M103" s="15" t="str">
        <f>IFERROR(__xludf.DUMMYFUNCTION("""COMPUTED_VALUE"""),"NYCT")</f>
        <v>NYCT</v>
      </c>
      <c r="N103" s="15" t="str">
        <f>IFERROR(__xludf.DUMMYFUNCTION("""COMPUTED_VALUE"""),"FUJITEC")</f>
        <v>FUJITEC</v>
      </c>
      <c r="O103" s="15" t="str">
        <f>IFERROR(__xludf.DUMMYFUNCTION("""COMPUTED_VALUE"""),"YES")</f>
        <v>YES</v>
      </c>
      <c r="P103" s="15" t="str">
        <f>IFERROR(__xludf.DUMMYFUNCTION("""COMPUTED_VALUE"""),"NO")</f>
        <v>NO</v>
      </c>
      <c r="Q103" s="15" t="str">
        <f>IFERROR(__xludf.DUMMYFUNCTION("""COMPUTED_VALUE"""),"NO")</f>
        <v>NO</v>
      </c>
      <c r="R103" s="15" t="str">
        <f>IFERROR(__xludf.DUMMYFUNCTION("""COMPUTED_VALUE"""),"23'")</f>
        <v>23'</v>
      </c>
      <c r="S103" s="15">
        <f>IFERROR(__xludf.DUMMYFUNCTION("""COMPUTED_VALUE"""),89.0)</f>
        <v>89</v>
      </c>
      <c r="T103" s="15">
        <f>IFERROR(__xludf.DUMMYFUNCTION("""COMPUTED_VALUE"""),40.0)</f>
        <v>40</v>
      </c>
      <c r="U103" s="15" t="str">
        <f>IFERROR(__xludf.DUMMYFUNCTION("""COMPUTED_VALUE"""),"lower mezzanine to uptown 4/5 platform")</f>
        <v>lower mezzanine to uptown 4/5 platform</v>
      </c>
      <c r="V103" s="15" t="str">
        <f>IFERROR(__xludf.DUMMYFUNCTION("""COMPUTED_VALUE"""),"POINT (-74.014114 40.70449)")</f>
        <v>POINT (-74.014114 40.70449)</v>
      </c>
    </row>
    <row r="104" ht="22.5" customHeight="1">
      <c r="A104" s="7" t="str">
        <f>IFERROR(__xludf.DUMMYFUNCTION("""COMPUTED_VALUE"""),"Jamaica Center-Parsons/Archer")</f>
        <v>Jamaica Center-Parsons/Archer</v>
      </c>
      <c r="B104" s="8" t="str">
        <f>IFERROR(__xludf.DUMMYFUNCTION("""COMPUTED_VALUE"""),"Archer Av Line")</f>
        <v>Archer Av Line</v>
      </c>
      <c r="C104" s="8" t="str">
        <f>IFERROR(__xludf.DUMMYFUNCTION("""COMPUTED_VALUE"""),"Queens")</f>
        <v>Queens</v>
      </c>
      <c r="D104" s="8" t="str">
        <f>IFERROR(__xludf.DUMMYFUNCTION("""COMPUTED_VALUE"""),"Jamaica")</f>
        <v>Jamaica</v>
      </c>
      <c r="E104" s="33">
        <f>IFERROR(__xludf.DUMMYFUNCTION("""COMPUTED_VALUE"""),32488.0)</f>
        <v>32488</v>
      </c>
      <c r="F104" s="8">
        <f>IFERROR(__xludf.DUMMYFUNCTION("""COMPUTED_VALUE"""),6137267.0)</f>
        <v>6137267</v>
      </c>
      <c r="G104" s="19">
        <f>IFERROR(__xludf.DUMMYFUNCTION("""COMPUTED_VALUE"""),38.0)</f>
        <v>38</v>
      </c>
      <c r="H104" s="10" t="str">
        <f>IFERROR(__xludf.DUMMYFUNCTION("""COMPUTED_VALUE"""),"↗️")</f>
        <v>↗️</v>
      </c>
      <c r="I104" s="13">
        <f>IFERROR(__xludf.DUMMYFUNCTION("""COMPUTED_VALUE"""),32478.0)</f>
        <v>32478</v>
      </c>
      <c r="J104" s="32">
        <f>IFERROR(__xludf.DUMMYFUNCTION("""COMPUTED_VALUE"""),39420.0)</f>
        <v>39420</v>
      </c>
      <c r="K104" s="8">
        <f>IFERROR(__xludf.DUMMYFUNCTION("""COMPUTED_VALUE"""),22.0)</f>
        <v>22</v>
      </c>
      <c r="L104" s="15" t="str">
        <f>IFERROR(__xludf.DUMMYFUNCTION("""COMPUTED_VALUE"""),"YES")</f>
        <v>YES</v>
      </c>
      <c r="M104" s="15" t="str">
        <f>IFERROR(__xludf.DUMMYFUNCTION("""COMPUTED_VALUE"""),"NYCT")</f>
        <v>NYCT</v>
      </c>
      <c r="N104" s="15" t="str">
        <f>IFERROR(__xludf.DUMMYFUNCTION("""COMPUTED_VALUE"""),"KONE")</f>
        <v>KONE</v>
      </c>
      <c r="O104" s="15" t="str">
        <f>IFERROR(__xludf.DUMMYFUNCTION("""COMPUTED_VALUE"""),"YES")</f>
        <v>YES</v>
      </c>
      <c r="P104" s="15" t="str">
        <f>IFERROR(__xludf.DUMMYFUNCTION("""COMPUTED_VALUE"""),"NO")</f>
        <v>NO</v>
      </c>
      <c r="Q104" s="15" t="str">
        <f>IFERROR(__xludf.DUMMYFUNCTION("""COMPUTED_VALUE"""),"NO")</f>
        <v>NO</v>
      </c>
      <c r="R104" s="15" t="str">
        <f>IFERROR(__xludf.DUMMYFUNCTION("""COMPUTED_VALUE"""),"28'")</f>
        <v>28'</v>
      </c>
      <c r="S104" s="15">
        <f>IFERROR(__xludf.DUMMYFUNCTION("""COMPUTED_VALUE"""),106.0)</f>
        <v>106</v>
      </c>
      <c r="T104" s="15" t="str">
        <f>IFERROR(__xludf.DUMMYFUNCTION("""COMPUTED_VALUE"""),"32in")</f>
        <v>32in</v>
      </c>
      <c r="U104" s="15" t="str">
        <f>IFERROR(__xludf.DUMMYFUNCTION("""COMPUTED_VALUE"""),"J/Z platform to mezzanine for 153 St &amp; Archer Ave exit")</f>
        <v>J/Z platform to mezzanine for 153 St &amp; Archer Ave exit</v>
      </c>
      <c r="V104" s="15" t="str">
        <f>IFERROR(__xludf.DUMMYFUNCTION("""COMPUTED_VALUE"""),"POINT (-73.801926 40.701996)")</f>
        <v>POINT (-73.801926 40.701996)</v>
      </c>
    </row>
    <row r="105" ht="22.5" customHeight="1">
      <c r="A105" s="7" t="str">
        <f>IFERROR(__xludf.DUMMYFUNCTION("""COMPUTED_VALUE"""),"34 St-Herald Sq")</f>
        <v>34 St-Herald Sq</v>
      </c>
      <c r="B105" s="23" t="str">
        <f>IFERROR(__xludf.DUMMYFUNCTION("""COMPUTED_VALUE"""),"Broadway Line")</f>
        <v>Broadway Line</v>
      </c>
      <c r="C105" s="8" t="str">
        <f>IFERROR(__xludf.DUMMYFUNCTION("""COMPUTED_VALUE"""),"Manhattan")</f>
        <v>Manhattan</v>
      </c>
      <c r="D105" s="8" t="str">
        <f>IFERROR(__xludf.DUMMYFUNCTION("""COMPUTED_VALUE"""),"Midtown")</f>
        <v>Midtown</v>
      </c>
      <c r="E105" s="33">
        <f>IFERROR(__xludf.DUMMYFUNCTION("""COMPUTED_VALUE"""),6580.0)</f>
        <v>6580</v>
      </c>
      <c r="F105" s="8">
        <f>IFERROR(__xludf.DUMMYFUNCTION("""COMPUTED_VALUE"""),2.5012549E7)</f>
        <v>25012549</v>
      </c>
      <c r="G105" s="19">
        <f>IFERROR(__xludf.DUMMYFUNCTION("""COMPUTED_VALUE"""),3.0)</f>
        <v>3</v>
      </c>
      <c r="H105" s="10" t="str">
        <f>IFERROR(__xludf.DUMMYFUNCTION("""COMPUTED_VALUE"""),"↗️")</f>
        <v>↗️</v>
      </c>
      <c r="I105" s="13">
        <f>IFERROR(__xludf.DUMMYFUNCTION("""COMPUTED_VALUE"""),14940.0)</f>
        <v>14940</v>
      </c>
      <c r="J105" s="32">
        <f>IFERROR(__xludf.DUMMYFUNCTION("""COMPUTED_VALUE"""),39046.0)</f>
        <v>39046</v>
      </c>
      <c r="K105" s="8">
        <f>IFERROR(__xludf.DUMMYFUNCTION("""COMPUTED_VALUE"""),22.0)</f>
        <v>22</v>
      </c>
      <c r="L105" s="15" t="str">
        <f>IFERROR(__xludf.DUMMYFUNCTION("""COMPUTED_VALUE"""),"YES")</f>
        <v>YES</v>
      </c>
      <c r="M105" s="15" t="str">
        <f>IFERROR(__xludf.DUMMYFUNCTION("""COMPUTED_VALUE"""),"NYCT")</f>
        <v>NYCT</v>
      </c>
      <c r="N105" s="15" t="str">
        <f>IFERROR(__xludf.DUMMYFUNCTION("""COMPUTED_VALUE"""),"FUJITEC")</f>
        <v>FUJITEC</v>
      </c>
      <c r="O105" s="15" t="str">
        <f>IFERROR(__xludf.DUMMYFUNCTION("""COMPUTED_VALUE"""),"YES")</f>
        <v>YES</v>
      </c>
      <c r="P105" s="15" t="str">
        <f>IFERROR(__xludf.DUMMYFUNCTION("""COMPUTED_VALUE"""),"YES")</f>
        <v>YES</v>
      </c>
      <c r="Q105" s="15" t="str">
        <f>IFERROR(__xludf.DUMMYFUNCTION("""COMPUTED_VALUE"""),"NO")</f>
        <v>NO</v>
      </c>
      <c r="R105" s="15" t="str">
        <f>IFERROR(__xludf.DUMMYFUNCTION("""COMPUTED_VALUE"""),"13'")</f>
        <v>13'</v>
      </c>
      <c r="S105" s="15">
        <f>IFERROR(__xludf.DUMMYFUNCTION("""COMPUTED_VALUE"""),59.0)</f>
        <v>59</v>
      </c>
      <c r="T105" s="15">
        <f>IFERROR(__xludf.DUMMYFUNCTION("""COMPUTED_VALUE"""),24.0)</f>
        <v>24</v>
      </c>
      <c r="U105" s="15" t="str">
        <f>IFERROR(__xludf.DUMMYFUNCTION("""COMPUTED_VALUE"""),"32 St &amp; 6th Ave (NW corner) to intermediate mezzanine for access to PATH, B/D/F/M, N/Q/R/W service")</f>
        <v>32 St &amp; 6th Ave (NW corner) to intermediate mezzanine for access to PATH, B/D/F/M, N/Q/R/W service</v>
      </c>
      <c r="V105" s="15" t="str">
        <f>IFERROR(__xludf.DUMMYFUNCTION("""COMPUTED_VALUE"""),"POINT (-73.98863 40.748985)")</f>
        <v>POINT (-73.98863 40.748985)</v>
      </c>
    </row>
    <row r="106" ht="22.5" customHeight="1">
      <c r="A106" s="7" t="str">
        <f>IFERROR(__xludf.DUMMYFUNCTION("""COMPUTED_VALUE"""),"Jackson Hts-Roosevelt Av")</f>
        <v>Jackson Hts-Roosevelt Av</v>
      </c>
      <c r="B106" s="8" t="str">
        <f>IFERROR(__xludf.DUMMYFUNCTION("""COMPUTED_VALUE"""),"")</f>
        <v/>
      </c>
      <c r="C106" s="8" t="str">
        <f>IFERROR(__xludf.DUMMYFUNCTION("""COMPUTED_VALUE"""),"")</f>
        <v/>
      </c>
      <c r="D106" s="8" t="str">
        <f>IFERROR(__xludf.DUMMYFUNCTION("""COMPUTED_VALUE"""),"")</f>
        <v/>
      </c>
      <c r="E106" s="33" t="str">
        <f>IFERROR(__xludf.DUMMYFUNCTION("""COMPUTED_VALUE"""),"")</f>
        <v/>
      </c>
      <c r="F106" s="8" t="str">
        <f>IFERROR(__xludf.DUMMYFUNCTION("""COMPUTED_VALUE"""),"")</f>
        <v/>
      </c>
      <c r="G106" s="19" t="str">
        <f>IFERROR(__xludf.DUMMYFUNCTION("""COMPUTED_VALUE"""),"")</f>
        <v/>
      </c>
      <c r="H106" s="10" t="str">
        <f>IFERROR(__xludf.DUMMYFUNCTION("""COMPUTED_VALUE"""),"↗️")</f>
        <v>↗️</v>
      </c>
      <c r="I106" s="13">
        <f>IFERROR(__xludf.DUMMYFUNCTION("""COMPUTED_VALUE"""),33553.0)</f>
        <v>33553</v>
      </c>
      <c r="J106" s="32">
        <f>IFERROR(__xludf.DUMMYFUNCTION("""COMPUTED_VALUE"""),42139.0)</f>
        <v>42139</v>
      </c>
      <c r="K106" s="8">
        <f>IFERROR(__xludf.DUMMYFUNCTION("""COMPUTED_VALUE"""),22.0)</f>
        <v>22</v>
      </c>
      <c r="L106" s="15" t="str">
        <f>IFERROR(__xludf.DUMMYFUNCTION("""COMPUTED_VALUE"""),"YES")</f>
        <v>YES</v>
      </c>
      <c r="M106" s="15" t="str">
        <f>IFERROR(__xludf.DUMMYFUNCTION("""COMPUTED_VALUE"""),"NYCT")</f>
        <v>NYCT</v>
      </c>
      <c r="N106" s="15" t="str">
        <f>IFERROR(__xludf.DUMMYFUNCTION("""COMPUTED_VALUE"""),"KONE")</f>
        <v>KONE</v>
      </c>
      <c r="O106" s="15" t="str">
        <f>IFERROR(__xludf.DUMMYFUNCTION("""COMPUTED_VALUE"""),"YES")</f>
        <v>YES</v>
      </c>
      <c r="P106" s="15" t="str">
        <f>IFERROR(__xludf.DUMMYFUNCTION("""COMPUTED_VALUE"""),"NO")</f>
        <v>NO</v>
      </c>
      <c r="Q106" s="15" t="str">
        <f>IFERROR(__xludf.DUMMYFUNCTION("""COMPUTED_VALUE"""),"NO")</f>
        <v>NO</v>
      </c>
      <c r="R106" s="15" t="str">
        <f>IFERROR(__xludf.DUMMYFUNCTION("""COMPUTED_VALUE"""),"32' 4 3/4in")</f>
        <v>32' 4 3/4in</v>
      </c>
      <c r="S106" s="15">
        <f>IFERROR(__xludf.DUMMYFUNCTION("""COMPUTED_VALUE"""),117.0)</f>
        <v>117</v>
      </c>
      <c r="T106" s="15" t="str">
        <f>IFERROR(__xludf.DUMMYFUNCTION("""COMPUTED_VALUE"""),"800 mm (31.5in)")</f>
        <v>800 mm (31.5in)</v>
      </c>
      <c r="U106" s="15" t="str">
        <f>IFERROR(__xludf.DUMMYFUNCTION("""COMPUTED_VALUE"""),"7 upper mezzanine (74 St &amp; Roosevelt Ave) to lower mezzanine for E/F/M/R service")</f>
        <v>7 upper mezzanine (74 St &amp; Roosevelt Ave) to lower mezzanine for E/F/M/R service</v>
      </c>
      <c r="V106" s="15" t="str">
        <f>IFERROR(__xludf.DUMMYFUNCTION("""COMPUTED_VALUE"""),"POINT (-73.89118 40.74666)")</f>
        <v>POINT (-73.89118 40.74666)</v>
      </c>
    </row>
    <row r="107" ht="22.5" customHeight="1">
      <c r="A107" s="7" t="str">
        <f>IFERROR(__xludf.DUMMYFUNCTION("""COMPUTED_VALUE"""),"Roosevelt Island")</f>
        <v>Roosevelt Island</v>
      </c>
      <c r="B107" s="8" t="str">
        <f>IFERROR(__xludf.DUMMYFUNCTION("""COMPUTED_VALUE"""),"63rd St Line")</f>
        <v>63rd St Line</v>
      </c>
      <c r="C107" s="8" t="str">
        <f>IFERROR(__xludf.DUMMYFUNCTION("""COMPUTED_VALUE"""),"Manhattan")</f>
        <v>Manhattan</v>
      </c>
      <c r="D107" s="8" t="str">
        <f>IFERROR(__xludf.DUMMYFUNCTION("""COMPUTED_VALUE"""),"Roosevelt Island")</f>
        <v>Roosevelt Island</v>
      </c>
      <c r="E107" s="33">
        <f>IFERROR(__xludf.DUMMYFUNCTION("""COMPUTED_VALUE"""),32810.0)</f>
        <v>32810</v>
      </c>
      <c r="F107" s="8">
        <f>IFERROR(__xludf.DUMMYFUNCTION("""COMPUTED_VALUE"""),1885823.0)</f>
        <v>1885823</v>
      </c>
      <c r="G107" s="17">
        <f>IFERROR(__xludf.DUMMYFUNCTION("""COMPUTED_VALUE"""),171.0)</f>
        <v>171</v>
      </c>
      <c r="H107" s="8" t="str">
        <f>IFERROR(__xludf.DUMMYFUNCTION("""COMPUTED_VALUE"""),"↗️")</f>
        <v>↗️</v>
      </c>
      <c r="I107" s="13">
        <f>IFERROR(__xludf.DUMMYFUNCTION("""COMPUTED_VALUE"""),32782.0)</f>
        <v>32782</v>
      </c>
      <c r="J107" s="32">
        <f>IFERROR(__xludf.DUMMYFUNCTION("""COMPUTED_VALUE"""),39735.0)</f>
        <v>39735</v>
      </c>
      <c r="K107" s="8">
        <f>IFERROR(__xludf.DUMMYFUNCTION("""COMPUTED_VALUE"""),22.0)</f>
        <v>22</v>
      </c>
      <c r="L107" s="15" t="str">
        <f>IFERROR(__xludf.DUMMYFUNCTION("""COMPUTED_VALUE"""),"YES")</f>
        <v>YES</v>
      </c>
      <c r="M107" s="15" t="str">
        <f>IFERROR(__xludf.DUMMYFUNCTION("""COMPUTED_VALUE"""),"NYCT")</f>
        <v>NYCT</v>
      </c>
      <c r="N107" s="15" t="str">
        <f>IFERROR(__xludf.DUMMYFUNCTION("""COMPUTED_VALUE"""),"KONE")</f>
        <v>KONE</v>
      </c>
      <c r="O107" s="15" t="str">
        <f>IFERROR(__xludf.DUMMYFUNCTION("""COMPUTED_VALUE"""),"YES")</f>
        <v>YES</v>
      </c>
      <c r="P107" s="15" t="str">
        <f>IFERROR(__xludf.DUMMYFUNCTION("""COMPUTED_VALUE"""),"YES")</f>
        <v>YES</v>
      </c>
      <c r="Q107" s="15" t="str">
        <f>IFERROR(__xludf.DUMMYFUNCTION("""COMPUTED_VALUE"""),"NO")</f>
        <v>NO</v>
      </c>
      <c r="R107" s="15" t="str">
        <f>IFERROR(__xludf.DUMMYFUNCTION("""COMPUTED_VALUE"""),"38'")</f>
        <v>38'</v>
      </c>
      <c r="S107" s="15">
        <f>IFERROR(__xludf.DUMMYFUNCTION("""COMPUTED_VALUE"""),136.0)</f>
        <v>136</v>
      </c>
      <c r="T107" s="15">
        <f>IFERROR(__xludf.DUMMYFUNCTION("""COMPUTED_VALUE"""),40.0)</f>
        <v>40</v>
      </c>
      <c r="U107" s="15" t="str">
        <f>IFERROR(__xludf.DUMMYFUNCTION("""COMPUTED_VALUE"""),"intermediate mezzanine to W Rd exit")</f>
        <v>intermediate mezzanine to W Rd exit</v>
      </c>
      <c r="V107" s="15" t="str">
        <f>IFERROR(__xludf.DUMMYFUNCTION("""COMPUTED_VALUE"""),"POINT (-73.953186 40.75908)")</f>
        <v>POINT (-73.953186 40.75908)</v>
      </c>
    </row>
    <row r="108" ht="22.5" customHeight="1">
      <c r="A108" s="7" t="str">
        <f>IFERROR(__xludf.DUMMYFUNCTION("""COMPUTED_VALUE"""),"Flushing-Main St")</f>
        <v>Flushing-Main St</v>
      </c>
      <c r="B108" s="8" t="str">
        <f>IFERROR(__xludf.DUMMYFUNCTION("""COMPUTED_VALUE"""),"Flushing Line")</f>
        <v>Flushing Line</v>
      </c>
      <c r="C108" s="8" t="str">
        <f>IFERROR(__xludf.DUMMYFUNCTION("""COMPUTED_VALUE"""),"Queens")</f>
        <v>Queens</v>
      </c>
      <c r="D108" s="8" t="str">
        <f>IFERROR(__xludf.DUMMYFUNCTION("""COMPUTED_VALUE"""),"Flushing")</f>
        <v>Flushing</v>
      </c>
      <c r="E108" s="33">
        <f>IFERROR(__xludf.DUMMYFUNCTION("""COMPUTED_VALUE"""),10248.0)</f>
        <v>10248</v>
      </c>
      <c r="F108" s="10">
        <f>IFERROR(__xludf.DUMMYFUNCTION("""COMPUTED_VALUE"""),1.4592853E7)</f>
        <v>14592853</v>
      </c>
      <c r="G108" s="17">
        <f>IFERROR(__xludf.DUMMYFUNCTION("""COMPUTED_VALUE"""),10.0)</f>
        <v>10</v>
      </c>
      <c r="H108" s="10" t="str">
        <f>IFERROR(__xludf.DUMMYFUNCTION("""COMPUTED_VALUE"""),"↗️")</f>
        <v>↗️</v>
      </c>
      <c r="I108" s="13">
        <f>IFERROR(__xludf.DUMMYFUNCTION("""COMPUTED_VALUE"""),36235.0)</f>
        <v>36235</v>
      </c>
      <c r="J108" s="32">
        <f>IFERROR(__xludf.DUMMYFUNCTION("""COMPUTED_VALUE"""),44421.0)</f>
        <v>44421</v>
      </c>
      <c r="K108" s="8">
        <f>IFERROR(__xludf.DUMMYFUNCTION("""COMPUTED_VALUE"""),22.0)</f>
        <v>22</v>
      </c>
      <c r="L108" s="15" t="str">
        <f>IFERROR(__xludf.DUMMYFUNCTION("""COMPUTED_VALUE"""),"YES")</f>
        <v>YES</v>
      </c>
      <c r="M108" s="15" t="str">
        <f>IFERROR(__xludf.DUMMYFUNCTION("""COMPUTED_VALUE"""),"NYCT")</f>
        <v>NYCT</v>
      </c>
      <c r="N108" s="15" t="str">
        <f>IFERROR(__xludf.DUMMYFUNCTION("""COMPUTED_VALUE"""),"KONE")</f>
        <v>KONE</v>
      </c>
      <c r="O108" s="15" t="str">
        <f>IFERROR(__xludf.DUMMYFUNCTION("""COMPUTED_VALUE"""),"YES")</f>
        <v>YES</v>
      </c>
      <c r="P108" s="15" t="str">
        <f>IFERROR(__xludf.DUMMYFUNCTION("""COMPUTED_VALUE"""),"YES")</f>
        <v>YES</v>
      </c>
      <c r="Q108" s="15" t="str">
        <f>IFERROR(__xludf.DUMMYFUNCTION("""COMPUTED_VALUE"""),"YES")</f>
        <v>YES</v>
      </c>
      <c r="R108" s="15" t="str">
        <f>IFERROR(__xludf.DUMMYFUNCTION("""COMPUTED_VALUE"""),"41'")</f>
        <v>41'</v>
      </c>
      <c r="S108" s="15">
        <f>IFERROR(__xludf.DUMMYFUNCTION("""COMPUTED_VALUE"""),152.0)</f>
        <v>152</v>
      </c>
      <c r="T108" s="15" t="str">
        <f>IFERROR(__xludf.DUMMYFUNCTION("""COMPUTED_VALUE"""),"40in")</f>
        <v>40in</v>
      </c>
      <c r="U108" s="15" t="str">
        <f>IFERROR(__xludf.DUMMYFUNCTION("""COMPUTED_VALUE"""),"platform to Roosevelt Ave (E of Main St)")</f>
        <v>platform to Roosevelt Ave (E of Main St)</v>
      </c>
      <c r="V108" s="15" t="str">
        <f>IFERROR(__xludf.DUMMYFUNCTION("""COMPUTED_VALUE"""),"POINT (-73.82889 40.759945)")</f>
        <v>POINT (-73.82889 40.759945)</v>
      </c>
    </row>
    <row r="109" ht="22.5" customHeight="1">
      <c r="A109" s="7" t="str">
        <f>IFERROR(__xludf.DUMMYFUNCTION("""COMPUTED_VALUE"""),"34 St-Herald Sq")</f>
        <v>34 St-Herald Sq</v>
      </c>
      <c r="B109" s="8" t="str">
        <f>IFERROR(__xludf.DUMMYFUNCTION("""COMPUTED_VALUE"""),"Broadway Line")</f>
        <v>Broadway Line</v>
      </c>
      <c r="C109" s="8" t="str">
        <f>IFERROR(__xludf.DUMMYFUNCTION("""COMPUTED_VALUE"""),"Manhattan")</f>
        <v>Manhattan</v>
      </c>
      <c r="D109" s="8" t="str">
        <f>IFERROR(__xludf.DUMMYFUNCTION("""COMPUTED_VALUE"""),"Midtown")</f>
        <v>Midtown</v>
      </c>
      <c r="E109" s="33">
        <f>IFERROR(__xludf.DUMMYFUNCTION("""COMPUTED_VALUE"""),6580.0)</f>
        <v>6580</v>
      </c>
      <c r="F109" s="10">
        <f>IFERROR(__xludf.DUMMYFUNCTION("""COMPUTED_VALUE"""),2.5012549E7)</f>
        <v>25012549</v>
      </c>
      <c r="G109" s="17">
        <f>IFERROR(__xludf.DUMMYFUNCTION("""COMPUTED_VALUE"""),3.0)</f>
        <v>3</v>
      </c>
      <c r="H109" s="10" t="str">
        <f>IFERROR(__xludf.DUMMYFUNCTION("""COMPUTED_VALUE"""),"↗️")</f>
        <v>↗️</v>
      </c>
      <c r="I109" s="13">
        <f>IFERROR(__xludf.DUMMYFUNCTION("""COMPUTED_VALUE"""),14960.0)</f>
        <v>14960</v>
      </c>
      <c r="J109" s="32">
        <f>IFERROR(__xludf.DUMMYFUNCTION("""COMPUTED_VALUE"""),39460.0)</f>
        <v>39460</v>
      </c>
      <c r="K109" s="8">
        <f>IFERROR(__xludf.DUMMYFUNCTION("""COMPUTED_VALUE"""),22.0)</f>
        <v>22</v>
      </c>
      <c r="L109" s="15" t="str">
        <f>IFERROR(__xludf.DUMMYFUNCTION("""COMPUTED_VALUE"""),"YES")</f>
        <v>YES</v>
      </c>
      <c r="M109" s="15" t="str">
        <f>IFERROR(__xludf.DUMMYFUNCTION("""COMPUTED_VALUE"""),"NYCT")</f>
        <v>NYCT</v>
      </c>
      <c r="N109" s="15" t="str">
        <f>IFERROR(__xludf.DUMMYFUNCTION("""COMPUTED_VALUE"""),"FUJITEC")</f>
        <v>FUJITEC</v>
      </c>
      <c r="O109" s="15" t="str">
        <f>IFERROR(__xludf.DUMMYFUNCTION("""COMPUTED_VALUE"""),"YES")</f>
        <v>YES</v>
      </c>
      <c r="P109" s="15" t="str">
        <f>IFERROR(__xludf.DUMMYFUNCTION("""COMPUTED_VALUE"""),"NO")</f>
        <v>NO</v>
      </c>
      <c r="Q109" s="15" t="str">
        <f>IFERROR(__xludf.DUMMYFUNCTION("""COMPUTED_VALUE"""),"NO")</f>
        <v>NO</v>
      </c>
      <c r="R109" s="15" t="str">
        <f>IFERROR(__xludf.DUMMYFUNCTION("""COMPUTED_VALUE"""),"28'")</f>
        <v>28'</v>
      </c>
      <c r="S109" s="15">
        <f>IFERROR(__xludf.DUMMYFUNCTION("""COMPUTED_VALUE"""),109.0)</f>
        <v>109</v>
      </c>
      <c r="T109" s="15">
        <f>IFERROR(__xludf.DUMMYFUNCTION("""COMPUTED_VALUE"""),24.0)</f>
        <v>24</v>
      </c>
      <c r="U109" s="15" t="str">
        <f>IFERROR(__xludf.DUMMYFUNCTION("""COMPUTED_VALUE"""),"downtown B/D/F/M platform to mezzanine for access to street and N/Q/R/W service")</f>
        <v>downtown B/D/F/M platform to mezzanine for access to street and N/Q/R/W service</v>
      </c>
      <c r="V109" s="15" t="str">
        <f>IFERROR(__xludf.DUMMYFUNCTION("""COMPUTED_VALUE"""),"POINT (-73.98751 40.750317)")</f>
        <v>POINT (-73.98751 40.750317)</v>
      </c>
    </row>
    <row r="110" ht="22.5" customHeight="1">
      <c r="A110" s="7" t="str">
        <f>IFERROR(__xludf.DUMMYFUNCTION("""COMPUTED_VALUE"""),"59 St")</f>
        <v>59 St</v>
      </c>
      <c r="B110" s="8" t="str">
        <f>IFERROR(__xludf.DUMMYFUNCTION("""COMPUTED_VALUE"""),"4 Av Line")</f>
        <v>4 Av Line</v>
      </c>
      <c r="C110" s="8" t="str">
        <f>IFERROR(__xludf.DUMMYFUNCTION("""COMPUTED_VALUE"""),"Brooklyn")</f>
        <v>Brooklyn</v>
      </c>
      <c r="D110" s="8" t="str">
        <f>IFERROR(__xludf.DUMMYFUNCTION("""COMPUTED_VALUE"""),"Sunset Park")</f>
        <v>Sunset Park</v>
      </c>
      <c r="E110" s="33">
        <f>IFERROR(__xludf.DUMMYFUNCTION("""COMPUTED_VALUE"""),5652.0)</f>
        <v>5652</v>
      </c>
      <c r="F110" s="10">
        <f>IFERROR(__xludf.DUMMYFUNCTION("""COMPUTED_VALUE"""),2952891.0)</f>
        <v>2952891</v>
      </c>
      <c r="G110" s="17">
        <f>IFERROR(__xludf.DUMMYFUNCTION("""COMPUTED_VALUE"""),112.0)</f>
        <v>112</v>
      </c>
      <c r="H110" s="31" t="str">
        <f>IFERROR(__xludf.DUMMYFUNCTION("""COMPUTED_VALUE"""),"↗️")</f>
        <v>↗️</v>
      </c>
      <c r="I110" s="13">
        <f>IFERROR(__xludf.DUMMYFUNCTION("""COMPUTED_VALUE"""),22965.0)</f>
        <v>22965</v>
      </c>
      <c r="J110" s="32">
        <f>IFERROR(__xludf.DUMMYFUNCTION("""COMPUTED_VALUE"""),45969.0)</f>
        <v>45969</v>
      </c>
      <c r="K110" s="8">
        <f>IFERROR(__xludf.DUMMYFUNCTION("""COMPUTED_VALUE"""),22.0)</f>
        <v>22</v>
      </c>
      <c r="L110" s="15" t="str">
        <f>IFERROR(__xludf.DUMMYFUNCTION("""COMPUTED_VALUE"""),"YES")</f>
        <v>YES</v>
      </c>
      <c r="M110" s="15" t="str">
        <f>IFERROR(__xludf.DUMMYFUNCTION("""COMPUTED_VALUE"""),"NYCT")</f>
        <v>NYCT</v>
      </c>
      <c r="N110" s="15" t="str">
        <f>IFERROR(__xludf.DUMMYFUNCTION("""COMPUTED_VALUE"""),"KONE")</f>
        <v>KONE</v>
      </c>
      <c r="O110" s="15" t="str">
        <f>IFERROR(__xludf.DUMMYFUNCTION("""COMPUTED_VALUE"""),"YES")</f>
        <v>YES</v>
      </c>
      <c r="P110" s="15" t="str">
        <f>IFERROR(__xludf.DUMMYFUNCTION("""COMPUTED_VALUE"""),"NO")</f>
        <v>NO</v>
      </c>
      <c r="Q110" s="15" t="str">
        <f>IFERROR(__xludf.DUMMYFUNCTION("""COMPUTED_VALUE"""),"NO")</f>
        <v>NO</v>
      </c>
      <c r="R110" s="15" t="str">
        <f>IFERROR(__xludf.DUMMYFUNCTION("""COMPUTED_VALUE"""),"39'")</f>
        <v>39'</v>
      </c>
      <c r="S110" s="15">
        <f>IFERROR(__xludf.DUMMYFUNCTION("""COMPUTED_VALUE"""),138.0)</f>
        <v>138</v>
      </c>
      <c r="T110" s="15">
        <f>IFERROR(__xludf.DUMMYFUNCTION("""COMPUTED_VALUE"""),40.0)</f>
        <v>40</v>
      </c>
      <c r="U110" s="15" t="str">
        <f>IFERROR(__xludf.DUMMYFUNCTION("""COMPUTED_VALUE"""),"N/R/W transfer mezzanine to downtown 6 platform")</f>
        <v>N/R/W transfer mezzanine to downtown 6 platform</v>
      </c>
      <c r="V110" s="15" t="str">
        <f>IFERROR(__xludf.DUMMYFUNCTION("""COMPUTED_VALUE"""),"POINT (-73.96795 40.762367)")</f>
        <v>POINT (-73.96795 40.762367)</v>
      </c>
    </row>
    <row r="111" ht="22.5" customHeight="1">
      <c r="A111" s="7" t="str">
        <f>IFERROR(__xludf.DUMMYFUNCTION("""COMPUTED_VALUE"""),"Lexington Av/59 St")</f>
        <v>Lexington Av/59 St</v>
      </c>
      <c r="B111" s="8" t="str">
        <f>IFERROR(__xludf.DUMMYFUNCTION("""COMPUTED_VALUE"""),"Broadway Line")</f>
        <v>Broadway Line</v>
      </c>
      <c r="C111" s="8" t="str">
        <f>IFERROR(__xludf.DUMMYFUNCTION("""COMPUTED_VALUE"""),"Manhattan")</f>
        <v>Manhattan</v>
      </c>
      <c r="D111" s="8" t="str">
        <f>IFERROR(__xludf.DUMMYFUNCTION("""COMPUTED_VALUE"""),"Midtown")</f>
        <v>Midtown</v>
      </c>
      <c r="E111" s="33">
        <f>IFERROR(__xludf.DUMMYFUNCTION("""COMPUTED_VALUE"""),7184.0)</f>
        <v>7184</v>
      </c>
      <c r="F111" s="10">
        <f>IFERROR(__xludf.DUMMYFUNCTION("""COMPUTED_VALUE"""),1.1961525E7)</f>
        <v>11961525</v>
      </c>
      <c r="G111" s="17">
        <f>IFERROR(__xludf.DUMMYFUNCTION("""COMPUTED_VALUE"""),14.0)</f>
        <v>14</v>
      </c>
      <c r="H111" s="10" t="str">
        <f>IFERROR(__xludf.DUMMYFUNCTION("""COMPUTED_VALUE"""),"↗️")</f>
        <v>↗️</v>
      </c>
      <c r="I111" s="13">
        <f>IFERROR(__xludf.DUMMYFUNCTION("""COMPUTED_VALUE"""),21432.0)</f>
        <v>21432</v>
      </c>
      <c r="J111" s="32">
        <f>IFERROR(__xludf.DUMMYFUNCTION("""COMPUTED_VALUE"""),45597.0)</f>
        <v>45597</v>
      </c>
      <c r="K111" s="8">
        <f>IFERROR(__xludf.DUMMYFUNCTION("""COMPUTED_VALUE"""),22.0)</f>
        <v>22</v>
      </c>
      <c r="L111" s="15" t="str">
        <f>IFERROR(__xludf.DUMMYFUNCTION("""COMPUTED_VALUE"""),"YES")</f>
        <v>YES</v>
      </c>
      <c r="M111" s="15" t="str">
        <f>IFERROR(__xludf.DUMMYFUNCTION("""COMPUTED_VALUE"""),"NYCT")</f>
        <v>NYCT</v>
      </c>
      <c r="N111" s="15" t="str">
        <f>IFERROR(__xludf.DUMMYFUNCTION("""COMPUTED_VALUE"""),"OK")</f>
        <v>OK</v>
      </c>
      <c r="O111" s="15" t="str">
        <f>IFERROR(__xludf.DUMMYFUNCTION("""COMPUTED_VALUE"""),"YES")</f>
        <v>YES</v>
      </c>
      <c r="P111" s="15" t="str">
        <f>IFERROR(__xludf.DUMMYFUNCTION("""COMPUTED_VALUE"""),"NO")</f>
        <v>NO</v>
      </c>
      <c r="Q111" s="15" t="str">
        <f>IFERROR(__xludf.DUMMYFUNCTION("""COMPUTED_VALUE"""),"NO")</f>
        <v>NO</v>
      </c>
      <c r="R111" s="15" t="str">
        <f>IFERROR(__xludf.DUMMYFUNCTION("""COMPUTED_VALUE"""),"19'")</f>
        <v>19'</v>
      </c>
      <c r="S111" s="15"/>
      <c r="T111" s="15">
        <f>IFERROR(__xludf.DUMMYFUNCTION("""COMPUTED_VALUE"""),40.0)</f>
        <v>40</v>
      </c>
      <c r="U111" s="15" t="str">
        <f>IFERROR(__xludf.DUMMYFUNCTION("""COMPUTED_VALUE"""),"N/R/W platform to downtown 6 platform and access to street")</f>
        <v>N/R/W platform to downtown 6 platform and access to street</v>
      </c>
      <c r="V111" s="15" t="str">
        <f>IFERROR(__xludf.DUMMYFUNCTION("""COMPUTED_VALUE"""),"POINT (-73.96781 40.76289)")</f>
        <v>POINT (-73.96781 40.76289)</v>
      </c>
    </row>
    <row r="112" ht="22.5" customHeight="1">
      <c r="A112" s="7" t="str">
        <f>IFERROR(__xludf.DUMMYFUNCTION("""COMPUTED_VALUE"""),"86 St")</f>
        <v>86 St</v>
      </c>
      <c r="B112" s="8" t="str">
        <f>IFERROR(__xludf.DUMMYFUNCTION("""COMPUTED_VALUE"""),"4 Av Line")</f>
        <v>4 Av Line</v>
      </c>
      <c r="C112" s="8" t="str">
        <f>IFERROR(__xludf.DUMMYFUNCTION("""COMPUTED_VALUE"""),"Brooklyn")</f>
        <v>Brooklyn</v>
      </c>
      <c r="D112" s="8" t="str">
        <f>IFERROR(__xludf.DUMMYFUNCTION("""COMPUTED_VALUE"""),"Bay Ridge")</f>
        <v>Bay Ridge</v>
      </c>
      <c r="E112" s="33">
        <f>IFERROR(__xludf.DUMMYFUNCTION("""COMPUTED_VALUE"""),5859.0)</f>
        <v>5859</v>
      </c>
      <c r="F112" s="10">
        <f>IFERROR(__xludf.DUMMYFUNCTION("""COMPUTED_VALUE"""),2580130.0)</f>
        <v>2580130</v>
      </c>
      <c r="G112" s="34">
        <f>IFERROR(__xludf.DUMMYFUNCTION("""COMPUTED_VALUE"""),135.0)</f>
        <v>135</v>
      </c>
      <c r="H112" s="31" t="str">
        <f>IFERROR(__xludf.DUMMYFUNCTION("""COMPUTED_VALUE"""),"↗️")</f>
        <v>↗️</v>
      </c>
      <c r="I112" s="13">
        <f>IFERROR(__xludf.DUMMYFUNCTION("""COMPUTED_VALUE"""),42736.0)</f>
        <v>42736</v>
      </c>
      <c r="J112" s="32">
        <f>IFERROR(__xludf.DUMMYFUNCTION("""COMPUTED_VALUE"""),42736.0)</f>
        <v>42736</v>
      </c>
      <c r="K112" s="8">
        <f>IFERROR(__xludf.DUMMYFUNCTION("""COMPUTED_VALUE"""),22.0)</f>
        <v>22</v>
      </c>
      <c r="L112" s="15" t="str">
        <f>IFERROR(__xludf.DUMMYFUNCTION("""COMPUTED_VALUE"""),"YES")</f>
        <v>YES</v>
      </c>
      <c r="M112" s="15" t="str">
        <f>IFERROR(__xludf.DUMMYFUNCTION("""COMPUTED_VALUE"""),"NYCT")</f>
        <v>NYCT</v>
      </c>
      <c r="N112" s="15" t="str">
        <f>IFERROR(__xludf.DUMMYFUNCTION("""COMPUTED_VALUE"""),"KONE")</f>
        <v>KONE</v>
      </c>
      <c r="O112" s="15" t="str">
        <f>IFERROR(__xludf.DUMMYFUNCTION("""COMPUTED_VALUE"""),"YES")</f>
        <v>YES</v>
      </c>
      <c r="P112" s="15" t="str">
        <f>IFERROR(__xludf.DUMMYFUNCTION("""COMPUTED_VALUE"""),"YES")</f>
        <v>YES</v>
      </c>
      <c r="Q112" s="15" t="str">
        <f>IFERROR(__xludf.DUMMYFUNCTION("""COMPUTED_VALUE"""),"YES")</f>
        <v>YES</v>
      </c>
      <c r="R112" s="15" t="str">
        <f>IFERROR(__xludf.DUMMYFUNCTION("""COMPUTED_VALUE"""),"23,519 mm (77' 1 15/16in)")</f>
        <v>23,519 mm (77' 1 15/16in)</v>
      </c>
      <c r="S112" s="15">
        <f>IFERROR(__xludf.DUMMYFUNCTION("""COMPUTED_VALUE"""),269.0)</f>
        <v>269</v>
      </c>
      <c r="T112" s="15"/>
      <c r="U112" s="15" t="str">
        <f>IFERROR(__xludf.DUMMYFUNCTION("""COMPUTED_VALUE"""),"83 St &amp; 2nd Ave (NE corner) to lower mezzanine")</f>
        <v>83 St &amp; 2nd Ave (NE corner) to lower mezzanine</v>
      </c>
      <c r="V112" s="15" t="str">
        <f>IFERROR(__xludf.DUMMYFUNCTION("""COMPUTED_VALUE"""),"POINT (-73.95268 40.776176)")</f>
        <v>POINT (-73.95268 40.776176)</v>
      </c>
    </row>
    <row r="113" ht="22.5" customHeight="1">
      <c r="A113" s="7" t="str">
        <f>IFERROR(__xludf.DUMMYFUNCTION("""COMPUTED_VALUE"""),"Roosevelt Island")</f>
        <v>Roosevelt Island</v>
      </c>
      <c r="B113" s="8" t="str">
        <f>IFERROR(__xludf.DUMMYFUNCTION("""COMPUTED_VALUE"""),"63rd St Line")</f>
        <v>63rd St Line</v>
      </c>
      <c r="C113" s="8" t="str">
        <f>IFERROR(__xludf.DUMMYFUNCTION("""COMPUTED_VALUE"""),"Manhattan")</f>
        <v>Manhattan</v>
      </c>
      <c r="D113" s="8" t="str">
        <f>IFERROR(__xludf.DUMMYFUNCTION("""COMPUTED_VALUE"""),"Roosevelt Island")</f>
        <v>Roosevelt Island</v>
      </c>
      <c r="E113" s="33">
        <f>IFERROR(__xludf.DUMMYFUNCTION("""COMPUTED_VALUE"""),32810.0)</f>
        <v>32810</v>
      </c>
      <c r="F113" s="10">
        <f>IFERROR(__xludf.DUMMYFUNCTION("""COMPUTED_VALUE"""),1885823.0)</f>
        <v>1885823</v>
      </c>
      <c r="G113" s="17">
        <f>IFERROR(__xludf.DUMMYFUNCTION("""COMPUTED_VALUE"""),171.0)</f>
        <v>171</v>
      </c>
      <c r="H113" s="31" t="str">
        <f>IFERROR(__xludf.DUMMYFUNCTION("""COMPUTED_VALUE"""),"↗️")</f>
        <v>↗️</v>
      </c>
      <c r="I113" s="13">
        <f>IFERROR(__xludf.DUMMYFUNCTION("""COMPUTED_VALUE"""),32782.0)</f>
        <v>32782</v>
      </c>
      <c r="J113" s="32">
        <f>IFERROR(__xludf.DUMMYFUNCTION("""COMPUTED_VALUE"""),39735.0)</f>
        <v>39735</v>
      </c>
      <c r="K113" s="8">
        <f>IFERROR(__xludf.DUMMYFUNCTION("""COMPUTED_VALUE"""),22.0)</f>
        <v>22</v>
      </c>
      <c r="L113" s="15" t="str">
        <f>IFERROR(__xludf.DUMMYFUNCTION("""COMPUTED_VALUE"""),"YES")</f>
        <v>YES</v>
      </c>
      <c r="M113" s="15" t="str">
        <f>IFERROR(__xludf.DUMMYFUNCTION("""COMPUTED_VALUE"""),"NYCT")</f>
        <v>NYCT</v>
      </c>
      <c r="N113" s="15" t="str">
        <f>IFERROR(__xludf.DUMMYFUNCTION("""COMPUTED_VALUE"""),"KONE")</f>
        <v>KONE</v>
      </c>
      <c r="O113" s="15" t="str">
        <f>IFERROR(__xludf.DUMMYFUNCTION("""COMPUTED_VALUE"""),"YES")</f>
        <v>YES</v>
      </c>
      <c r="P113" s="15" t="str">
        <f>IFERROR(__xludf.DUMMYFUNCTION("""COMPUTED_VALUE"""),"NO")</f>
        <v>NO</v>
      </c>
      <c r="Q113" s="15" t="str">
        <f>IFERROR(__xludf.DUMMYFUNCTION("""COMPUTED_VALUE"""),"NO")</f>
        <v>NO</v>
      </c>
      <c r="R113" s="15" t="str">
        <f>IFERROR(__xludf.DUMMYFUNCTION("""COMPUTED_VALUE"""),"36'")</f>
        <v>36'</v>
      </c>
      <c r="S113" s="15">
        <f>IFERROR(__xludf.DUMMYFUNCTION("""COMPUTED_VALUE"""),129.0)</f>
        <v>129</v>
      </c>
      <c r="T113" s="15">
        <f>IFERROR(__xludf.DUMMYFUNCTION("""COMPUTED_VALUE"""),40.0)</f>
        <v>40</v>
      </c>
      <c r="U113" s="15" t="str">
        <f>IFERROR(__xludf.DUMMYFUNCTION("""COMPUTED_VALUE"""),"lower mezzanine to intermediate mezzanine")</f>
        <v>lower mezzanine to intermediate mezzanine</v>
      </c>
      <c r="V113" s="15" t="str">
        <f>IFERROR(__xludf.DUMMYFUNCTION("""COMPUTED_VALUE"""),"POINT (-73.95284 40.758926)")</f>
        <v>POINT (-73.95284 40.758926)</v>
      </c>
    </row>
    <row r="114" ht="22.5" customHeight="1">
      <c r="A114" s="7" t="str">
        <f>IFERROR(__xludf.DUMMYFUNCTION("""COMPUTED_VALUE"""),"14 St-Union Sq")</f>
        <v>14 St-Union Sq</v>
      </c>
      <c r="B114" s="23" t="str">
        <f>IFERROR(__xludf.DUMMYFUNCTION("""COMPUTED_VALUE"""),"Broadway Line")</f>
        <v>Broadway Line</v>
      </c>
      <c r="C114" s="8" t="str">
        <f>IFERROR(__xludf.DUMMYFUNCTION("""COMPUTED_VALUE"""),"Manhattan")</f>
        <v>Manhattan</v>
      </c>
      <c r="D114" s="8" t="str">
        <f>IFERROR(__xludf.DUMMYFUNCTION("""COMPUTED_VALUE"""),"Union Square")</f>
        <v>Union Square</v>
      </c>
      <c r="E114" s="33">
        <f>IFERROR(__xludf.DUMMYFUNCTION("""COMPUTED_VALUE"""),6457.0)</f>
        <v>6457</v>
      </c>
      <c r="F114" s="10">
        <f>IFERROR(__xludf.DUMMYFUNCTION("""COMPUTED_VALUE"""),2.2811597E7)</f>
        <v>22811597</v>
      </c>
      <c r="G114" s="17">
        <f>IFERROR(__xludf.DUMMYFUNCTION("""COMPUTED_VALUE"""),4.0)</f>
        <v>4</v>
      </c>
      <c r="H114" s="10" t="str">
        <f>IFERROR(__xludf.DUMMYFUNCTION("""COMPUTED_VALUE"""),"↗️")</f>
        <v>↗️</v>
      </c>
      <c r="I114" s="13">
        <f>IFERROR(__xludf.DUMMYFUNCTION("""COMPUTED_VALUE"""),44084.0)</f>
        <v>44084</v>
      </c>
      <c r="J114" s="32">
        <f>IFERROR(__xludf.DUMMYFUNCTION("""COMPUTED_VALUE"""),44084.0)</f>
        <v>44084</v>
      </c>
      <c r="K114" s="8">
        <f>IFERROR(__xludf.DUMMYFUNCTION("""COMPUTED_VALUE"""),22.0)</f>
        <v>22</v>
      </c>
      <c r="L114" s="15" t="str">
        <f>IFERROR(__xludf.DUMMYFUNCTION("""COMPUTED_VALUE"""),"YES")</f>
        <v>YES</v>
      </c>
      <c r="M114" s="15" t="str">
        <f>IFERROR(__xludf.DUMMYFUNCTION("""COMPUTED_VALUE"""),"NYCT")</f>
        <v>NYCT</v>
      </c>
      <c r="N114" s="15"/>
      <c r="O114" s="15" t="str">
        <f>IFERROR(__xludf.DUMMYFUNCTION("""COMPUTED_VALUE"""),"YES")</f>
        <v>YES</v>
      </c>
      <c r="P114" s="15" t="str">
        <f>IFERROR(__xludf.DUMMYFUNCTION("""COMPUTED_VALUE"""),"NO")</f>
        <v>NO</v>
      </c>
      <c r="Q114" s="15" t="str">
        <f>IFERROR(__xludf.DUMMYFUNCTION("""COMPUTED_VALUE"""),"NO")</f>
        <v>NO</v>
      </c>
      <c r="R114" s="15"/>
      <c r="S114" s="15"/>
      <c r="T114" s="15"/>
      <c r="U114" s="15" t="str">
        <f>IFERROR(__xludf.DUMMYFUNCTION("""COMPUTED_VALUE"""),"L platform to mezzanine for access to street and 4/5/6 &amp; N/Q/R/W service")</f>
        <v>L platform to mezzanine for access to street and 4/5/6 &amp; N/Q/R/W service</v>
      </c>
      <c r="V114" s="15" t="str">
        <f>IFERROR(__xludf.DUMMYFUNCTION("""COMPUTED_VALUE"""),"POINT (-73.990555 40.73473)")</f>
        <v>POINT (-73.990555 40.73473)</v>
      </c>
    </row>
    <row r="115" ht="22.5" customHeight="1">
      <c r="A115" s="7" t="str">
        <f>IFERROR(__xludf.DUMMYFUNCTION("""COMPUTED_VALUE"""),"W 4 St-Wash Sq")</f>
        <v>W 4 St-Wash Sq</v>
      </c>
      <c r="B115" s="8" t="str">
        <f>IFERROR(__xludf.DUMMYFUNCTION("""COMPUTED_VALUE"""),"")</f>
        <v/>
      </c>
      <c r="C115" s="8" t="str">
        <f>IFERROR(__xludf.DUMMYFUNCTION("""COMPUTED_VALUE"""),"")</f>
        <v/>
      </c>
      <c r="D115" s="8" t="str">
        <f>IFERROR(__xludf.DUMMYFUNCTION("""COMPUTED_VALUE"""),"")</f>
        <v/>
      </c>
      <c r="E115" s="33" t="str">
        <f>IFERROR(__xludf.DUMMYFUNCTION("""COMPUTED_VALUE"""),"")</f>
        <v/>
      </c>
      <c r="F115" s="10" t="str">
        <f>IFERROR(__xludf.DUMMYFUNCTION("""COMPUTED_VALUE"""),"")</f>
        <v/>
      </c>
      <c r="G115" s="17" t="str">
        <f>IFERROR(__xludf.DUMMYFUNCTION("""COMPUTED_VALUE"""),"")</f>
        <v/>
      </c>
      <c r="H115" s="10" t="str">
        <f>IFERROR(__xludf.DUMMYFUNCTION("""COMPUTED_VALUE"""),"↗️")</f>
        <v>↗️</v>
      </c>
      <c r="I115" s="13">
        <f>IFERROR(__xludf.DUMMYFUNCTION("""COMPUTED_VALUE"""),25781.0)</f>
        <v>25781</v>
      </c>
      <c r="J115" s="32">
        <f>IFERROR(__xludf.DUMMYFUNCTION("""COMPUTED_VALUE"""),45619.0)</f>
        <v>45619</v>
      </c>
      <c r="K115" s="8">
        <f>IFERROR(__xludf.DUMMYFUNCTION("""COMPUTED_VALUE"""),22.0)</f>
        <v>22</v>
      </c>
      <c r="L115" s="15" t="str">
        <f>IFERROR(__xludf.DUMMYFUNCTION("""COMPUTED_VALUE"""),"YES")</f>
        <v>YES</v>
      </c>
      <c r="M115" s="15" t="str">
        <f>IFERROR(__xludf.DUMMYFUNCTION("""COMPUTED_VALUE"""),"NYCT")</f>
        <v>NYCT</v>
      </c>
      <c r="N115" s="15" t="str">
        <f>IFERROR(__xludf.DUMMYFUNCTION("""COMPUTED_VALUE"""),"KONE")</f>
        <v>KONE</v>
      </c>
      <c r="O115" s="15" t="str">
        <f>IFERROR(__xludf.DUMMYFUNCTION("""COMPUTED_VALUE"""),"YES")</f>
        <v>YES</v>
      </c>
      <c r="P115" s="15" t="str">
        <f>IFERROR(__xludf.DUMMYFUNCTION("""COMPUTED_VALUE"""),"NO")</f>
        <v>NO</v>
      </c>
      <c r="Q115" s="15" t="str">
        <f>IFERROR(__xludf.DUMMYFUNCTION("""COMPUTED_VALUE"""),"NO")</f>
        <v>NO</v>
      </c>
      <c r="R115" s="15" t="str">
        <f>IFERROR(__xludf.DUMMYFUNCTION("""COMPUTED_VALUE"""),"24' 66in")</f>
        <v>24' 66in</v>
      </c>
      <c r="S115" s="15">
        <f>IFERROR(__xludf.DUMMYFUNCTION("""COMPUTED_VALUE"""),95.0)</f>
        <v>95</v>
      </c>
      <c r="T115" s="15">
        <f>IFERROR(__xludf.DUMMYFUNCTION("""COMPUTED_VALUE"""),100.0)</f>
        <v>100</v>
      </c>
      <c r="U115" s="15" t="str">
        <f>IFERROR(__xludf.DUMMYFUNCTION("""COMPUTED_VALUE"""),"uptown B/D/F/M platform to uptown A/C/E platform and access to street")</f>
        <v>uptown B/D/F/M platform to uptown A/C/E platform and access to street</v>
      </c>
      <c r="V115" s="15" t="str">
        <f>IFERROR(__xludf.DUMMYFUNCTION("""COMPUTED_VALUE"""),"POINT (-74.00024 40.732536)")</f>
        <v>POINT (-74.00024 40.732536)</v>
      </c>
    </row>
    <row r="116" ht="22.5" customHeight="1">
      <c r="A116" s="7" t="str">
        <f>IFERROR(__xludf.DUMMYFUNCTION("""COMPUTED_VALUE"""),"34 St-Herald Sq")</f>
        <v>34 St-Herald Sq</v>
      </c>
      <c r="B116" s="8" t="str">
        <f>IFERROR(__xludf.DUMMYFUNCTION("""COMPUTED_VALUE"""),"Broadway Line")</f>
        <v>Broadway Line</v>
      </c>
      <c r="C116" s="8" t="str">
        <f>IFERROR(__xludf.DUMMYFUNCTION("""COMPUTED_VALUE"""),"Manhattan")</f>
        <v>Manhattan</v>
      </c>
      <c r="D116" s="8" t="str">
        <f>IFERROR(__xludf.DUMMYFUNCTION("""COMPUTED_VALUE"""),"Midtown")</f>
        <v>Midtown</v>
      </c>
      <c r="E116" s="33">
        <f>IFERROR(__xludf.DUMMYFUNCTION("""COMPUTED_VALUE"""),6580.0)</f>
        <v>6580</v>
      </c>
      <c r="F116" s="10">
        <f>IFERROR(__xludf.DUMMYFUNCTION("""COMPUTED_VALUE"""),2.5012549E7)</f>
        <v>25012549</v>
      </c>
      <c r="G116" s="19">
        <f>IFERROR(__xludf.DUMMYFUNCTION("""COMPUTED_VALUE"""),3.0)</f>
        <v>3</v>
      </c>
      <c r="H116" s="10" t="str">
        <f>IFERROR(__xludf.DUMMYFUNCTION("""COMPUTED_VALUE"""),"↗️")</f>
        <v>↗️</v>
      </c>
      <c r="I116" s="13">
        <f>IFERROR(__xludf.DUMMYFUNCTION("""COMPUTED_VALUE"""),14960.0)</f>
        <v>14960</v>
      </c>
      <c r="J116" s="32">
        <f>IFERROR(__xludf.DUMMYFUNCTION("""COMPUTED_VALUE"""),39046.0)</f>
        <v>39046</v>
      </c>
      <c r="K116" s="8">
        <f>IFERROR(__xludf.DUMMYFUNCTION("""COMPUTED_VALUE"""),22.0)</f>
        <v>22</v>
      </c>
      <c r="L116" s="15" t="str">
        <f>IFERROR(__xludf.DUMMYFUNCTION("""COMPUTED_VALUE"""),"YES")</f>
        <v>YES</v>
      </c>
      <c r="M116" s="15" t="str">
        <f>IFERROR(__xludf.DUMMYFUNCTION("""COMPUTED_VALUE"""),"NYCT")</f>
        <v>NYCT</v>
      </c>
      <c r="N116" s="15" t="str">
        <f>IFERROR(__xludf.DUMMYFUNCTION("""COMPUTED_VALUE"""),"FUJITEC")</f>
        <v>FUJITEC</v>
      </c>
      <c r="O116" s="15" t="str">
        <f>IFERROR(__xludf.DUMMYFUNCTION("""COMPUTED_VALUE"""),"YES")</f>
        <v>YES</v>
      </c>
      <c r="P116" s="15" t="str">
        <f>IFERROR(__xludf.DUMMYFUNCTION("""COMPUTED_VALUE"""),"NO")</f>
        <v>NO</v>
      </c>
      <c r="Q116" s="15" t="str">
        <f>IFERROR(__xludf.DUMMYFUNCTION("""COMPUTED_VALUE"""),"NO")</f>
        <v>NO</v>
      </c>
      <c r="R116" s="15" t="str">
        <f>IFERROR(__xludf.DUMMYFUNCTION("""COMPUTED_VALUE"""),"12'")</f>
        <v>12'</v>
      </c>
      <c r="S116" s="15">
        <f>IFERROR(__xludf.DUMMYFUNCTION("""COMPUTED_VALUE"""),55.0)</f>
        <v>55</v>
      </c>
      <c r="T116" s="15">
        <f>IFERROR(__xludf.DUMMYFUNCTION("""COMPUTED_VALUE"""),24.0)</f>
        <v>24</v>
      </c>
      <c r="U116" s="15" t="str">
        <f>IFERROR(__xludf.DUMMYFUNCTION("""COMPUTED_VALUE"""),"intemediate mezzanine to PATH mezzanine for access to B/D/F/M &amp; N/Q/R/W service")</f>
        <v>intemediate mezzanine to PATH mezzanine for access to B/D/F/M &amp; N/Q/R/W service</v>
      </c>
      <c r="V116" s="15" t="str">
        <f>IFERROR(__xludf.DUMMYFUNCTION("""COMPUTED_VALUE"""),"POINT (-73.98869 40.749004)")</f>
        <v>POINT (-73.98869 40.749004)</v>
      </c>
    </row>
    <row r="117" ht="22.5" customHeight="1">
      <c r="A117" s="7" t="str">
        <f>IFERROR(__xludf.DUMMYFUNCTION("""COMPUTED_VALUE"""),"Wall St")</f>
        <v>Wall St</v>
      </c>
      <c r="B117" s="8" t="str">
        <f>IFERROR(__xludf.DUMMYFUNCTION("""COMPUTED_VALUE"""),"Broadway-7 Av Line")</f>
        <v>Broadway-7 Av Line</v>
      </c>
      <c r="C117" s="8" t="str">
        <f>IFERROR(__xludf.DUMMYFUNCTION("""COMPUTED_VALUE"""),"Manhattan")</f>
        <v>Manhattan</v>
      </c>
      <c r="D117" s="8" t="str">
        <f>IFERROR(__xludf.DUMMYFUNCTION("""COMPUTED_VALUE"""),"Financial District")</f>
        <v>Financial District</v>
      </c>
      <c r="E117" s="33">
        <f>IFERROR(__xludf.DUMMYFUNCTION("""COMPUTED_VALUE"""),6757.0)</f>
        <v>6757</v>
      </c>
      <c r="F117" s="10">
        <f>IFERROR(__xludf.DUMMYFUNCTION("""COMPUTED_VALUE"""),4112164.0)</f>
        <v>4112164</v>
      </c>
      <c r="G117" s="16">
        <f>IFERROR(__xludf.DUMMYFUNCTION("""COMPUTED_VALUE"""),72.0)</f>
        <v>72</v>
      </c>
      <c r="H117" s="10" t="str">
        <f>IFERROR(__xludf.DUMMYFUNCTION("""COMPUTED_VALUE"""),"↗️")</f>
        <v>↗️</v>
      </c>
      <c r="I117" s="13"/>
      <c r="J117" s="32">
        <f>IFERROR(__xludf.DUMMYFUNCTION("""COMPUTED_VALUE"""),41081.0)</f>
        <v>41081</v>
      </c>
      <c r="K117" s="8">
        <f>IFERROR(__xludf.DUMMYFUNCTION("""COMPUTED_VALUE"""),22.0)</f>
        <v>22</v>
      </c>
      <c r="L117" s="15" t="str">
        <f>IFERROR(__xludf.DUMMYFUNCTION("""COMPUTED_VALUE"""),"NO")</f>
        <v>NO</v>
      </c>
      <c r="M117" s="15" t="str">
        <f>IFERROR(__xludf.DUMMYFUNCTION("""COMPUTED_VALUE"""),"Private Contractor")</f>
        <v>Private Contractor</v>
      </c>
      <c r="N117" s="15" t="str">
        <f>IFERROR(__xludf.DUMMYFUNCTION("""COMPUTED_VALUE"""),"SCHINDLER")</f>
        <v>SCHINDLER</v>
      </c>
      <c r="O117" s="15" t="str">
        <f>IFERROR(__xludf.DUMMYFUNCTION("""COMPUTED_VALUE"""),"YES")</f>
        <v>YES</v>
      </c>
      <c r="P117" s="15" t="str">
        <f>IFERROR(__xludf.DUMMYFUNCTION("""COMPUTED_VALUE"""),"NO")</f>
        <v>NO</v>
      </c>
      <c r="Q117" s="15" t="str">
        <f>IFERROR(__xludf.DUMMYFUNCTION("""COMPUTED_VALUE"""),"NO")</f>
        <v>NO</v>
      </c>
      <c r="R117" s="15"/>
      <c r="S117" s="15"/>
      <c r="T117" s="15"/>
      <c r="U117" s="15" t="str">
        <f>IFERROR(__xludf.DUMMYFUNCTION("""COMPUTED_VALUE"""),"mezzanine-level passageway to 60 Wall St atrium (between William St &amp; Pearl St)")</f>
        <v>mezzanine-level passageway to 60 Wall St atrium (between William St &amp; Pearl St)</v>
      </c>
      <c r="V117" s="15" t="str">
        <f>IFERROR(__xludf.DUMMYFUNCTION("""COMPUTED_VALUE"""),"POINT (-74.00876 40.70666)")</f>
        <v>POINT (-74.00876 40.70666)</v>
      </c>
    </row>
    <row r="118" ht="22.5" customHeight="1">
      <c r="A118" s="7" t="str">
        <f>IFERROR(__xludf.DUMMYFUNCTION("""COMPUTED_VALUE"""),"Jay St-Metro Tech")</f>
        <v>Jay St-Metro Tech</v>
      </c>
      <c r="B118" s="8" t="str">
        <f>IFERROR(__xludf.DUMMYFUNCTION("""COMPUTED_VALUE"""),"")</f>
        <v/>
      </c>
      <c r="C118" s="8" t="str">
        <f>IFERROR(__xludf.DUMMYFUNCTION("""COMPUTED_VALUE"""),"")</f>
        <v/>
      </c>
      <c r="D118" s="8" t="str">
        <f>IFERROR(__xludf.DUMMYFUNCTION("""COMPUTED_VALUE"""),"")</f>
        <v/>
      </c>
      <c r="E118" s="33" t="str">
        <f>IFERROR(__xludf.DUMMYFUNCTION("""COMPUTED_VALUE"""),"")</f>
        <v/>
      </c>
      <c r="F118" s="10" t="str">
        <f>IFERROR(__xludf.DUMMYFUNCTION("""COMPUTED_VALUE"""),"")</f>
        <v/>
      </c>
      <c r="G118" s="19" t="str">
        <f>IFERROR(__xludf.DUMMYFUNCTION("""COMPUTED_VALUE"""),"")</f>
        <v/>
      </c>
      <c r="H118" s="10" t="str">
        <f>IFERROR(__xludf.DUMMYFUNCTION("""COMPUTED_VALUE"""),"↗️")</f>
        <v>↗️</v>
      </c>
      <c r="I118" s="13">
        <f>IFERROR(__xludf.DUMMYFUNCTION("""COMPUTED_VALUE"""),40523.0)</f>
        <v>40523</v>
      </c>
      <c r="J118" s="32">
        <f>IFERROR(__xludf.DUMMYFUNCTION("""COMPUTED_VALUE"""),40523.0)</f>
        <v>40523</v>
      </c>
      <c r="K118" s="8">
        <f>IFERROR(__xludf.DUMMYFUNCTION("""COMPUTED_VALUE"""),22.0)</f>
        <v>22</v>
      </c>
      <c r="L118" s="15" t="str">
        <f>IFERROR(__xludf.DUMMYFUNCTION("""COMPUTED_VALUE"""),"YES")</f>
        <v>YES</v>
      </c>
      <c r="M118" s="15" t="str">
        <f>IFERROR(__xludf.DUMMYFUNCTION("""COMPUTED_VALUE"""),"NYCT")</f>
        <v>NYCT</v>
      </c>
      <c r="N118" s="15" t="str">
        <f>IFERROR(__xludf.DUMMYFUNCTION("""COMPUTED_VALUE"""),"KONE")</f>
        <v>KONE</v>
      </c>
      <c r="O118" s="15" t="str">
        <f>IFERROR(__xludf.DUMMYFUNCTION("""COMPUTED_VALUE"""),"YES")</f>
        <v>YES</v>
      </c>
      <c r="P118" s="15" t="str">
        <f>IFERROR(__xludf.DUMMYFUNCTION("""COMPUTED_VALUE"""),"NO")</f>
        <v>NO</v>
      </c>
      <c r="Q118" s="15" t="str">
        <f>IFERROR(__xludf.DUMMYFUNCTION("""COMPUTED_VALUE"""),"NO")</f>
        <v>NO</v>
      </c>
      <c r="R118" s="15" t="str">
        <f>IFERROR(__xludf.DUMMYFUNCTION("""COMPUTED_VALUE"""),"24' 4 7/16in")</f>
        <v>24' 4 7/16in</v>
      </c>
      <c r="S118" s="15">
        <f>IFERROR(__xludf.DUMMYFUNCTION("""COMPUTED_VALUE"""),94.0)</f>
        <v>94</v>
      </c>
      <c r="T118" s="15" t="str">
        <f>IFERROR(__xludf.DUMMYFUNCTION("""COMPUTED_VALUE"""),"1000mm")</f>
        <v>1000mm</v>
      </c>
      <c r="U118" s="15" t="str">
        <f>IFERROR(__xludf.DUMMYFUNCTION("""COMPUTED_VALUE"""),"R platform to mezzanine for A/C/F service and Jay St &amp; Willoughby St exit")</f>
        <v>R platform to mezzanine for A/C/F service and Jay St &amp; Willoughby St exit</v>
      </c>
      <c r="V118" s="15" t="str">
        <f>IFERROR(__xludf.DUMMYFUNCTION("""COMPUTED_VALUE"""),"POINT (-73.98671 40.69221)")</f>
        <v>POINT (-73.98671 40.69221)</v>
      </c>
    </row>
    <row r="119" ht="22.5" customHeight="1">
      <c r="A119" s="7" t="str">
        <f>IFERROR(__xludf.DUMMYFUNCTION("""COMPUTED_VALUE"""),"Fulton St")</f>
        <v>Fulton St</v>
      </c>
      <c r="B119" s="8" t="str">
        <f>IFERROR(__xludf.DUMMYFUNCTION("""COMPUTED_VALUE"""),"Broadway-7 Av Line")</f>
        <v>Broadway-7 Av Line</v>
      </c>
      <c r="C119" s="8" t="str">
        <f>IFERROR(__xludf.DUMMYFUNCTION("""COMPUTED_VALUE"""),"Manhattan")</f>
        <v>Manhattan</v>
      </c>
      <c r="D119" s="8" t="str">
        <f>IFERROR(__xludf.DUMMYFUNCTION("""COMPUTED_VALUE"""),"Financial District")</f>
        <v>Financial District</v>
      </c>
      <c r="E119" s="33">
        <f>IFERROR(__xludf.DUMMYFUNCTION("""COMPUTED_VALUE"""),6757.0)</f>
        <v>6757</v>
      </c>
      <c r="F119" s="10">
        <f>IFERROR(__xludf.DUMMYFUNCTION("""COMPUTED_VALUE"""),1.9221396E7)</f>
        <v>19221396</v>
      </c>
      <c r="G119" s="19">
        <f>IFERROR(__xludf.DUMMYFUNCTION("""COMPUTED_VALUE"""),5.0)</f>
        <v>5</v>
      </c>
      <c r="H119" s="10" t="str">
        <f>IFERROR(__xludf.DUMMYFUNCTION("""COMPUTED_VALUE"""),"↗️")</f>
        <v>↗️</v>
      </c>
      <c r="I119" s="13">
        <f>IFERROR(__xludf.DUMMYFUNCTION("""COMPUTED_VALUE"""),41590.0)</f>
        <v>41590</v>
      </c>
      <c r="J119" s="32">
        <f>IFERROR(__xludf.DUMMYFUNCTION("""COMPUTED_VALUE"""),41590.0)</f>
        <v>41590</v>
      </c>
      <c r="K119" s="8">
        <f>IFERROR(__xludf.DUMMYFUNCTION("""COMPUTED_VALUE"""),22.0)</f>
        <v>22</v>
      </c>
      <c r="L119" s="15" t="str">
        <f>IFERROR(__xludf.DUMMYFUNCTION("""COMPUTED_VALUE"""),"YES")</f>
        <v>YES</v>
      </c>
      <c r="M119" s="15" t="str">
        <f>IFERROR(__xludf.DUMMYFUNCTION("""COMPUTED_VALUE"""),"NYCT")</f>
        <v>NYCT</v>
      </c>
      <c r="N119" s="15" t="str">
        <f>IFERROR(__xludf.DUMMYFUNCTION("""COMPUTED_VALUE"""),"KONE")</f>
        <v>KONE</v>
      </c>
      <c r="O119" s="15" t="str">
        <f>IFERROR(__xludf.DUMMYFUNCTION("""COMPUTED_VALUE"""),"YES")</f>
        <v>YES</v>
      </c>
      <c r="P119" s="15" t="str">
        <f>IFERROR(__xludf.DUMMYFUNCTION("""COMPUTED_VALUE"""),"NO")</f>
        <v>NO</v>
      </c>
      <c r="Q119" s="15" t="str">
        <f>IFERROR(__xludf.DUMMYFUNCTION("""COMPUTED_VALUE"""),"NO")</f>
        <v>NO</v>
      </c>
      <c r="R119" s="15" t="str">
        <f>IFERROR(__xludf.DUMMYFUNCTION("""COMPUTED_VALUE"""),"17' 2in")</f>
        <v>17' 2in</v>
      </c>
      <c r="S119" s="15">
        <f>IFERROR(__xludf.DUMMYFUNCTION("""COMPUTED_VALUE"""),72.0)</f>
        <v>72</v>
      </c>
      <c r="T119" s="15" t="str">
        <f>IFERROR(__xludf.DUMMYFUNCTION("""COMPUTED_VALUE"""),"1000 mm")</f>
        <v>1000 mm</v>
      </c>
      <c r="U119" s="15" t="str">
        <f>IFERROR(__xludf.DUMMYFUNCTION("""COMPUTED_VALUE"""),"A/C/J/Z transfer mezzanine to mezzanine for 2/3 service and William St &amp; Fulton St exit")</f>
        <v>A/C/J/Z transfer mezzanine to mezzanine for 2/3 service and William St &amp; Fulton St exit</v>
      </c>
      <c r="V119" s="15" t="str">
        <f>IFERROR(__xludf.DUMMYFUNCTION("""COMPUTED_VALUE"""),"POINT (-74.00685 40.70976)")</f>
        <v>POINT (-74.00685 40.70976)</v>
      </c>
    </row>
    <row r="120" ht="22.5" customHeight="1">
      <c r="A120" s="7" t="str">
        <f>IFERROR(__xludf.DUMMYFUNCTION("""COMPUTED_VALUE"""),"72 St")</f>
        <v>72 St</v>
      </c>
      <c r="B120" s="8" t="str">
        <f>IFERROR(__xludf.DUMMYFUNCTION("""COMPUTED_VALUE"""),"Broadway-7 Av Line")</f>
        <v>Broadway-7 Av Line</v>
      </c>
      <c r="C120" s="8" t="str">
        <f>IFERROR(__xludf.DUMMYFUNCTION("""COMPUTED_VALUE"""),"Manhattan")</f>
        <v>Manhattan</v>
      </c>
      <c r="D120" s="8" t="str">
        <f>IFERROR(__xludf.DUMMYFUNCTION("""COMPUTED_VALUE"""),"Upper West Side")</f>
        <v>Upper West Side</v>
      </c>
      <c r="E120" s="33">
        <f>IFERROR(__xludf.DUMMYFUNCTION("""COMPUTED_VALUE"""),1762.0)</f>
        <v>1762</v>
      </c>
      <c r="F120" s="10">
        <f>IFERROR(__xludf.DUMMYFUNCTION("""COMPUTED_VALUE"""),9752193.0)</f>
        <v>9752193</v>
      </c>
      <c r="G120" s="19">
        <f>IFERROR(__xludf.DUMMYFUNCTION("""COMPUTED_VALUE"""),22.0)</f>
        <v>22</v>
      </c>
      <c r="H120" s="10" t="str">
        <f>IFERROR(__xludf.DUMMYFUNCTION("""COMPUTED_VALUE"""),"↗️")</f>
        <v>↗️</v>
      </c>
      <c r="I120" s="13">
        <f>IFERROR(__xludf.DUMMYFUNCTION("""COMPUTED_VALUE"""),42736.0)</f>
        <v>42736</v>
      </c>
      <c r="J120" s="32">
        <f>IFERROR(__xludf.DUMMYFUNCTION("""COMPUTED_VALUE"""),42736.0)</f>
        <v>42736</v>
      </c>
      <c r="K120" s="8">
        <f>IFERROR(__xludf.DUMMYFUNCTION("""COMPUTED_VALUE"""),22.0)</f>
        <v>22</v>
      </c>
      <c r="L120" s="15" t="str">
        <f>IFERROR(__xludf.DUMMYFUNCTION("""COMPUTED_VALUE"""),"YES")</f>
        <v>YES</v>
      </c>
      <c r="M120" s="15" t="str">
        <f>IFERROR(__xludf.DUMMYFUNCTION("""COMPUTED_VALUE"""),"NYCT")</f>
        <v>NYCT</v>
      </c>
      <c r="N120" s="15" t="str">
        <f>IFERROR(__xludf.DUMMYFUNCTION("""COMPUTED_VALUE"""),"SCHINDLER")</f>
        <v>SCHINDLER</v>
      </c>
      <c r="O120" s="15" t="str">
        <f>IFERROR(__xludf.DUMMYFUNCTION("""COMPUTED_VALUE"""),"YES")</f>
        <v>YES</v>
      </c>
      <c r="P120" s="15" t="str">
        <f>IFERROR(__xludf.DUMMYFUNCTION("""COMPUTED_VALUE"""),"NO")</f>
        <v>NO</v>
      </c>
      <c r="Q120" s="15" t="str">
        <f>IFERROR(__xludf.DUMMYFUNCTION("""COMPUTED_VALUE"""),"NO")</f>
        <v>NO</v>
      </c>
      <c r="R120" s="15" t="str">
        <f>IFERROR(__xludf.DUMMYFUNCTION("""COMPUTED_VALUE"""),"4953 mm (16' 1/4in)")</f>
        <v>4953 mm (16' 1/4in)</v>
      </c>
      <c r="S120" s="15">
        <f>IFERROR(__xludf.DUMMYFUNCTION("""COMPUTED_VALUE"""),0.0)</f>
        <v>0</v>
      </c>
      <c r="T120" s="15"/>
      <c r="U120" s="15" t="str">
        <f>IFERROR(__xludf.DUMMYFUNCTION("""COMPUTED_VALUE"""),"platform to lower mezzanine")</f>
        <v>platform to lower mezzanine</v>
      </c>
      <c r="V120" s="15" t="str">
        <f>IFERROR(__xludf.DUMMYFUNCTION("""COMPUTED_VALUE"""),"POINT (-73.9586 40.768486)")</f>
        <v>POINT (-73.9586 40.768486)</v>
      </c>
    </row>
    <row r="121" ht="22.5" customHeight="1">
      <c r="A121" s="7" t="str">
        <f>IFERROR(__xludf.DUMMYFUNCTION("""COMPUTED_VALUE"""),"Grand Central-42 St")</f>
        <v>Grand Central-42 St</v>
      </c>
      <c r="B121" s="8" t="str">
        <f>IFERROR(__xludf.DUMMYFUNCTION("""COMPUTED_VALUE"""),"42nd St Line")</f>
        <v>42nd St Line</v>
      </c>
      <c r="C121" s="8" t="str">
        <f>IFERROR(__xludf.DUMMYFUNCTION("""COMPUTED_VALUE"""),"Manhattan")</f>
        <v>Manhattan</v>
      </c>
      <c r="D121" s="8" t="str">
        <f>IFERROR(__xludf.DUMMYFUNCTION("""COMPUTED_VALUE"""),"Midtown")</f>
        <v>Midtown</v>
      </c>
      <c r="E121" s="33">
        <f>IFERROR(__xludf.DUMMYFUNCTION("""COMPUTED_VALUE"""),1762.0)</f>
        <v>1762</v>
      </c>
      <c r="F121" s="10">
        <f>IFERROR(__xludf.DUMMYFUNCTION("""COMPUTED_VALUE"""),3.3496874E7)</f>
        <v>33496874</v>
      </c>
      <c r="G121" s="19">
        <f>IFERROR(__xludf.DUMMYFUNCTION("""COMPUTED_VALUE"""),2.0)</f>
        <v>2</v>
      </c>
      <c r="H121" s="10" t="str">
        <f>IFERROR(__xludf.DUMMYFUNCTION("""COMPUTED_VALUE"""),"↗️")</f>
        <v>↗️</v>
      </c>
      <c r="I121" s="13">
        <f>IFERROR(__xludf.DUMMYFUNCTION("""COMPUTED_VALUE"""),24202.0)</f>
        <v>24202</v>
      </c>
      <c r="J121" s="32">
        <f>IFERROR(__xludf.DUMMYFUNCTION("""COMPUTED_VALUE"""),45944.0)</f>
        <v>45944</v>
      </c>
      <c r="K121" s="8">
        <f>IFERROR(__xludf.DUMMYFUNCTION("""COMPUTED_VALUE"""),22.0)</f>
        <v>22</v>
      </c>
      <c r="L121" s="15" t="str">
        <f>IFERROR(__xludf.DUMMYFUNCTION("""COMPUTED_VALUE"""),"YES")</f>
        <v>YES</v>
      </c>
      <c r="M121" s="15" t="str">
        <f>IFERROR(__xludf.DUMMYFUNCTION("""COMPUTED_VALUE"""),"NYCT")</f>
        <v>NYCT</v>
      </c>
      <c r="N121" s="15" t="str">
        <f>IFERROR(__xludf.DUMMYFUNCTION("""COMPUTED_VALUE"""),"KONE")</f>
        <v>KONE</v>
      </c>
      <c r="O121" s="15" t="str">
        <f>IFERROR(__xludf.DUMMYFUNCTION("""COMPUTED_VALUE"""),"YES")</f>
        <v>YES</v>
      </c>
      <c r="P121" s="15" t="str">
        <f>IFERROR(__xludf.DUMMYFUNCTION("""COMPUTED_VALUE"""),"NO")</f>
        <v>NO</v>
      </c>
      <c r="Q121" s="15" t="str">
        <f>IFERROR(__xludf.DUMMYFUNCTION("""COMPUTED_VALUE"""),"NO")</f>
        <v>NO</v>
      </c>
      <c r="R121" s="15" t="str">
        <f>IFERROR(__xludf.DUMMYFUNCTION("""COMPUTED_VALUE"""),"31' - 10 1/4in")</f>
        <v>31' - 10 1/4in</v>
      </c>
      <c r="S121" s="15">
        <f>IFERROR(__xludf.DUMMYFUNCTION("""COMPUTED_VALUE"""),119.0)</f>
        <v>119</v>
      </c>
      <c r="T121" s="15">
        <f>IFERROR(__xludf.DUMMYFUNCTION("""COMPUTED_VALUE"""),40.0)</f>
        <v>40</v>
      </c>
      <c r="U121" s="15" t="str">
        <f>IFERROR(__xludf.DUMMYFUNCTION("""COMPUTED_VALUE"""),"7 platform to western mezzanine for access to street and 4/5/6/S service")</f>
        <v>7 platform to western mezzanine for access to street and 4/5/6/S service</v>
      </c>
      <c r="V121" s="15" t="str">
        <f>IFERROR(__xludf.DUMMYFUNCTION("""COMPUTED_VALUE"""),"POINT (-73.9771 40.75188)")</f>
        <v>POINT (-73.9771 40.75188)</v>
      </c>
    </row>
    <row r="122" ht="22.5" customHeight="1">
      <c r="A122" s="7" t="str">
        <f>IFERROR(__xludf.DUMMYFUNCTION("""COMPUTED_VALUE"""),"86 St")</f>
        <v>86 St</v>
      </c>
      <c r="B122" s="8" t="str">
        <f>IFERROR(__xludf.DUMMYFUNCTION("""COMPUTED_VALUE"""),"4 Av Line")</f>
        <v>4 Av Line</v>
      </c>
      <c r="C122" s="8" t="str">
        <f>IFERROR(__xludf.DUMMYFUNCTION("""COMPUTED_VALUE"""),"Brooklyn")</f>
        <v>Brooklyn</v>
      </c>
      <c r="D122" s="8" t="str">
        <f>IFERROR(__xludf.DUMMYFUNCTION("""COMPUTED_VALUE"""),"Bay Ridge")</f>
        <v>Bay Ridge</v>
      </c>
      <c r="E122" s="33">
        <f>IFERROR(__xludf.DUMMYFUNCTION("""COMPUTED_VALUE"""),5859.0)</f>
        <v>5859</v>
      </c>
      <c r="F122" s="10">
        <f>IFERROR(__xludf.DUMMYFUNCTION("""COMPUTED_VALUE"""),2580130.0)</f>
        <v>2580130</v>
      </c>
      <c r="G122" s="19">
        <f>IFERROR(__xludf.DUMMYFUNCTION("""COMPUTED_VALUE"""),135.0)</f>
        <v>135</v>
      </c>
      <c r="H122" s="10" t="str">
        <f>IFERROR(__xludf.DUMMYFUNCTION("""COMPUTED_VALUE"""),"↗️")</f>
        <v>↗️</v>
      </c>
      <c r="I122" s="13">
        <f>IFERROR(__xludf.DUMMYFUNCTION("""COMPUTED_VALUE"""),42736.0)</f>
        <v>42736</v>
      </c>
      <c r="J122" s="32">
        <f>IFERROR(__xludf.DUMMYFUNCTION("""COMPUTED_VALUE"""),42736.0)</f>
        <v>42736</v>
      </c>
      <c r="K122" s="8">
        <f>IFERROR(__xludf.DUMMYFUNCTION("""COMPUTED_VALUE"""),22.0)</f>
        <v>22</v>
      </c>
      <c r="L122" s="15" t="str">
        <f>IFERROR(__xludf.DUMMYFUNCTION("""COMPUTED_VALUE"""),"YES")</f>
        <v>YES</v>
      </c>
      <c r="M122" s="15" t="str">
        <f>IFERROR(__xludf.DUMMYFUNCTION("""COMPUTED_VALUE"""),"NYCT")</f>
        <v>NYCT</v>
      </c>
      <c r="N122" s="15" t="str">
        <f>IFERROR(__xludf.DUMMYFUNCTION("""COMPUTED_VALUE"""),"KONE")</f>
        <v>KONE</v>
      </c>
      <c r="O122" s="15" t="str">
        <f>IFERROR(__xludf.DUMMYFUNCTION("""COMPUTED_VALUE"""),"YES")</f>
        <v>YES</v>
      </c>
      <c r="P122" s="15" t="str">
        <f>IFERROR(__xludf.DUMMYFUNCTION("""COMPUTED_VALUE"""),"YES")</f>
        <v>YES</v>
      </c>
      <c r="Q122" s="15" t="str">
        <f>IFERROR(__xludf.DUMMYFUNCTION("""COMPUTED_VALUE"""),"YES")</f>
        <v>YES</v>
      </c>
      <c r="R122" s="15" t="str">
        <f>IFERROR(__xludf.DUMMYFUNCTION("""COMPUTED_VALUE"""),"23,519 mm (77' 1 15/16in)")</f>
        <v>23,519 mm (77' 1 15/16in)</v>
      </c>
      <c r="S122" s="15">
        <f>IFERROR(__xludf.DUMMYFUNCTION("""COMPUTED_VALUE"""),269.0)</f>
        <v>269</v>
      </c>
      <c r="T122" s="15"/>
      <c r="U122" s="15" t="str">
        <f>IFERROR(__xludf.DUMMYFUNCTION("""COMPUTED_VALUE"""),"83 St &amp; 2nd Ave (NE corner) to lower mezzanine")</f>
        <v>83 St &amp; 2nd Ave (NE corner) to lower mezzanine</v>
      </c>
      <c r="V122" s="15" t="str">
        <f>IFERROR(__xludf.DUMMYFUNCTION("""COMPUTED_VALUE"""),"POINT (-73.9527 40.776184)")</f>
        <v>POINT (-73.9527 40.776184)</v>
      </c>
    </row>
    <row r="123" ht="22.5" customHeight="1">
      <c r="A123" s="7" t="str">
        <f>IFERROR(__xludf.DUMMYFUNCTION("""COMPUTED_VALUE"""),"14 St-Union Sq")</f>
        <v>14 St-Union Sq</v>
      </c>
      <c r="B123" s="8" t="str">
        <f>IFERROR(__xludf.DUMMYFUNCTION("""COMPUTED_VALUE"""),"Broadway Line")</f>
        <v>Broadway Line</v>
      </c>
      <c r="C123" s="8" t="str">
        <f>IFERROR(__xludf.DUMMYFUNCTION("""COMPUTED_VALUE"""),"Manhattan")</f>
        <v>Manhattan</v>
      </c>
      <c r="D123" s="8" t="str">
        <f>IFERROR(__xludf.DUMMYFUNCTION("""COMPUTED_VALUE"""),"Union Square")</f>
        <v>Union Square</v>
      </c>
      <c r="E123" s="33">
        <f>IFERROR(__xludf.DUMMYFUNCTION("""COMPUTED_VALUE"""),6457.0)</f>
        <v>6457</v>
      </c>
      <c r="F123" s="10">
        <f>IFERROR(__xludf.DUMMYFUNCTION("""COMPUTED_VALUE"""),2.2811597E7)</f>
        <v>22811597</v>
      </c>
      <c r="G123" s="17">
        <f>IFERROR(__xludf.DUMMYFUNCTION("""COMPUTED_VALUE"""),4.0)</f>
        <v>4</v>
      </c>
      <c r="H123" s="35" t="str">
        <f>IFERROR(__xludf.DUMMYFUNCTION("""COMPUTED_VALUE"""),"↗️")</f>
        <v>↗️</v>
      </c>
      <c r="I123" s="13"/>
      <c r="J123" s="32">
        <f>IFERROR(__xludf.DUMMYFUNCTION("""COMPUTED_VALUE"""),40914.0)</f>
        <v>40914</v>
      </c>
      <c r="K123" s="8">
        <f>IFERROR(__xludf.DUMMYFUNCTION("""COMPUTED_VALUE"""),22.0)</f>
        <v>22</v>
      </c>
      <c r="L123" s="15" t="str">
        <f>IFERROR(__xludf.DUMMYFUNCTION("""COMPUTED_VALUE"""),"NO")</f>
        <v>NO</v>
      </c>
      <c r="M123" s="15" t="str">
        <f>IFERROR(__xludf.DUMMYFUNCTION("""COMPUTED_VALUE"""),"Private Contractor")</f>
        <v>Private Contractor</v>
      </c>
      <c r="N123" s="15" t="str">
        <f>IFERROR(__xludf.DUMMYFUNCTION("""COMPUTED_VALUE"""),"AM")</f>
        <v>AM</v>
      </c>
      <c r="O123" s="15" t="str">
        <f>IFERROR(__xludf.DUMMYFUNCTION("""COMPUTED_VALUE"""),"YES")</f>
        <v>YES</v>
      </c>
      <c r="P123" s="15" t="str">
        <f>IFERROR(__xludf.DUMMYFUNCTION("""COMPUTED_VALUE"""),"NO")</f>
        <v>NO</v>
      </c>
      <c r="Q123" s="15" t="str">
        <f>IFERROR(__xludf.DUMMYFUNCTION("""COMPUTED_VALUE"""),"NO")</f>
        <v>NO</v>
      </c>
      <c r="R123" s="15"/>
      <c r="S123" s="15"/>
      <c r="T123" s="15"/>
      <c r="U123" s="15" t="str">
        <f>IFERROR(__xludf.DUMMYFUNCTION("""COMPUTED_VALUE"""),"4/5/6 mezzanine to 14 St &amp; 4th Ave (NE corner)")</f>
        <v>4/5/6 mezzanine to 14 St &amp; 4th Ave (NE corner)</v>
      </c>
      <c r="V123" s="15" t="str">
        <f>IFERROR(__xludf.DUMMYFUNCTION("""COMPUTED_VALUE"""),"POINT (-73.98948 40.734436)")</f>
        <v>POINT (-73.98948 40.734436)</v>
      </c>
    </row>
    <row r="124" ht="22.5" customHeight="1">
      <c r="A124" s="7" t="str">
        <f>IFERROR(__xludf.DUMMYFUNCTION("""COMPUTED_VALUE"""),"Grand Central-42 St")</f>
        <v>Grand Central-42 St</v>
      </c>
      <c r="B124" s="8" t="str">
        <f>IFERROR(__xludf.DUMMYFUNCTION("""COMPUTED_VALUE"""),"42nd St Line")</f>
        <v>42nd St Line</v>
      </c>
      <c r="C124" s="8" t="str">
        <f>IFERROR(__xludf.DUMMYFUNCTION("""COMPUTED_VALUE"""),"Manhattan")</f>
        <v>Manhattan</v>
      </c>
      <c r="D124" s="8" t="str">
        <f>IFERROR(__xludf.DUMMYFUNCTION("""COMPUTED_VALUE"""),"Midtown")</f>
        <v>Midtown</v>
      </c>
      <c r="E124" s="33">
        <f>IFERROR(__xludf.DUMMYFUNCTION("""COMPUTED_VALUE"""),1762.0)</f>
        <v>1762</v>
      </c>
      <c r="F124" s="10">
        <f>IFERROR(__xludf.DUMMYFUNCTION("""COMPUTED_VALUE"""),3.3496874E7)</f>
        <v>33496874</v>
      </c>
      <c r="G124" s="17">
        <f>IFERROR(__xludf.DUMMYFUNCTION("""COMPUTED_VALUE"""),2.0)</f>
        <v>2</v>
      </c>
      <c r="H124" s="8" t="str">
        <f>IFERROR(__xludf.DUMMYFUNCTION("""COMPUTED_VALUE"""),"↗️")</f>
        <v>↗️</v>
      </c>
      <c r="I124" s="13">
        <f>IFERROR(__xludf.DUMMYFUNCTION("""COMPUTED_VALUE"""),19937.0)</f>
        <v>19937</v>
      </c>
      <c r="J124" s="32">
        <f>IFERROR(__xludf.DUMMYFUNCTION("""COMPUTED_VALUE"""),45430.0)</f>
        <v>45430</v>
      </c>
      <c r="K124" s="8">
        <f>IFERROR(__xludf.DUMMYFUNCTION("""COMPUTED_VALUE"""),22.0)</f>
        <v>22</v>
      </c>
      <c r="L124" s="15" t="str">
        <f>IFERROR(__xludf.DUMMYFUNCTION("""COMPUTED_VALUE"""),"YES")</f>
        <v>YES</v>
      </c>
      <c r="M124" s="15" t="str">
        <f>IFERROR(__xludf.DUMMYFUNCTION("""COMPUTED_VALUE"""),"NYCT")</f>
        <v>NYCT</v>
      </c>
      <c r="N124" s="15" t="str">
        <f>IFERROR(__xludf.DUMMYFUNCTION("""COMPUTED_VALUE"""),"OK")</f>
        <v>OK</v>
      </c>
      <c r="O124" s="15" t="str">
        <f>IFERROR(__xludf.DUMMYFUNCTION("""COMPUTED_VALUE"""),"YES")</f>
        <v>YES</v>
      </c>
      <c r="P124" s="15" t="str">
        <f>IFERROR(__xludf.DUMMYFUNCTION("""COMPUTED_VALUE"""),"NO")</f>
        <v>NO</v>
      </c>
      <c r="Q124" s="15" t="str">
        <f>IFERROR(__xludf.DUMMYFUNCTION("""COMPUTED_VALUE"""),"NO")</f>
        <v>NO</v>
      </c>
      <c r="R124" s="15" t="str">
        <f>IFERROR(__xludf.DUMMYFUNCTION("""COMPUTED_VALUE"""),"40'")</f>
        <v>40'</v>
      </c>
      <c r="S124" s="15">
        <f>IFERROR(__xludf.DUMMYFUNCTION("""COMPUTED_VALUE"""),137.0)</f>
        <v>137</v>
      </c>
      <c r="T124" s="15">
        <f>IFERROR(__xludf.DUMMYFUNCTION("""COMPUTED_VALUE"""),40.0)</f>
        <v>40</v>
      </c>
      <c r="U124" s="15" t="str">
        <f>IFERROR(__xludf.DUMMYFUNCTION("""COMPUTED_VALUE"""),"central mezzanine above 7 platform to main mezzanine for access to street and 4/5/6/S service")</f>
        <v>central mezzanine above 7 platform to main mezzanine for access to street and 4/5/6/S service</v>
      </c>
      <c r="V124" s="15" t="str">
        <f>IFERROR(__xludf.DUMMYFUNCTION("""COMPUTED_VALUE"""),"POINT (-73.976456 40.75148)")</f>
        <v>POINT (-73.976456 40.75148)</v>
      </c>
    </row>
    <row r="125" ht="22.5" customHeight="1">
      <c r="A125" s="7" t="str">
        <f>IFERROR(__xludf.DUMMYFUNCTION("""COMPUTED_VALUE"""),"7 Av")</f>
        <v>7 Av</v>
      </c>
      <c r="B125" s="8" t="str">
        <f>IFERROR(__xludf.DUMMYFUNCTION("""COMPUTED_VALUE"""),"Brighton Line")</f>
        <v>Brighton Line</v>
      </c>
      <c r="C125" s="8" t="str">
        <f>IFERROR(__xludf.DUMMYFUNCTION("""COMPUTED_VALUE"""),"Brooklyn")</f>
        <v>Brooklyn</v>
      </c>
      <c r="D125" s="8" t="str">
        <f>IFERROR(__xludf.DUMMYFUNCTION("""COMPUTED_VALUE"""),"Park Slope")</f>
        <v>Park Slope</v>
      </c>
      <c r="E125" s="33">
        <f>IFERROR(__xludf.DUMMYFUNCTION("""COMPUTED_VALUE"""),7519.0)</f>
        <v>7519</v>
      </c>
      <c r="F125" s="10">
        <f>IFERROR(__xludf.DUMMYFUNCTION("""COMPUTED_VALUE"""),2176497.0)</f>
        <v>2176497</v>
      </c>
      <c r="G125" s="19">
        <f>IFERROR(__xludf.DUMMYFUNCTION("""COMPUTED_VALUE"""),154.0)</f>
        <v>154</v>
      </c>
      <c r="H125" s="10" t="str">
        <f>IFERROR(__xludf.DUMMYFUNCTION("""COMPUTED_VALUE"""),"↗️")</f>
        <v>↗️</v>
      </c>
      <c r="I125" s="13">
        <f>IFERROR(__xludf.DUMMYFUNCTION("""COMPUTED_VALUE"""),26474.0)</f>
        <v>26474</v>
      </c>
      <c r="J125" s="32">
        <f>IFERROR(__xludf.DUMMYFUNCTION("""COMPUTED_VALUE"""),36308.0)</f>
        <v>36308</v>
      </c>
      <c r="K125" s="8">
        <f>IFERROR(__xludf.DUMMYFUNCTION("""COMPUTED_VALUE"""),22.0)</f>
        <v>22</v>
      </c>
      <c r="L125" s="15" t="str">
        <f>IFERROR(__xludf.DUMMYFUNCTION("""COMPUTED_VALUE"""),"YES")</f>
        <v>YES</v>
      </c>
      <c r="M125" s="15" t="str">
        <f>IFERROR(__xludf.DUMMYFUNCTION("""COMPUTED_VALUE"""),"NYCT")</f>
        <v>NYCT</v>
      </c>
      <c r="N125" s="15" t="str">
        <f>IFERROR(__xludf.DUMMYFUNCTION("""COMPUTED_VALUE"""),"OK")</f>
        <v>OK</v>
      </c>
      <c r="O125" s="15" t="str">
        <f>IFERROR(__xludf.DUMMYFUNCTION("""COMPUTED_VALUE"""),"YES")</f>
        <v>YES</v>
      </c>
      <c r="P125" s="15" t="str">
        <f>IFERROR(__xludf.DUMMYFUNCTION("""COMPUTED_VALUE"""),"NO")</f>
        <v>NO</v>
      </c>
      <c r="Q125" s="15" t="str">
        <f>IFERROR(__xludf.DUMMYFUNCTION("""COMPUTED_VALUE"""),"NO")</f>
        <v>NO</v>
      </c>
      <c r="R125" s="15" t="str">
        <f>IFERROR(__xludf.DUMMYFUNCTION("""COMPUTED_VALUE"""),"24'")</f>
        <v>24'</v>
      </c>
      <c r="S125" s="15">
        <f>IFERROR(__xludf.DUMMYFUNCTION("""COMPUTED_VALUE"""),97.0)</f>
        <v>97</v>
      </c>
      <c r="T125" s="15">
        <f>IFERROR(__xludf.DUMMYFUNCTION("""COMPUTED_VALUE"""),40.0)</f>
        <v>40</v>
      </c>
      <c r="U125" s="15" t="str">
        <f>IFERROR(__xludf.DUMMYFUNCTION("""COMPUTED_VALUE"""),"downtown platform to mezzanine for 53 St &amp; 7th Ave exit")</f>
        <v>downtown platform to mezzanine for 53 St &amp; 7th Ave exit</v>
      </c>
      <c r="V125" s="15" t="str">
        <f>IFERROR(__xludf.DUMMYFUNCTION("""COMPUTED_VALUE"""),"POINT (-73.98143 40.76278)")</f>
        <v>POINT (-73.98143 40.76278)</v>
      </c>
    </row>
    <row r="126" ht="22.5" customHeight="1">
      <c r="A126" s="7" t="str">
        <f>IFERROR(__xludf.DUMMYFUNCTION("""COMPUTED_VALUE"""),"Lexington Av/53 St")</f>
        <v>Lexington Av/53 St</v>
      </c>
      <c r="B126" s="8" t="str">
        <f>IFERROR(__xludf.DUMMYFUNCTION("""COMPUTED_VALUE"""),"")</f>
        <v/>
      </c>
      <c r="C126" s="8" t="str">
        <f>IFERROR(__xludf.DUMMYFUNCTION("""COMPUTED_VALUE"""),"")</f>
        <v/>
      </c>
      <c r="D126" s="8" t="str">
        <f>IFERROR(__xludf.DUMMYFUNCTION("""COMPUTED_VALUE"""),"")</f>
        <v/>
      </c>
      <c r="E126" s="33" t="str">
        <f>IFERROR(__xludf.DUMMYFUNCTION("""COMPUTED_VALUE"""),"")</f>
        <v/>
      </c>
      <c r="F126" s="10" t="str">
        <f>IFERROR(__xludf.DUMMYFUNCTION("""COMPUTED_VALUE"""),"")</f>
        <v/>
      </c>
      <c r="G126" s="19" t="str">
        <f>IFERROR(__xludf.DUMMYFUNCTION("""COMPUTED_VALUE"""),"")</f>
        <v/>
      </c>
      <c r="H126" s="10" t="str">
        <f>IFERROR(__xludf.DUMMYFUNCTION("""COMPUTED_VALUE"""),"↗️")</f>
        <v>↗️</v>
      </c>
      <c r="I126" s="13">
        <f>IFERROR(__xludf.DUMMYFUNCTION("""COMPUTED_VALUE"""),23643.0)</f>
        <v>23643</v>
      </c>
      <c r="J126" s="32">
        <f>IFERROR(__xludf.DUMMYFUNCTION("""COMPUTED_VALUE"""),45239.0)</f>
        <v>45239</v>
      </c>
      <c r="K126" s="8">
        <f>IFERROR(__xludf.DUMMYFUNCTION("""COMPUTED_VALUE"""),22.0)</f>
        <v>22</v>
      </c>
      <c r="L126" s="15" t="str">
        <f>IFERROR(__xludf.DUMMYFUNCTION("""COMPUTED_VALUE"""),"YES")</f>
        <v>YES</v>
      </c>
      <c r="M126" s="15" t="str">
        <f>IFERROR(__xludf.DUMMYFUNCTION("""COMPUTED_VALUE"""),"NYCT")</f>
        <v>NYCT</v>
      </c>
      <c r="N126" s="15" t="str">
        <f>IFERROR(__xludf.DUMMYFUNCTION("""COMPUTED_VALUE"""),"OK")</f>
        <v>OK</v>
      </c>
      <c r="O126" s="15" t="str">
        <f>IFERROR(__xludf.DUMMYFUNCTION("""COMPUTED_VALUE"""),"YES")</f>
        <v>YES</v>
      </c>
      <c r="P126" s="15" t="str">
        <f>IFERROR(__xludf.DUMMYFUNCTION("""COMPUTED_VALUE"""),"NO")</f>
        <v>NO</v>
      </c>
      <c r="Q126" s="15" t="str">
        <f>IFERROR(__xludf.DUMMYFUNCTION("""COMPUTED_VALUE"""),"NO")</f>
        <v>NO</v>
      </c>
      <c r="R126" s="15" t="str">
        <f>IFERROR(__xludf.DUMMYFUNCTION("""COMPUTED_VALUE"""),"53'")</f>
        <v>53'</v>
      </c>
      <c r="S126" s="15">
        <f>IFERROR(__xludf.DUMMYFUNCTION("""COMPUTED_VALUE"""),185.0)</f>
        <v>185</v>
      </c>
      <c r="T126" s="15">
        <f>IFERROR(__xludf.DUMMYFUNCTION("""COMPUTED_VALUE"""),40.0)</f>
        <v>40</v>
      </c>
      <c r="U126" s="15" t="str">
        <f>IFERROR(__xludf.DUMMYFUNCTION("""COMPUTED_VALUE"""),"Mezzanine (53 St &amp; 3 Av) to E/F platform for service in both directions.")</f>
        <v>Mezzanine (53 St &amp; 3 Av) to E/F platform for service in both directions.</v>
      </c>
      <c r="V126" s="15" t="str">
        <f>IFERROR(__xludf.DUMMYFUNCTION("""COMPUTED_VALUE"""),"POINT (-73.969 40.757515)")</f>
        <v>POINT (-73.969 40.757515)</v>
      </c>
    </row>
    <row r="127" ht="22.5" customHeight="1">
      <c r="A127" s="7" t="str">
        <f>IFERROR(__xludf.DUMMYFUNCTION("""COMPUTED_VALUE"""),"Grand Central-42 St")</f>
        <v>Grand Central-42 St</v>
      </c>
      <c r="B127" s="8" t="str">
        <f>IFERROR(__xludf.DUMMYFUNCTION("""COMPUTED_VALUE"""),"42nd St Line")</f>
        <v>42nd St Line</v>
      </c>
      <c r="C127" s="8" t="str">
        <f>IFERROR(__xludf.DUMMYFUNCTION("""COMPUTED_VALUE"""),"Manhattan")</f>
        <v>Manhattan</v>
      </c>
      <c r="D127" s="8" t="str">
        <f>IFERROR(__xludf.DUMMYFUNCTION("""COMPUTED_VALUE"""),"Midtown")</f>
        <v>Midtown</v>
      </c>
      <c r="E127" s="33">
        <f>IFERROR(__xludf.DUMMYFUNCTION("""COMPUTED_VALUE"""),1762.0)</f>
        <v>1762</v>
      </c>
      <c r="F127" s="8">
        <f>IFERROR(__xludf.DUMMYFUNCTION("""COMPUTED_VALUE"""),3.3496874E7)</f>
        <v>33496874</v>
      </c>
      <c r="G127" s="19">
        <f>IFERROR(__xludf.DUMMYFUNCTION("""COMPUTED_VALUE"""),2.0)</f>
        <v>2</v>
      </c>
      <c r="H127" s="10" t="str">
        <f>IFERROR(__xludf.DUMMYFUNCTION("""COMPUTED_VALUE"""),"↗️")</f>
        <v>↗️</v>
      </c>
      <c r="I127" s="13">
        <f>IFERROR(__xludf.DUMMYFUNCTION("""COMPUTED_VALUE"""),5652.0)</f>
        <v>5652</v>
      </c>
      <c r="J127" s="32">
        <f>IFERROR(__xludf.DUMMYFUNCTION("""COMPUTED_VALUE"""),45164.0)</f>
        <v>45164</v>
      </c>
      <c r="K127" s="8">
        <f>IFERROR(__xludf.DUMMYFUNCTION("""COMPUTED_VALUE"""),22.0)</f>
        <v>22</v>
      </c>
      <c r="L127" s="15" t="str">
        <f>IFERROR(__xludf.DUMMYFUNCTION("""COMPUTED_VALUE"""),"YES")</f>
        <v>YES</v>
      </c>
      <c r="M127" s="15" t="str">
        <f>IFERROR(__xludf.DUMMYFUNCTION("""COMPUTED_VALUE"""),"NYCT")</f>
        <v>NYCT</v>
      </c>
      <c r="N127" s="15" t="str">
        <f>IFERROR(__xludf.DUMMYFUNCTION("""COMPUTED_VALUE"""),"KONE")</f>
        <v>KONE</v>
      </c>
      <c r="O127" s="15" t="str">
        <f>IFERROR(__xludf.DUMMYFUNCTION("""COMPUTED_VALUE"""),"YES")</f>
        <v>YES</v>
      </c>
      <c r="P127" s="15" t="str">
        <f>IFERROR(__xludf.DUMMYFUNCTION("""COMPUTED_VALUE"""),"YES")</f>
        <v>YES</v>
      </c>
      <c r="Q127" s="15" t="str">
        <f>IFERROR(__xludf.DUMMYFUNCTION("""COMPUTED_VALUE"""),"NO")</f>
        <v>NO</v>
      </c>
      <c r="R127" s="15" t="str">
        <f>IFERROR(__xludf.DUMMYFUNCTION("""COMPUTED_VALUE"""),"50'")</f>
        <v>50'</v>
      </c>
      <c r="S127" s="15">
        <f>IFERROR(__xludf.DUMMYFUNCTION("""COMPUTED_VALUE"""),178.0)</f>
        <v>178</v>
      </c>
      <c r="T127" s="15">
        <f>IFERROR(__xludf.DUMMYFUNCTION("""COMPUTED_VALUE"""),800.0)</f>
        <v>800</v>
      </c>
      <c r="U127" s="15" t="str">
        <f>IFERROR(__xludf.DUMMYFUNCTION("""COMPUTED_VALUE"""),"eastern mezzanine above 7 platform to 42 St (between Lexington Ave &amp; 3rd Ave)")</f>
        <v>eastern mezzanine above 7 platform to 42 St (between Lexington Ave &amp; 3rd Ave)</v>
      </c>
      <c r="V127" s="15" t="str">
        <f>IFERROR(__xludf.DUMMYFUNCTION("""COMPUTED_VALUE"""),"POINT (-73.975105 40.75083)")</f>
        <v>POINT (-73.975105 40.75083)</v>
      </c>
    </row>
    <row r="128" ht="22.5" customHeight="1">
      <c r="A128" s="7" t="str">
        <f>IFERROR(__xludf.DUMMYFUNCTION("""COMPUTED_VALUE"""),"96 St")</f>
        <v>96 St</v>
      </c>
      <c r="B128" s="8" t="str">
        <f>IFERROR(__xludf.DUMMYFUNCTION("""COMPUTED_VALUE"""),"Broadway-7 Av Line")</f>
        <v>Broadway-7 Av Line</v>
      </c>
      <c r="C128" s="8" t="str">
        <f>IFERROR(__xludf.DUMMYFUNCTION("""COMPUTED_VALUE"""),"Manhattan")</f>
        <v>Manhattan</v>
      </c>
      <c r="D128" s="8" t="str">
        <f>IFERROR(__xludf.DUMMYFUNCTION("""COMPUTED_VALUE"""),"Upper West Side")</f>
        <v>Upper West Side</v>
      </c>
      <c r="E128" s="33">
        <f>IFERROR(__xludf.DUMMYFUNCTION("""COMPUTED_VALUE"""),1762.0)</f>
        <v>1762</v>
      </c>
      <c r="F128" s="8">
        <f>IFERROR(__xludf.DUMMYFUNCTION("""COMPUTED_VALUE"""),8250940.0)</f>
        <v>8250940</v>
      </c>
      <c r="G128" s="17">
        <f>IFERROR(__xludf.DUMMYFUNCTION("""COMPUTED_VALUE"""),26.0)</f>
        <v>26</v>
      </c>
      <c r="H128" s="31" t="str">
        <f>IFERROR(__xludf.DUMMYFUNCTION("""COMPUTED_VALUE"""),"↗️")</f>
        <v>↗️</v>
      </c>
      <c r="I128" s="13">
        <f>IFERROR(__xludf.DUMMYFUNCTION("""COMPUTED_VALUE"""),42736.0)</f>
        <v>42736</v>
      </c>
      <c r="J128" s="32">
        <f>IFERROR(__xludf.DUMMYFUNCTION("""COMPUTED_VALUE"""),42736.0)</f>
        <v>42736</v>
      </c>
      <c r="K128" s="8">
        <f>IFERROR(__xludf.DUMMYFUNCTION("""COMPUTED_VALUE"""),22.0)</f>
        <v>22</v>
      </c>
      <c r="L128" s="15" t="str">
        <f>IFERROR(__xludf.DUMMYFUNCTION("""COMPUTED_VALUE"""),"YES")</f>
        <v>YES</v>
      </c>
      <c r="M128" s="15" t="str">
        <f>IFERROR(__xludf.DUMMYFUNCTION("""COMPUTED_VALUE"""),"NYCT")</f>
        <v>NYCT</v>
      </c>
      <c r="N128" s="15" t="str">
        <f>IFERROR(__xludf.DUMMYFUNCTION("""COMPUTED_VALUE"""),"KONE")</f>
        <v>KONE</v>
      </c>
      <c r="O128" s="15" t="str">
        <f>IFERROR(__xludf.DUMMYFUNCTION("""COMPUTED_VALUE"""),"YES")</f>
        <v>YES</v>
      </c>
      <c r="P128" s="15" t="str">
        <f>IFERROR(__xludf.DUMMYFUNCTION("""COMPUTED_VALUE"""),"YES")</f>
        <v>YES</v>
      </c>
      <c r="Q128" s="15" t="str">
        <f>IFERROR(__xludf.DUMMYFUNCTION("""COMPUTED_VALUE"""),"YES")</f>
        <v>YES</v>
      </c>
      <c r="R128" s="15" t="str">
        <f>IFERROR(__xludf.DUMMYFUNCTION("""COMPUTED_VALUE"""),"8,519mm (27' 11 3/8in)")</f>
        <v>8,519mm (27' 11 3/8in)</v>
      </c>
      <c r="S128" s="15">
        <f>IFERROR(__xludf.DUMMYFUNCTION("""COMPUTED_VALUE"""),111.0)</f>
        <v>111</v>
      </c>
      <c r="T128" s="15" t="str">
        <f>IFERROR(__xludf.DUMMYFUNCTION("""COMPUTED_VALUE"""),"1000 mm (39 3/8in)")</f>
        <v>1000 mm (39 3/8in)</v>
      </c>
      <c r="U128" s="15" t="str">
        <f>IFERROR(__xludf.DUMMYFUNCTION("""COMPUTED_VALUE"""),"94 St &amp; 2nd Ave (NE corner) to mezzanine")</f>
        <v>94 St &amp; 2nd Ave (NE corner) to mezzanine</v>
      </c>
      <c r="V128" s="15" t="str">
        <f>IFERROR(__xludf.DUMMYFUNCTION("""COMPUTED_VALUE"""),"POINT (-73.94779 40.782986)")</f>
        <v>POINT (-73.94779 40.782986)</v>
      </c>
    </row>
    <row r="129" ht="22.5" customHeight="1">
      <c r="A129" s="7" t="str">
        <f>IFERROR(__xludf.DUMMYFUNCTION("""COMPUTED_VALUE"""),"Bowling Green")</f>
        <v>Bowling Green</v>
      </c>
      <c r="B129" s="8" t="str">
        <f>IFERROR(__xludf.DUMMYFUNCTION("""COMPUTED_VALUE"""),"Lexington Av Line")</f>
        <v>Lexington Av Line</v>
      </c>
      <c r="C129" s="8" t="str">
        <f>IFERROR(__xludf.DUMMYFUNCTION("""COMPUTED_VALUE"""),"Manhattan")</f>
        <v>Manhattan</v>
      </c>
      <c r="D129" s="8" t="str">
        <f>IFERROR(__xludf.DUMMYFUNCTION("""COMPUTED_VALUE"""),"Financial District")</f>
        <v>Financial District</v>
      </c>
      <c r="E129" s="33">
        <f>IFERROR(__xludf.DUMMYFUNCTION("""COMPUTED_VALUE"""),2018.0)</f>
        <v>2018</v>
      </c>
      <c r="F129" s="10">
        <f>IFERROR(__xludf.DUMMYFUNCTION("""COMPUTED_VALUE"""),4676646.0)</f>
        <v>4676646</v>
      </c>
      <c r="G129" s="19">
        <f>IFERROR(__xludf.DUMMYFUNCTION("""COMPUTED_VALUE"""),62.0)</f>
        <v>62</v>
      </c>
      <c r="H129" s="10" t="str">
        <f>IFERROR(__xludf.DUMMYFUNCTION("""COMPUTED_VALUE"""),"↗️")</f>
        <v>↗️</v>
      </c>
      <c r="I129" s="13">
        <f>IFERROR(__xludf.DUMMYFUNCTION("""COMPUTED_VALUE"""),28216.0)</f>
        <v>28216</v>
      </c>
      <c r="J129" s="32">
        <f>IFERROR(__xludf.DUMMYFUNCTION("""COMPUTED_VALUE"""),38430.0)</f>
        <v>38430</v>
      </c>
      <c r="K129" s="8">
        <f>IFERROR(__xludf.DUMMYFUNCTION("""COMPUTED_VALUE"""),22.0)</f>
        <v>22</v>
      </c>
      <c r="L129" s="15" t="str">
        <f>IFERROR(__xludf.DUMMYFUNCTION("""COMPUTED_VALUE"""),"YES")</f>
        <v>YES</v>
      </c>
      <c r="M129" s="15" t="str">
        <f>IFERROR(__xludf.DUMMYFUNCTION("""COMPUTED_VALUE"""),"NYCT")</f>
        <v>NYCT</v>
      </c>
      <c r="N129" s="15" t="str">
        <f>IFERROR(__xludf.DUMMYFUNCTION("""COMPUTED_VALUE"""),"FUJITEC")</f>
        <v>FUJITEC</v>
      </c>
      <c r="O129" s="15" t="str">
        <f>IFERROR(__xludf.DUMMYFUNCTION("""COMPUTED_VALUE"""),"YES")</f>
        <v>YES</v>
      </c>
      <c r="P129" s="15" t="str">
        <f>IFERROR(__xludf.DUMMYFUNCTION("""COMPUTED_VALUE"""),"NO")</f>
        <v>NO</v>
      </c>
      <c r="Q129" s="15" t="str">
        <f>IFERROR(__xludf.DUMMYFUNCTION("""COMPUTED_VALUE"""),"NO")</f>
        <v>NO</v>
      </c>
      <c r="R129" s="15" t="str">
        <f>IFERROR(__xludf.DUMMYFUNCTION("""COMPUTED_VALUE"""),"23'")</f>
        <v>23'</v>
      </c>
      <c r="S129" s="15">
        <f>IFERROR(__xludf.DUMMYFUNCTION("""COMPUTED_VALUE"""),90.0)</f>
        <v>90</v>
      </c>
      <c r="T129" s="15">
        <f>IFERROR(__xludf.DUMMYFUNCTION("""COMPUTED_VALUE"""),40.0)</f>
        <v>40</v>
      </c>
      <c r="U129" s="15" t="str">
        <f>IFERROR(__xludf.DUMMYFUNCTION("""COMPUTED_VALUE"""),"lower mezzanine to downtown 4/5 platform")</f>
        <v>lower mezzanine to downtown 4/5 platform</v>
      </c>
      <c r="V129" s="15" t="str">
        <f>IFERROR(__xludf.DUMMYFUNCTION("""COMPUTED_VALUE"""),"POINT (-74.01393 40.704952)")</f>
        <v>POINT (-74.01393 40.704952)</v>
      </c>
    </row>
    <row r="130" ht="22.5" customHeight="1">
      <c r="A130" s="7" t="str">
        <f>IFERROR(__xludf.DUMMYFUNCTION("""COMPUTED_VALUE"""),"34 St-Hudson Yards")</f>
        <v>34 St-Hudson Yards</v>
      </c>
      <c r="B130" s="8" t="str">
        <f>IFERROR(__xludf.DUMMYFUNCTION("""COMPUTED_VALUE"""),"Flushing Line")</f>
        <v>Flushing Line</v>
      </c>
      <c r="C130" s="8" t="str">
        <f>IFERROR(__xludf.DUMMYFUNCTION("""COMPUTED_VALUE"""),"Manhattan")</f>
        <v>Manhattan</v>
      </c>
      <c r="D130" s="8" t="str">
        <f>IFERROR(__xludf.DUMMYFUNCTION("""COMPUTED_VALUE"""),"Hell's Kitchen")</f>
        <v>Hell's Kitchen</v>
      </c>
      <c r="E130" s="33">
        <f>IFERROR(__xludf.DUMMYFUNCTION("""COMPUTED_VALUE"""),42260.0)</f>
        <v>42260</v>
      </c>
      <c r="F130" s="10">
        <f>IFERROR(__xludf.DUMMYFUNCTION("""COMPUTED_VALUE"""),6082370.0)</f>
        <v>6082370</v>
      </c>
      <c r="G130" s="19">
        <f>IFERROR(__xludf.DUMMYFUNCTION("""COMPUTED_VALUE"""),39.0)</f>
        <v>39</v>
      </c>
      <c r="H130" s="10" t="str">
        <f>IFERROR(__xludf.DUMMYFUNCTION("""COMPUTED_VALUE"""),"↗️")</f>
        <v>↗️</v>
      </c>
      <c r="I130" s="13">
        <f>IFERROR(__xludf.DUMMYFUNCTION("""COMPUTED_VALUE"""),42260.0)</f>
        <v>42260</v>
      </c>
      <c r="J130" s="32">
        <f>IFERROR(__xludf.DUMMYFUNCTION("""COMPUTED_VALUE"""),42260.0)</f>
        <v>42260</v>
      </c>
      <c r="K130" s="8">
        <f>IFERROR(__xludf.DUMMYFUNCTION("""COMPUTED_VALUE"""),22.0)</f>
        <v>22</v>
      </c>
      <c r="L130" s="15" t="str">
        <f>IFERROR(__xludf.DUMMYFUNCTION("""COMPUTED_VALUE"""),"YES")</f>
        <v>YES</v>
      </c>
      <c r="M130" s="15" t="str">
        <f>IFERROR(__xludf.DUMMYFUNCTION("""COMPUTED_VALUE"""),"NYCT")</f>
        <v>NYCT</v>
      </c>
      <c r="N130" s="15" t="str">
        <f>IFERROR(__xludf.DUMMYFUNCTION("""COMPUTED_VALUE"""),"KONE")</f>
        <v>KONE</v>
      </c>
      <c r="O130" s="15" t="str">
        <f>IFERROR(__xludf.DUMMYFUNCTION("""COMPUTED_VALUE"""),"YES")</f>
        <v>YES</v>
      </c>
      <c r="P130" s="15" t="str">
        <f>IFERROR(__xludf.DUMMYFUNCTION("""COMPUTED_VALUE"""),"NO")</f>
        <v>NO</v>
      </c>
      <c r="Q130" s="15" t="str">
        <f>IFERROR(__xludf.DUMMYFUNCTION("""COMPUTED_VALUE"""),"NO")</f>
        <v>NO</v>
      </c>
      <c r="R130" s="15" t="str">
        <f>IFERROR(__xludf.DUMMYFUNCTION("""COMPUTED_VALUE"""),"24,892 mm (81' 8in)")</f>
        <v>24,892 mm (81' 8in)</v>
      </c>
      <c r="S130" s="15">
        <f>IFERROR(__xludf.DUMMYFUNCTION("""COMPUTED_VALUE"""),283.0)</f>
        <v>283</v>
      </c>
      <c r="T130" s="15" t="str">
        <f>IFERROR(__xludf.DUMMYFUNCTION("""COMPUTED_VALUE"""),"1000 mm (40in)")</f>
        <v>1000 mm (40in)</v>
      </c>
      <c r="U130" s="15" t="str">
        <f>IFERROR(__xludf.DUMMYFUNCTION("""COMPUTED_VALUE"""),"lower mezzanine to upper mezzanine for Hudson Blvd E exit (between 33 St &amp; 34 St)")</f>
        <v>lower mezzanine to upper mezzanine for Hudson Blvd E exit (between 33 St &amp; 34 St)</v>
      </c>
      <c r="V130" s="15" t="str">
        <f>IFERROR(__xludf.DUMMYFUNCTION("""COMPUTED_VALUE"""),"POINT (-74.001785 40.755375)")</f>
        <v>POINT (-74.001785 40.755375)</v>
      </c>
    </row>
    <row r="131" ht="22.5" customHeight="1">
      <c r="A131" s="7" t="str">
        <f>IFERROR(__xludf.DUMMYFUNCTION("""COMPUTED_VALUE"""),"Howard Beach-JFK Airport")</f>
        <v>Howard Beach-JFK Airport</v>
      </c>
      <c r="B131" s="8" t="str">
        <f>IFERROR(__xludf.DUMMYFUNCTION("""COMPUTED_VALUE"""),"Rockaway Line")</f>
        <v>Rockaway Line</v>
      </c>
      <c r="C131" s="8" t="str">
        <f>IFERROR(__xludf.DUMMYFUNCTION("""COMPUTED_VALUE"""),"Queens")</f>
        <v>Queens</v>
      </c>
      <c r="D131" s="8" t="str">
        <f>IFERROR(__xludf.DUMMYFUNCTION("""COMPUTED_VALUE"""),"Howard Beach")</f>
        <v>Howard Beach</v>
      </c>
      <c r="E131" s="33">
        <f>IFERROR(__xludf.DUMMYFUNCTION("""COMPUTED_VALUE"""),20634.0)</f>
        <v>20634</v>
      </c>
      <c r="F131" s="8">
        <f>IFERROR(__xludf.DUMMYFUNCTION("""COMPUTED_VALUE"""),975786.0)</f>
        <v>975786</v>
      </c>
      <c r="G131" s="17">
        <f>IFERROR(__xludf.DUMMYFUNCTION("""COMPUTED_VALUE"""),297.0)</f>
        <v>297</v>
      </c>
      <c r="H131" s="10" t="str">
        <f>IFERROR(__xludf.DUMMYFUNCTION("""COMPUTED_VALUE"""),"↗️")</f>
        <v>↗️</v>
      </c>
      <c r="I131" s="13"/>
      <c r="J131" s="32">
        <f>IFERROR(__xludf.DUMMYFUNCTION("""COMPUTED_VALUE"""),41086.0)</f>
        <v>41086</v>
      </c>
      <c r="K131" s="8">
        <f>IFERROR(__xludf.DUMMYFUNCTION("""COMPUTED_VALUE"""),22.0)</f>
        <v>22</v>
      </c>
      <c r="L131" s="15" t="str">
        <f>IFERROR(__xludf.DUMMYFUNCTION("""COMPUTED_VALUE"""),"NO")</f>
        <v>NO</v>
      </c>
      <c r="M131" s="15" t="str">
        <f>IFERROR(__xludf.DUMMYFUNCTION("""COMPUTED_VALUE"""),"Private Contractor")</f>
        <v>Private Contractor</v>
      </c>
      <c r="N131" s="15" t="str">
        <f>IFERROR(__xludf.DUMMYFUNCTION("""COMPUTED_VALUE"""),"KONE")</f>
        <v>KONE</v>
      </c>
      <c r="O131" s="15" t="str">
        <f>IFERROR(__xludf.DUMMYFUNCTION("""COMPUTED_VALUE"""),"YES")</f>
        <v>YES</v>
      </c>
      <c r="P131" s="15" t="str">
        <f>IFERROR(__xludf.DUMMYFUNCTION("""COMPUTED_VALUE"""),"NO")</f>
        <v>NO</v>
      </c>
      <c r="Q131" s="15" t="str">
        <f>IFERROR(__xludf.DUMMYFUNCTION("""COMPUTED_VALUE"""),"NO")</f>
        <v>NO</v>
      </c>
      <c r="R131" s="15"/>
      <c r="S131" s="15"/>
      <c r="T131" s="15"/>
      <c r="U131" s="15" t="str">
        <f>IFERROR(__xludf.DUMMYFUNCTION("""COMPUTED_VALUE"""),"Far Rockaway-bound intermediate mezzanine to upper mezzanine for street and AirTrain station")</f>
        <v>Far Rockaway-bound intermediate mezzanine to upper mezzanine for street and AirTrain station</v>
      </c>
      <c r="V131" s="15" t="str">
        <f>IFERROR(__xludf.DUMMYFUNCTION("""COMPUTED_VALUE"""),"POINT (-73.830444 40.660328)")</f>
        <v>POINT (-73.830444 40.660328)</v>
      </c>
    </row>
    <row r="132" ht="22.5" customHeight="1">
      <c r="A132" s="7" t="str">
        <f>IFERROR(__xludf.DUMMYFUNCTION("""COMPUTED_VALUE"""),"Grand Central-42 St")</f>
        <v>Grand Central-42 St</v>
      </c>
      <c r="B132" s="8" t="str">
        <f>IFERROR(__xludf.DUMMYFUNCTION("""COMPUTED_VALUE"""),"42nd St Line")</f>
        <v>42nd St Line</v>
      </c>
      <c r="C132" s="8" t="str">
        <f>IFERROR(__xludf.DUMMYFUNCTION("""COMPUTED_VALUE"""),"Manhattan")</f>
        <v>Manhattan</v>
      </c>
      <c r="D132" s="8" t="str">
        <f>IFERROR(__xludf.DUMMYFUNCTION("""COMPUTED_VALUE"""),"Midtown")</f>
        <v>Midtown</v>
      </c>
      <c r="E132" s="33">
        <f>IFERROR(__xludf.DUMMYFUNCTION("""COMPUTED_VALUE"""),1762.0)</f>
        <v>1762</v>
      </c>
      <c r="F132" s="8">
        <f>IFERROR(__xludf.DUMMYFUNCTION("""COMPUTED_VALUE"""),3.3496874E7)</f>
        <v>33496874</v>
      </c>
      <c r="G132" s="17">
        <f>IFERROR(__xludf.DUMMYFUNCTION("""COMPUTED_VALUE"""),2.0)</f>
        <v>2</v>
      </c>
      <c r="H132" s="10" t="str">
        <f>IFERROR(__xludf.DUMMYFUNCTION("""COMPUTED_VALUE"""),"↗️")</f>
        <v>↗️</v>
      </c>
      <c r="I132" s="13">
        <f>IFERROR(__xludf.DUMMYFUNCTION("""COMPUTED_VALUE"""),23908.0)</f>
        <v>23908</v>
      </c>
      <c r="J132" s="32">
        <f>IFERROR(__xludf.DUMMYFUNCTION("""COMPUTED_VALUE"""),45944.0)</f>
        <v>45944</v>
      </c>
      <c r="K132" s="8">
        <f>IFERROR(__xludf.DUMMYFUNCTION("""COMPUTED_VALUE"""),22.0)</f>
        <v>22</v>
      </c>
      <c r="L132" s="15" t="str">
        <f>IFERROR(__xludf.DUMMYFUNCTION("""COMPUTED_VALUE"""),"YES")</f>
        <v>YES</v>
      </c>
      <c r="M132" s="15" t="str">
        <f>IFERROR(__xludf.DUMMYFUNCTION("""COMPUTED_VALUE"""),"NYCT")</f>
        <v>NYCT</v>
      </c>
      <c r="N132" s="15" t="str">
        <f>IFERROR(__xludf.DUMMYFUNCTION("""COMPUTED_VALUE"""),"KONE")</f>
        <v>KONE</v>
      </c>
      <c r="O132" s="15" t="str">
        <f>IFERROR(__xludf.DUMMYFUNCTION("""COMPUTED_VALUE"""),"YES")</f>
        <v>YES</v>
      </c>
      <c r="P132" s="15" t="str">
        <f>IFERROR(__xludf.DUMMYFUNCTION("""COMPUTED_VALUE"""),"NO")</f>
        <v>NO</v>
      </c>
      <c r="Q132" s="15" t="str">
        <f>IFERROR(__xludf.DUMMYFUNCTION("""COMPUTED_VALUE"""),"NO")</f>
        <v>NO</v>
      </c>
      <c r="R132" s="15" t="str">
        <f>IFERROR(__xludf.DUMMYFUNCTION("""COMPUTED_VALUE"""),"19' - 7 7/8in")</f>
        <v>19' - 7 7/8in</v>
      </c>
      <c r="S132" s="15">
        <f>IFERROR(__xludf.DUMMYFUNCTION("""COMPUTED_VALUE"""),81.0)</f>
        <v>81</v>
      </c>
      <c r="T132" s="15">
        <f>IFERROR(__xludf.DUMMYFUNCTION("""COMPUTED_VALUE"""),40.0)</f>
        <v>40</v>
      </c>
      <c r="U132" s="15" t="str">
        <f>IFERROR(__xludf.DUMMYFUNCTION("""COMPUTED_VALUE"""),"western mezzanine above 7 platform to main mezzanine for access to street and 4/5/6/S service")</f>
        <v>western mezzanine above 7 platform to main mezzanine for access to street and 4/5/6/S service</v>
      </c>
      <c r="V132" s="15" t="str">
        <f>IFERROR(__xludf.DUMMYFUNCTION("""COMPUTED_VALUE"""),"POINT (-73.977104 40.751904)")</f>
        <v>POINT (-73.977104 40.751904)</v>
      </c>
    </row>
    <row r="133" ht="22.5" customHeight="1">
      <c r="A133" s="7" t="str">
        <f>IFERROR(__xludf.DUMMYFUNCTION("""COMPUTED_VALUE"""),"Jay St-Metro Tech")</f>
        <v>Jay St-Metro Tech</v>
      </c>
      <c r="B133" s="8" t="str">
        <f>IFERROR(__xludf.DUMMYFUNCTION("""COMPUTED_VALUE"""),"")</f>
        <v/>
      </c>
      <c r="C133" s="8" t="str">
        <f>IFERROR(__xludf.DUMMYFUNCTION("""COMPUTED_VALUE"""),"")</f>
        <v/>
      </c>
      <c r="D133" s="8" t="str">
        <f>IFERROR(__xludf.DUMMYFUNCTION("""COMPUTED_VALUE"""),"")</f>
        <v/>
      </c>
      <c r="E133" s="33" t="str">
        <f>IFERROR(__xludf.DUMMYFUNCTION("""COMPUTED_VALUE"""),"")</f>
        <v/>
      </c>
      <c r="F133" s="10" t="str">
        <f>IFERROR(__xludf.DUMMYFUNCTION("""COMPUTED_VALUE"""),"")</f>
        <v/>
      </c>
      <c r="G133" s="19" t="str">
        <f>IFERROR(__xludf.DUMMYFUNCTION("""COMPUTED_VALUE"""),"")</f>
        <v/>
      </c>
      <c r="H133" s="10" t="str">
        <f>IFERROR(__xludf.DUMMYFUNCTION("""COMPUTED_VALUE"""),"↗️")</f>
        <v>↗️</v>
      </c>
      <c r="I133" s="13">
        <f>IFERROR(__xludf.DUMMYFUNCTION("""COMPUTED_VALUE"""),21306.0)</f>
        <v>21306</v>
      </c>
      <c r="J133" s="32">
        <f>IFERROR(__xludf.DUMMYFUNCTION("""COMPUTED_VALUE"""),44062.0)</f>
        <v>44062</v>
      </c>
      <c r="K133" s="8">
        <f>IFERROR(__xludf.DUMMYFUNCTION("""COMPUTED_VALUE"""),22.0)</f>
        <v>22</v>
      </c>
      <c r="L133" s="15" t="str">
        <f>IFERROR(__xludf.DUMMYFUNCTION("""COMPUTED_VALUE"""),"YES")</f>
        <v>YES</v>
      </c>
      <c r="M133" s="15" t="str">
        <f>IFERROR(__xludf.DUMMYFUNCTION("""COMPUTED_VALUE"""),"NYCT")</f>
        <v>NYCT</v>
      </c>
      <c r="N133" s="15" t="str">
        <f>IFERROR(__xludf.DUMMYFUNCTION("""COMPUTED_VALUE"""),"OK")</f>
        <v>OK</v>
      </c>
      <c r="O133" s="15" t="str">
        <f>IFERROR(__xludf.DUMMYFUNCTION("""COMPUTED_VALUE"""),"YES")</f>
        <v>YES</v>
      </c>
      <c r="P133" s="15" t="str">
        <f>IFERROR(__xludf.DUMMYFUNCTION("""COMPUTED_VALUE"""),"YES")</f>
        <v>YES</v>
      </c>
      <c r="Q133" s="15" t="str">
        <f>IFERROR(__xludf.DUMMYFUNCTION("""COMPUTED_VALUE"""),"YES")</f>
        <v>YES</v>
      </c>
      <c r="R133" s="15" t="str">
        <f>IFERROR(__xludf.DUMMYFUNCTION("""COMPUTED_VALUE"""),"21'")</f>
        <v>21'</v>
      </c>
      <c r="S133" s="15">
        <f>IFERROR(__xludf.DUMMYFUNCTION("""COMPUTED_VALUE"""),80.0)</f>
        <v>80</v>
      </c>
      <c r="T133" s="15">
        <f>IFERROR(__xludf.DUMMYFUNCTION("""COMPUTED_VALUE"""),40.0)</f>
        <v>40</v>
      </c>
      <c r="U133" s="15" t="str">
        <f>IFERROR(__xludf.DUMMYFUNCTION("""COMPUTED_VALUE"""),"Jay St &amp; Willoughby St (NW corner) to mezzanine for A/C/F/R service")</f>
        <v>Jay St &amp; Willoughby St (NW corner) to mezzanine for A/C/F/R service</v>
      </c>
      <c r="V133" s="15" t="str">
        <f>IFERROR(__xludf.DUMMYFUNCTION("""COMPUTED_VALUE"""),"POINT (-73.98753 40.692535)")</f>
        <v>POINT (-73.98753 40.692535)</v>
      </c>
    </row>
    <row r="134" ht="22.5" customHeight="1">
      <c r="A134" s="7" t="str">
        <f>IFERROR(__xludf.DUMMYFUNCTION("""COMPUTED_VALUE"""),"Franklin Av")</f>
        <v>Franklin Av</v>
      </c>
      <c r="B134" s="8" t="str">
        <f>IFERROR(__xludf.DUMMYFUNCTION("""COMPUTED_VALUE"""),"Franklin Av Line")</f>
        <v>Franklin Av Line</v>
      </c>
      <c r="C134" s="8" t="str">
        <f>IFERROR(__xludf.DUMMYFUNCTION("""COMPUTED_VALUE"""),"Brooklyn")</f>
        <v>Brooklyn</v>
      </c>
      <c r="D134" s="8" t="str">
        <f>IFERROR(__xludf.DUMMYFUNCTION("""COMPUTED_VALUE"""),"Bedford-Stuyvesant")</f>
        <v>Bedford-Stuyvesant</v>
      </c>
      <c r="E134" s="33">
        <f>IFERROR(__xludf.DUMMYFUNCTION("""COMPUTED_VALUE"""),-1232.0)</f>
        <v>-1232</v>
      </c>
      <c r="F134" s="10">
        <f>IFERROR(__xludf.DUMMYFUNCTION("""COMPUTED_VALUE"""),1288429.0)</f>
        <v>1288429</v>
      </c>
      <c r="G134" s="19">
        <f>IFERROR(__xludf.DUMMYFUNCTION("""COMPUTED_VALUE"""),244.0)</f>
        <v>244</v>
      </c>
      <c r="H134" s="10" t="str">
        <f>IFERROR(__xludf.DUMMYFUNCTION("""COMPUTED_VALUE"""),"↗️")</f>
        <v>↗️</v>
      </c>
      <c r="I134" s="13">
        <f>IFERROR(__xludf.DUMMYFUNCTION("""COMPUTED_VALUE"""),36442.0)</f>
        <v>36442</v>
      </c>
      <c r="J134" s="32">
        <f>IFERROR(__xludf.DUMMYFUNCTION("""COMPUTED_VALUE"""),45996.0)</f>
        <v>45996</v>
      </c>
      <c r="K134" s="8">
        <f>IFERROR(__xludf.DUMMYFUNCTION("""COMPUTED_VALUE"""),22.0)</f>
        <v>22</v>
      </c>
      <c r="L134" s="15" t="str">
        <f>IFERROR(__xludf.DUMMYFUNCTION("""COMPUTED_VALUE"""),"YES")</f>
        <v>YES</v>
      </c>
      <c r="M134" s="15" t="str">
        <f>IFERROR(__xludf.DUMMYFUNCTION("""COMPUTED_VALUE"""),"NYCT")</f>
        <v>NYCT</v>
      </c>
      <c r="N134" s="15" t="str">
        <f>IFERROR(__xludf.DUMMYFUNCTION("""COMPUTED_VALUE"""),"KONE")</f>
        <v>KONE</v>
      </c>
      <c r="O134" s="15" t="str">
        <f>IFERROR(__xludf.DUMMYFUNCTION("""COMPUTED_VALUE"""),"YES")</f>
        <v>YES</v>
      </c>
      <c r="P134" s="15" t="str">
        <f>IFERROR(__xludf.DUMMYFUNCTION("""COMPUTED_VALUE"""),"YES")</f>
        <v>YES</v>
      </c>
      <c r="Q134" s="15" t="str">
        <f>IFERROR(__xludf.DUMMYFUNCTION("""COMPUTED_VALUE"""),"YES")</f>
        <v>YES</v>
      </c>
      <c r="R134" s="15" t="str">
        <f>IFERROR(__xludf.DUMMYFUNCTION("""COMPUTED_VALUE"""),"30'")</f>
        <v>30'</v>
      </c>
      <c r="S134" s="15">
        <f>IFERROR(__xludf.DUMMYFUNCTION("""COMPUTED_VALUE"""),110.0)</f>
        <v>110</v>
      </c>
      <c r="T134" s="15">
        <f>IFERROR(__xludf.DUMMYFUNCTION("""COMPUTED_VALUE"""),40.0)</f>
        <v>40</v>
      </c>
      <c r="U134" s="15" t="str">
        <f>IFERROR(__xludf.DUMMYFUNCTION("""COMPUTED_VALUE"""),"Fulton St &amp; Franklin Ave entrance to S platform for Prospect Park-bound service")</f>
        <v>Fulton St &amp; Franklin Ave entrance to S platform for Prospect Park-bound service</v>
      </c>
      <c r="V134" s="15" t="str">
        <f>IFERROR(__xludf.DUMMYFUNCTION("""COMPUTED_VALUE"""),"POINT (-73.95588 40.680817)")</f>
        <v>POINT (-73.95588 40.680817)</v>
      </c>
    </row>
    <row r="135" ht="22.5" customHeight="1">
      <c r="A135" s="7" t="str">
        <f>IFERROR(__xludf.DUMMYFUNCTION("""COMPUTED_VALUE"""),"Jamaica Center-Parsons/Archer")</f>
        <v>Jamaica Center-Parsons/Archer</v>
      </c>
      <c r="B135" s="8" t="str">
        <f>IFERROR(__xludf.DUMMYFUNCTION("""COMPUTED_VALUE"""),"Archer Av Line")</f>
        <v>Archer Av Line</v>
      </c>
      <c r="C135" s="8" t="str">
        <f>IFERROR(__xludf.DUMMYFUNCTION("""COMPUTED_VALUE"""),"Queens")</f>
        <v>Queens</v>
      </c>
      <c r="D135" s="8" t="str">
        <f>IFERROR(__xludf.DUMMYFUNCTION("""COMPUTED_VALUE"""),"Jamaica")</f>
        <v>Jamaica</v>
      </c>
      <c r="E135" s="33">
        <f>IFERROR(__xludf.DUMMYFUNCTION("""COMPUTED_VALUE"""),32488.0)</f>
        <v>32488</v>
      </c>
      <c r="F135" s="10">
        <f>IFERROR(__xludf.DUMMYFUNCTION("""COMPUTED_VALUE"""),6137267.0)</f>
        <v>6137267</v>
      </c>
      <c r="G135" s="19">
        <f>IFERROR(__xludf.DUMMYFUNCTION("""COMPUTED_VALUE"""),38.0)</f>
        <v>38</v>
      </c>
      <c r="H135" s="10" t="str">
        <f>IFERROR(__xludf.DUMMYFUNCTION("""COMPUTED_VALUE"""),"↗️")</f>
        <v>↗️</v>
      </c>
      <c r="I135" s="13">
        <f>IFERROR(__xludf.DUMMYFUNCTION("""COMPUTED_VALUE"""),32478.0)</f>
        <v>32478</v>
      </c>
      <c r="J135" s="32">
        <f>IFERROR(__xludf.DUMMYFUNCTION("""COMPUTED_VALUE"""),39685.0)</f>
        <v>39685</v>
      </c>
      <c r="K135" s="8">
        <f>IFERROR(__xludf.DUMMYFUNCTION("""COMPUTED_VALUE"""),22.0)</f>
        <v>22</v>
      </c>
      <c r="L135" s="15" t="str">
        <f>IFERROR(__xludf.DUMMYFUNCTION("""COMPUTED_VALUE"""),"YES")</f>
        <v>YES</v>
      </c>
      <c r="M135" s="15" t="str">
        <f>IFERROR(__xludf.DUMMYFUNCTION("""COMPUTED_VALUE"""),"NYCT")</f>
        <v>NYCT</v>
      </c>
      <c r="N135" s="15" t="str">
        <f>IFERROR(__xludf.DUMMYFUNCTION("""COMPUTED_VALUE"""),"KONE")</f>
        <v>KONE</v>
      </c>
      <c r="O135" s="15" t="str">
        <f>IFERROR(__xludf.DUMMYFUNCTION("""COMPUTED_VALUE"""),"YES")</f>
        <v>YES</v>
      </c>
      <c r="P135" s="15" t="str">
        <f>IFERROR(__xludf.DUMMYFUNCTION("""COMPUTED_VALUE"""),"YES")</f>
        <v>YES</v>
      </c>
      <c r="Q135" s="15" t="str">
        <f>IFERROR(__xludf.DUMMYFUNCTION("""COMPUTED_VALUE"""),"YES")</f>
        <v>YES</v>
      </c>
      <c r="R135" s="15" t="str">
        <f>IFERROR(__xludf.DUMMYFUNCTION("""COMPUTED_VALUE"""),"26'")</f>
        <v>26'</v>
      </c>
      <c r="S135" s="15">
        <f>IFERROR(__xludf.DUMMYFUNCTION("""COMPUTED_VALUE"""),92.0)</f>
        <v>92</v>
      </c>
      <c r="T135" s="15" t="str">
        <f>IFERROR(__xludf.DUMMYFUNCTION("""COMPUTED_VALUE"""),"24in")</f>
        <v>24in</v>
      </c>
      <c r="U135" s="15" t="str">
        <f>IFERROR(__xludf.DUMMYFUNCTION("""COMPUTED_VALUE"""),"mezzanine to Parsons Blvd &amp; Archer Ave (SW corner)")</f>
        <v>mezzanine to Parsons Blvd &amp; Archer Ave (SW corner)</v>
      </c>
      <c r="V135" s="15" t="str">
        <f>IFERROR(__xludf.DUMMYFUNCTION("""COMPUTED_VALUE"""),"POINT (-73.79991 40.702305)")</f>
        <v>POINT (-73.79991 40.702305)</v>
      </c>
    </row>
    <row r="136" ht="22.5" customHeight="1">
      <c r="A136" s="7" t="str">
        <f>IFERROR(__xludf.DUMMYFUNCTION("""COMPUTED_VALUE"""),"21 St-Queensbridge")</f>
        <v>21 St-Queensbridge</v>
      </c>
      <c r="B136" s="8" t="str">
        <f>IFERROR(__xludf.DUMMYFUNCTION("""COMPUTED_VALUE"""),"63rd St Line")</f>
        <v>63rd St Line</v>
      </c>
      <c r="C136" s="8" t="str">
        <f>IFERROR(__xludf.DUMMYFUNCTION("""COMPUTED_VALUE"""),"Queens")</f>
        <v>Queens</v>
      </c>
      <c r="D136" s="8" t="str">
        <f>IFERROR(__xludf.DUMMYFUNCTION("""COMPUTED_VALUE"""),"Long Island City")</f>
        <v>Long Island City</v>
      </c>
      <c r="E136" s="33">
        <f>IFERROR(__xludf.DUMMYFUNCTION("""COMPUTED_VALUE"""),32810.0)</f>
        <v>32810</v>
      </c>
      <c r="F136" s="10">
        <f>IFERROR(__xludf.DUMMYFUNCTION("""COMPUTED_VALUE"""),1751180.0)</f>
        <v>1751180</v>
      </c>
      <c r="G136" s="19">
        <f>IFERROR(__xludf.DUMMYFUNCTION("""COMPUTED_VALUE"""),184.0)</f>
        <v>184</v>
      </c>
      <c r="H136" s="10" t="str">
        <f>IFERROR(__xludf.DUMMYFUNCTION("""COMPUTED_VALUE"""),"↗️")</f>
        <v>↗️</v>
      </c>
      <c r="I136" s="13">
        <f>IFERROR(__xludf.DUMMYFUNCTION("""COMPUTED_VALUE"""),32782.0)</f>
        <v>32782</v>
      </c>
      <c r="J136" s="32">
        <f>IFERROR(__xludf.DUMMYFUNCTION("""COMPUTED_VALUE"""),46137.0)</f>
        <v>46137</v>
      </c>
      <c r="K136" s="8">
        <f>IFERROR(__xludf.DUMMYFUNCTION("""COMPUTED_VALUE"""),22.0)</f>
        <v>22</v>
      </c>
      <c r="L136" s="15" t="str">
        <f>IFERROR(__xludf.DUMMYFUNCTION("""COMPUTED_VALUE"""),"YES")</f>
        <v>YES</v>
      </c>
      <c r="M136" s="15" t="str">
        <f>IFERROR(__xludf.DUMMYFUNCTION("""COMPUTED_VALUE"""),"NYCT")</f>
        <v>NYCT</v>
      </c>
      <c r="N136" s="15" t="str">
        <f>IFERROR(__xludf.DUMMYFUNCTION("""COMPUTED_VALUE"""),"KONE")</f>
        <v>KONE</v>
      </c>
      <c r="O136" s="15" t="str">
        <f>IFERROR(__xludf.DUMMYFUNCTION("""COMPUTED_VALUE"""),"YES")</f>
        <v>YES</v>
      </c>
      <c r="P136" s="15" t="str">
        <f>IFERROR(__xludf.DUMMYFUNCTION("""COMPUTED_VALUE"""),"NO")</f>
        <v>NO</v>
      </c>
      <c r="Q136" s="15" t="str">
        <f>IFERROR(__xludf.DUMMYFUNCTION("""COMPUTED_VALUE"""),"NO")</f>
        <v>NO</v>
      </c>
      <c r="R136" s="15" t="str">
        <f>IFERROR(__xludf.DUMMYFUNCTION("""COMPUTED_VALUE"""),"11'")</f>
        <v>11'</v>
      </c>
      <c r="S136" s="15">
        <f>IFERROR(__xludf.DUMMYFUNCTION("""COMPUTED_VALUE"""),53.0)</f>
        <v>53</v>
      </c>
      <c r="T136" s="15" t="str">
        <f>IFERROR(__xludf.DUMMYFUNCTION("""COMPUTED_VALUE"""),"40in")</f>
        <v>40in</v>
      </c>
      <c r="U136" s="15" t="str">
        <f>IFERROR(__xludf.DUMMYFUNCTION("""COMPUTED_VALUE"""),"Manhattan-bound platform to mezzanine")</f>
        <v>Manhattan-bound platform to mezzanine</v>
      </c>
      <c r="V136" s="15" t="str">
        <f>IFERROR(__xludf.DUMMYFUNCTION("""COMPUTED_VALUE"""),"POINT (-73.94243 40.75411)")</f>
        <v>POINT (-73.94243 40.75411)</v>
      </c>
    </row>
    <row r="137" ht="22.5" customHeight="1">
      <c r="A137" s="7" t="str">
        <f>IFERROR(__xludf.DUMMYFUNCTION("""COMPUTED_VALUE"""),"34 St-Herald Sq")</f>
        <v>34 St-Herald Sq</v>
      </c>
      <c r="B137" s="8" t="str">
        <f>IFERROR(__xludf.DUMMYFUNCTION("""COMPUTED_VALUE"""),"Broadway Line")</f>
        <v>Broadway Line</v>
      </c>
      <c r="C137" s="8" t="str">
        <f>IFERROR(__xludf.DUMMYFUNCTION("""COMPUTED_VALUE"""),"Manhattan")</f>
        <v>Manhattan</v>
      </c>
      <c r="D137" s="8" t="str">
        <f>IFERROR(__xludf.DUMMYFUNCTION("""COMPUTED_VALUE"""),"Midtown")</f>
        <v>Midtown</v>
      </c>
      <c r="E137" s="33">
        <f>IFERROR(__xludf.DUMMYFUNCTION("""COMPUTED_VALUE"""),6580.0)</f>
        <v>6580</v>
      </c>
      <c r="F137" s="10">
        <f>IFERROR(__xludf.DUMMYFUNCTION("""COMPUTED_VALUE"""),2.5012549E7)</f>
        <v>25012549</v>
      </c>
      <c r="G137" s="19">
        <f>IFERROR(__xludf.DUMMYFUNCTION("""COMPUTED_VALUE"""),3.0)</f>
        <v>3</v>
      </c>
      <c r="H137" s="10" t="str">
        <f>IFERROR(__xludf.DUMMYFUNCTION("""COMPUTED_VALUE"""),"↗️")</f>
        <v>↗️</v>
      </c>
      <c r="I137" s="13">
        <f>IFERROR(__xludf.DUMMYFUNCTION("""COMPUTED_VALUE"""),14960.0)</f>
        <v>14960</v>
      </c>
      <c r="J137" s="32">
        <f>IFERROR(__xludf.DUMMYFUNCTION("""COMPUTED_VALUE"""),39460.0)</f>
        <v>39460</v>
      </c>
      <c r="K137" s="8">
        <f>IFERROR(__xludf.DUMMYFUNCTION("""COMPUTED_VALUE"""),22.0)</f>
        <v>22</v>
      </c>
      <c r="L137" s="15" t="str">
        <f>IFERROR(__xludf.DUMMYFUNCTION("""COMPUTED_VALUE"""),"YES")</f>
        <v>YES</v>
      </c>
      <c r="M137" s="15" t="str">
        <f>IFERROR(__xludf.DUMMYFUNCTION("""COMPUTED_VALUE"""),"NYCT")</f>
        <v>NYCT</v>
      </c>
      <c r="N137" s="15" t="str">
        <f>IFERROR(__xludf.DUMMYFUNCTION("""COMPUTED_VALUE"""),"FUJITEC")</f>
        <v>FUJITEC</v>
      </c>
      <c r="O137" s="15" t="str">
        <f>IFERROR(__xludf.DUMMYFUNCTION("""COMPUTED_VALUE"""),"YES")</f>
        <v>YES</v>
      </c>
      <c r="P137" s="15" t="str">
        <f>IFERROR(__xludf.DUMMYFUNCTION("""COMPUTED_VALUE"""),"NO")</f>
        <v>NO</v>
      </c>
      <c r="Q137" s="15" t="str">
        <f>IFERROR(__xludf.DUMMYFUNCTION("""COMPUTED_VALUE"""),"NO")</f>
        <v>NO</v>
      </c>
      <c r="R137" s="15" t="str">
        <f>IFERROR(__xludf.DUMMYFUNCTION("""COMPUTED_VALUE"""),"29'")</f>
        <v>29'</v>
      </c>
      <c r="S137" s="15">
        <f>IFERROR(__xludf.DUMMYFUNCTION("""COMPUTED_VALUE"""),110.0)</f>
        <v>110</v>
      </c>
      <c r="T137" s="15">
        <f>IFERROR(__xludf.DUMMYFUNCTION("""COMPUTED_VALUE"""),600.0)</f>
        <v>600</v>
      </c>
      <c r="U137" s="15" t="str">
        <f>IFERROR(__xludf.DUMMYFUNCTION("""COMPUTED_VALUE"""),"N/Q/R/W mezzanine to uptown B/D/F/M platform")</f>
        <v>N/Q/R/W mezzanine to uptown B/D/F/M platform</v>
      </c>
      <c r="V137" s="15" t="str">
        <f>IFERROR(__xludf.DUMMYFUNCTION("""COMPUTED_VALUE"""),"POINT (-73.98755 40.750008)")</f>
        <v>POINT (-73.98755 40.750008)</v>
      </c>
    </row>
    <row r="138" ht="22.5" customHeight="1">
      <c r="A138" s="7" t="str">
        <f>IFERROR(__xludf.DUMMYFUNCTION("""COMPUTED_VALUE"""),"Smith-9 Sts")</f>
        <v>Smith-9 Sts</v>
      </c>
      <c r="B138" s="8" t="str">
        <f>IFERROR(__xludf.DUMMYFUNCTION("""COMPUTED_VALUE"""),"")</f>
        <v/>
      </c>
      <c r="C138" s="8" t="str">
        <f>IFERROR(__xludf.DUMMYFUNCTION("""COMPUTED_VALUE"""),"")</f>
        <v/>
      </c>
      <c r="D138" s="8" t="str">
        <f>IFERROR(__xludf.DUMMYFUNCTION("""COMPUTED_VALUE"""),"")</f>
        <v/>
      </c>
      <c r="E138" s="33" t="str">
        <f>IFERROR(__xludf.DUMMYFUNCTION("""COMPUTED_VALUE"""),"")</f>
        <v/>
      </c>
      <c r="F138" s="10" t="str">
        <f>IFERROR(__xludf.DUMMYFUNCTION("""COMPUTED_VALUE"""),"")</f>
        <v/>
      </c>
      <c r="G138" s="17" t="str">
        <f>IFERROR(__xludf.DUMMYFUNCTION("""COMPUTED_VALUE"""),"")</f>
        <v/>
      </c>
      <c r="H138" s="31" t="str">
        <f>IFERROR(__xludf.DUMMYFUNCTION("""COMPUTED_VALUE"""),"↗️")</f>
        <v>↗️</v>
      </c>
      <c r="I138" s="13">
        <f>IFERROR(__xludf.DUMMYFUNCTION("""COMPUTED_VALUE"""),36194.0)</f>
        <v>36194</v>
      </c>
      <c r="J138" s="32">
        <f>IFERROR(__xludf.DUMMYFUNCTION("""COMPUTED_VALUE"""),46023.0)</f>
        <v>46023</v>
      </c>
      <c r="K138" s="8">
        <f>IFERROR(__xludf.DUMMYFUNCTION("""COMPUTED_VALUE"""),22.0)</f>
        <v>22</v>
      </c>
      <c r="L138" s="15" t="str">
        <f>IFERROR(__xludf.DUMMYFUNCTION("""COMPUTED_VALUE"""),"YES")</f>
        <v>YES</v>
      </c>
      <c r="M138" s="15" t="str">
        <f>IFERROR(__xludf.DUMMYFUNCTION("""COMPUTED_VALUE"""),"NYCT")</f>
        <v>NYCT</v>
      </c>
      <c r="N138" s="15" t="str">
        <f>IFERROR(__xludf.DUMMYFUNCTION("""COMPUTED_VALUE"""),"KONE")</f>
        <v>KONE</v>
      </c>
      <c r="O138" s="15" t="str">
        <f>IFERROR(__xludf.DUMMYFUNCTION("""COMPUTED_VALUE"""),"YES")</f>
        <v>YES</v>
      </c>
      <c r="P138" s="15" t="str">
        <f>IFERROR(__xludf.DUMMYFUNCTION("""COMPUTED_VALUE"""),"YES")</f>
        <v>YES</v>
      </c>
      <c r="Q138" s="15" t="str">
        <f>IFERROR(__xludf.DUMMYFUNCTION("""COMPUTED_VALUE"""),"NO")</f>
        <v>NO</v>
      </c>
      <c r="R138" s="15" t="str">
        <f>IFERROR(__xludf.DUMMYFUNCTION("""COMPUTED_VALUE"""),"28'")</f>
        <v>28'</v>
      </c>
      <c r="S138" s="15">
        <f>IFERROR(__xludf.DUMMYFUNCTION("""COMPUTED_VALUE"""),166.0)</f>
        <v>166</v>
      </c>
      <c r="T138" s="15" t="str">
        <f>IFERROR(__xludf.DUMMYFUNCTION("""COMPUTED_VALUE"""),"32in")</f>
        <v>32in</v>
      </c>
      <c r="U138" s="15" t="str">
        <f>IFERROR(__xludf.DUMMYFUNCTION("""COMPUTED_VALUE"""),"9th St &amp; Smith St (NE corner) to intermediate mezzanine")</f>
        <v>9th St &amp; Smith St (NE corner) to intermediate mezzanine</v>
      </c>
      <c r="V138" s="15" t="str">
        <f>IFERROR(__xludf.DUMMYFUNCTION("""COMPUTED_VALUE"""),"POINT (-73.99715 40.67462)")</f>
        <v>POINT (-73.99715 40.67462)</v>
      </c>
    </row>
    <row r="139" ht="22.5" customHeight="1">
      <c r="A139" s="7" t="str">
        <f>IFERROR(__xludf.DUMMYFUNCTION("""COMPUTED_VALUE"""),"Pelham Bay Park")</f>
        <v>Pelham Bay Park</v>
      </c>
      <c r="B139" s="8" t="str">
        <f>IFERROR(__xludf.DUMMYFUNCTION("""COMPUTED_VALUE"""),"Pelham Line")</f>
        <v>Pelham Line</v>
      </c>
      <c r="C139" s="8" t="str">
        <f>IFERROR(__xludf.DUMMYFUNCTION("""COMPUTED_VALUE"""),"The Bronx")</f>
        <v>The Bronx</v>
      </c>
      <c r="D139" s="8" t="str">
        <f>IFERROR(__xludf.DUMMYFUNCTION("""COMPUTED_VALUE"""),"Pelham Bay")</f>
        <v>Pelham Bay</v>
      </c>
      <c r="E139" s="33">
        <f>IFERROR(__xludf.DUMMYFUNCTION("""COMPUTED_VALUE"""),7660.0)</f>
        <v>7660</v>
      </c>
      <c r="F139" s="10">
        <f>IFERROR(__xludf.DUMMYFUNCTION("""COMPUTED_VALUE"""),1136845.0)</f>
        <v>1136845</v>
      </c>
      <c r="G139" s="19">
        <f>IFERROR(__xludf.DUMMYFUNCTION("""COMPUTED_VALUE"""),270.0)</f>
        <v>270</v>
      </c>
      <c r="H139" s="10" t="str">
        <f>IFERROR(__xludf.DUMMYFUNCTION("""COMPUTED_VALUE"""),"↗️")</f>
        <v>↗️</v>
      </c>
      <c r="I139" s="13">
        <f>IFERROR(__xludf.DUMMYFUNCTION("""COMPUTED_VALUE"""),32752.0)</f>
        <v>32752</v>
      </c>
      <c r="J139" s="32">
        <f>IFERROR(__xludf.DUMMYFUNCTION("""COMPUTED_VALUE"""),44821.0)</f>
        <v>44821</v>
      </c>
      <c r="K139" s="8">
        <f>IFERROR(__xludf.DUMMYFUNCTION("""COMPUTED_VALUE"""),22.0)</f>
        <v>22</v>
      </c>
      <c r="L139" s="15" t="str">
        <f>IFERROR(__xludf.DUMMYFUNCTION("""COMPUTED_VALUE"""),"YES")</f>
        <v>YES</v>
      </c>
      <c r="M139" s="15" t="str">
        <f>IFERROR(__xludf.DUMMYFUNCTION("""COMPUTED_VALUE"""),"NYCT")</f>
        <v>NYCT</v>
      </c>
      <c r="N139" s="15" t="str">
        <f>IFERROR(__xludf.DUMMYFUNCTION("""COMPUTED_VALUE"""),"KONE")</f>
        <v>KONE</v>
      </c>
      <c r="O139" s="15" t="str">
        <f>IFERROR(__xludf.DUMMYFUNCTION("""COMPUTED_VALUE"""),"YES")</f>
        <v>YES</v>
      </c>
      <c r="P139" s="15" t="str">
        <f>IFERROR(__xludf.DUMMYFUNCTION("""COMPUTED_VALUE"""),"YES")</f>
        <v>YES</v>
      </c>
      <c r="Q139" s="15" t="str">
        <f>IFERROR(__xludf.DUMMYFUNCTION("""COMPUTED_VALUE"""),"YES")</f>
        <v>YES</v>
      </c>
      <c r="R139" s="15" t="str">
        <f>IFERROR(__xludf.DUMMYFUNCTION("""COMPUTED_VALUE"""),"3902 mm (12'-9 5/8in)")</f>
        <v>3902 mm (12'-9 5/8in)</v>
      </c>
      <c r="S139" s="15">
        <f>IFERROR(__xludf.DUMMYFUNCTION("""COMPUTED_VALUE"""),58.0)</f>
        <v>58</v>
      </c>
      <c r="T139" s="15" t="str">
        <f>IFERROR(__xludf.DUMMYFUNCTION("""COMPUTED_VALUE"""),"1000 mm (40in NOMINAL)")</f>
        <v>1000 mm (40in NOMINAL)</v>
      </c>
      <c r="U139" s="15" t="str">
        <f>IFERROR(__xludf.DUMMYFUNCTION("""COMPUTED_VALUE"""),"Amendola Plaza entrance to mezzanine")</f>
        <v>Amendola Plaza entrance to mezzanine</v>
      </c>
      <c r="V139" s="15" t="str">
        <f>IFERROR(__xludf.DUMMYFUNCTION("""COMPUTED_VALUE"""),"POINT (-73.827156 40.852863)")</f>
        <v>POINT (-73.827156 40.852863)</v>
      </c>
    </row>
    <row r="140" ht="22.5" customHeight="1">
      <c r="A140" s="7" t="str">
        <f>IFERROR(__xludf.DUMMYFUNCTION("""COMPUTED_VALUE"""),"34 St-Hudson Yards")</f>
        <v>34 St-Hudson Yards</v>
      </c>
      <c r="B140" s="8" t="str">
        <f>IFERROR(__xludf.DUMMYFUNCTION("""COMPUTED_VALUE"""),"Flushing Line")</f>
        <v>Flushing Line</v>
      </c>
      <c r="C140" s="8" t="str">
        <f>IFERROR(__xludf.DUMMYFUNCTION("""COMPUTED_VALUE"""),"Manhattan")</f>
        <v>Manhattan</v>
      </c>
      <c r="D140" s="8" t="str">
        <f>IFERROR(__xludf.DUMMYFUNCTION("""COMPUTED_VALUE"""),"Hell's Kitchen")</f>
        <v>Hell's Kitchen</v>
      </c>
      <c r="E140" s="33">
        <f>IFERROR(__xludf.DUMMYFUNCTION("""COMPUTED_VALUE"""),42260.0)</f>
        <v>42260</v>
      </c>
      <c r="F140" s="10">
        <f>IFERROR(__xludf.DUMMYFUNCTION("""COMPUTED_VALUE"""),6082370.0)</f>
        <v>6082370</v>
      </c>
      <c r="G140" s="19">
        <f>IFERROR(__xludf.DUMMYFUNCTION("""COMPUTED_VALUE"""),39.0)</f>
        <v>39</v>
      </c>
      <c r="H140" s="10" t="str">
        <f>IFERROR(__xludf.DUMMYFUNCTION("""COMPUTED_VALUE"""),"↗️")</f>
        <v>↗️</v>
      </c>
      <c r="I140" s="13">
        <f>IFERROR(__xludf.DUMMYFUNCTION("""COMPUTED_VALUE"""),43343.0)</f>
        <v>43343</v>
      </c>
      <c r="J140" s="32">
        <f>IFERROR(__xludf.DUMMYFUNCTION("""COMPUTED_VALUE"""),44956.0)</f>
        <v>44956</v>
      </c>
      <c r="K140" s="8">
        <f>IFERROR(__xludf.DUMMYFUNCTION("""COMPUTED_VALUE"""),22.0)</f>
        <v>22</v>
      </c>
      <c r="L140" s="15" t="str">
        <f>IFERROR(__xludf.DUMMYFUNCTION("""COMPUTED_VALUE"""),"YES")</f>
        <v>YES</v>
      </c>
      <c r="M140" s="15" t="str">
        <f>IFERROR(__xludf.DUMMYFUNCTION("""COMPUTED_VALUE"""),"NYCT")</f>
        <v>NYCT</v>
      </c>
      <c r="N140" s="15" t="str">
        <f>IFERROR(__xludf.DUMMYFUNCTION("""COMPUTED_VALUE"""),"SCHINDLER")</f>
        <v>SCHINDLER</v>
      </c>
      <c r="O140" s="15" t="str">
        <f>IFERROR(__xludf.DUMMYFUNCTION("""COMPUTED_VALUE"""),"YES")</f>
        <v>YES</v>
      </c>
      <c r="P140" s="15" t="str">
        <f>IFERROR(__xludf.DUMMYFUNCTION("""COMPUTED_VALUE"""),"NO")</f>
        <v>NO</v>
      </c>
      <c r="Q140" s="15" t="str">
        <f>IFERROR(__xludf.DUMMYFUNCTION("""COMPUTED_VALUE"""),"NO")</f>
        <v>NO</v>
      </c>
      <c r="R140" s="15" t="str">
        <f>IFERROR(__xludf.DUMMYFUNCTION("""COMPUTED_VALUE"""),"28'")</f>
        <v>28'</v>
      </c>
      <c r="S140" s="15">
        <f>IFERROR(__xludf.DUMMYFUNCTION("""COMPUTED_VALUE"""),109.0)</f>
        <v>109</v>
      </c>
      <c r="T140" s="15">
        <f>IFERROR(__xludf.DUMMYFUNCTION("""COMPUTED_VALUE"""),600.0)</f>
        <v>600</v>
      </c>
      <c r="U140" s="15" t="str">
        <f>IFERROR(__xludf.DUMMYFUNCTION("""COMPUTED_VALUE"""),"upper mezzanine (Hudson Blvd E &amp; 35 St) to lower mezzanine")</f>
        <v>upper mezzanine (Hudson Blvd E &amp; 35 St) to lower mezzanine</v>
      </c>
      <c r="V140" s="15" t="str">
        <f>IFERROR(__xludf.DUMMYFUNCTION("""COMPUTED_VALUE"""),"POINT (-74.00029 40.755875)")</f>
        <v>POINT (-74.00029 40.755875)</v>
      </c>
    </row>
    <row r="141" ht="22.5" customHeight="1">
      <c r="A141" s="7" t="str">
        <f>IFERROR(__xludf.DUMMYFUNCTION("""COMPUTED_VALUE"""),"Jamaica Van Wyck")</f>
        <v>Jamaica Van Wyck</v>
      </c>
      <c r="B141" s="8" t="str">
        <f>IFERROR(__xludf.DUMMYFUNCTION("""COMPUTED_VALUE"""),"")</f>
        <v/>
      </c>
      <c r="C141" s="8" t="str">
        <f>IFERROR(__xludf.DUMMYFUNCTION("""COMPUTED_VALUE"""),"")</f>
        <v/>
      </c>
      <c r="D141" s="8" t="str">
        <f>IFERROR(__xludf.DUMMYFUNCTION("""COMPUTED_VALUE"""),"")</f>
        <v/>
      </c>
      <c r="E141" s="33" t="str">
        <f>IFERROR(__xludf.DUMMYFUNCTION("""COMPUTED_VALUE"""),"")</f>
        <v/>
      </c>
      <c r="F141" s="10" t="str">
        <f>IFERROR(__xludf.DUMMYFUNCTION("""COMPUTED_VALUE"""),"")</f>
        <v/>
      </c>
      <c r="G141" s="19" t="str">
        <f>IFERROR(__xludf.DUMMYFUNCTION("""COMPUTED_VALUE"""),"")</f>
        <v/>
      </c>
      <c r="H141" s="10" t="str">
        <f>IFERROR(__xludf.DUMMYFUNCTION("""COMPUTED_VALUE"""),"↗️")</f>
        <v>↗️</v>
      </c>
      <c r="I141" s="13">
        <f>IFERROR(__xludf.DUMMYFUNCTION("""COMPUTED_VALUE"""),39798.0)</f>
        <v>39798</v>
      </c>
      <c r="J141" s="32">
        <f>IFERROR(__xludf.DUMMYFUNCTION("""COMPUTED_VALUE"""),39798.0)</f>
        <v>39798</v>
      </c>
      <c r="K141" s="8">
        <f>IFERROR(__xludf.DUMMYFUNCTION("""COMPUTED_VALUE"""),22.0)</f>
        <v>22</v>
      </c>
      <c r="L141" s="15" t="str">
        <f>IFERROR(__xludf.DUMMYFUNCTION("""COMPUTED_VALUE"""),"YES")</f>
        <v>YES</v>
      </c>
      <c r="M141" s="15" t="str">
        <f>IFERROR(__xludf.DUMMYFUNCTION("""COMPUTED_VALUE"""),"NYCT")</f>
        <v>NYCT</v>
      </c>
      <c r="N141" s="15" t="str">
        <f>IFERROR(__xludf.DUMMYFUNCTION("""COMPUTED_VALUE"""),"KONE")</f>
        <v>KONE</v>
      </c>
      <c r="O141" s="15" t="str">
        <f>IFERROR(__xludf.DUMMYFUNCTION("""COMPUTED_VALUE"""),"YES")</f>
        <v>YES</v>
      </c>
      <c r="P141" s="15" t="str">
        <f>IFERROR(__xludf.DUMMYFUNCTION("""COMPUTED_VALUE"""),"NO")</f>
        <v>NO</v>
      </c>
      <c r="Q141" s="15" t="str">
        <f>IFERROR(__xludf.DUMMYFUNCTION("""COMPUTED_VALUE"""),"NO")</f>
        <v>NO</v>
      </c>
      <c r="R141" s="15" t="str">
        <f>IFERROR(__xludf.DUMMYFUNCTION("""COMPUTED_VALUE"""),"13'")</f>
        <v>13'</v>
      </c>
      <c r="S141" s="15">
        <f>IFERROR(__xludf.DUMMYFUNCTION("""COMPUTED_VALUE"""),57.0)</f>
        <v>57</v>
      </c>
      <c r="T141" s="15" t="str">
        <f>IFERROR(__xludf.DUMMYFUNCTION("""COMPUTED_VALUE"""),"40in")</f>
        <v>40in</v>
      </c>
      <c r="U141" s="15" t="str">
        <f>IFERROR(__xludf.DUMMYFUNCTION("""COMPUTED_VALUE"""),"mezzanine to platform for service in both directions")</f>
        <v>mezzanine to platform for service in both directions</v>
      </c>
      <c r="V141" s="15" t="str">
        <f>IFERROR(__xludf.DUMMYFUNCTION("""COMPUTED_VALUE"""),"POINT (-73.81659 40.701893)")</f>
        <v>POINT (-73.81659 40.701893)</v>
      </c>
    </row>
    <row r="142" ht="22.5" customHeight="1">
      <c r="A142" s="7" t="str">
        <f>IFERROR(__xludf.DUMMYFUNCTION("""COMPUTED_VALUE"""),"Atlantic Av-Barclays Ctr")</f>
        <v>Atlantic Av-Barclays Ctr</v>
      </c>
      <c r="B142" s="8" t="str">
        <f>IFERROR(__xludf.DUMMYFUNCTION("""COMPUTED_VALUE"""),"")</f>
        <v/>
      </c>
      <c r="C142" s="8" t="str">
        <f>IFERROR(__xludf.DUMMYFUNCTION("""COMPUTED_VALUE"""),"")</f>
        <v/>
      </c>
      <c r="D142" s="8" t="str">
        <f>IFERROR(__xludf.DUMMYFUNCTION("""COMPUTED_VALUE"""),"")</f>
        <v/>
      </c>
      <c r="E142" s="33" t="str">
        <f>IFERROR(__xludf.DUMMYFUNCTION("""COMPUTED_VALUE"""),"")</f>
        <v/>
      </c>
      <c r="F142" s="10" t="str">
        <f>IFERROR(__xludf.DUMMYFUNCTION("""COMPUTED_VALUE"""),"")</f>
        <v/>
      </c>
      <c r="G142" s="19" t="str">
        <f>IFERROR(__xludf.DUMMYFUNCTION("""COMPUTED_VALUE"""),"")</f>
        <v/>
      </c>
      <c r="H142" s="10" t="str">
        <f>IFERROR(__xludf.DUMMYFUNCTION("""COMPUTED_VALUE"""),"↗️")</f>
        <v>↗️</v>
      </c>
      <c r="I142" s="13">
        <f>IFERROR(__xludf.DUMMYFUNCTION("""COMPUTED_VALUE"""),8185.0)</f>
        <v>8185</v>
      </c>
      <c r="J142" s="32">
        <f>IFERROR(__xludf.DUMMYFUNCTION("""COMPUTED_VALUE"""),37425.0)</f>
        <v>37425</v>
      </c>
      <c r="K142" s="8">
        <f>IFERROR(__xludf.DUMMYFUNCTION("""COMPUTED_VALUE"""),22.0)</f>
        <v>22</v>
      </c>
      <c r="L142" s="15" t="str">
        <f>IFERROR(__xludf.DUMMYFUNCTION("""COMPUTED_VALUE"""),"YES")</f>
        <v>YES</v>
      </c>
      <c r="M142" s="15" t="str">
        <f>IFERROR(__xludf.DUMMYFUNCTION("""COMPUTED_VALUE"""),"NYCT")</f>
        <v>NYCT</v>
      </c>
      <c r="N142" s="15" t="str">
        <f>IFERROR(__xludf.DUMMYFUNCTION("""COMPUTED_VALUE"""),"OK")</f>
        <v>OK</v>
      </c>
      <c r="O142" s="15" t="str">
        <f>IFERROR(__xludf.DUMMYFUNCTION("""COMPUTED_VALUE"""),"YES")</f>
        <v>YES</v>
      </c>
      <c r="P142" s="15" t="str">
        <f>IFERROR(__xludf.DUMMYFUNCTION("""COMPUTED_VALUE"""),"NO")</f>
        <v>NO</v>
      </c>
      <c r="Q142" s="15" t="str">
        <f>IFERROR(__xludf.DUMMYFUNCTION("""COMPUTED_VALUE"""),"NO")</f>
        <v>NO</v>
      </c>
      <c r="R142" s="15" t="str">
        <f>IFERROR(__xludf.DUMMYFUNCTION("""COMPUTED_VALUE"""),"30'")</f>
        <v>30'</v>
      </c>
      <c r="S142" s="15">
        <f>IFERROR(__xludf.DUMMYFUNCTION("""COMPUTED_VALUE"""),109.0)</f>
        <v>109</v>
      </c>
      <c r="T142" s="15">
        <f>IFERROR(__xludf.DUMMYFUNCTION("""COMPUTED_VALUE"""),40.0)</f>
        <v>40</v>
      </c>
      <c r="U142" s="15" t="str">
        <f>IFERROR(__xludf.DUMMYFUNCTION("""COMPUTED_VALUE"""),"B/Q lower mezzanine to upper mezzanine for LIRR and Hanson Pl &amp; Flatbush Ave exit")</f>
        <v>B/Q lower mezzanine to upper mezzanine for LIRR and Hanson Pl &amp; Flatbush Ave exit</v>
      </c>
      <c r="V142" s="15" t="str">
        <f>IFERROR(__xludf.DUMMYFUNCTION("""COMPUTED_VALUE"""),"POINT (-73.97726 40.685085)")</f>
        <v>POINT (-73.97726 40.685085)</v>
      </c>
    </row>
    <row r="143" ht="22.5" customHeight="1">
      <c r="A143" s="7" t="str">
        <f>IFERROR(__xludf.DUMMYFUNCTION("""COMPUTED_VALUE"""),"Norwood-205 St")</f>
        <v>Norwood-205 St</v>
      </c>
      <c r="B143" s="8" t="str">
        <f>IFERROR(__xludf.DUMMYFUNCTION("""COMPUTED_VALUE"""),"Concourse Line")</f>
        <v>Concourse Line</v>
      </c>
      <c r="C143" s="8" t="str">
        <f>IFERROR(__xludf.DUMMYFUNCTION("""COMPUTED_VALUE"""),"The Bronx")</f>
        <v>The Bronx</v>
      </c>
      <c r="D143" s="8" t="str">
        <f>IFERROR(__xludf.DUMMYFUNCTION("""COMPUTED_VALUE"""),"Norwood")</f>
        <v>Norwood</v>
      </c>
      <c r="E143" s="33">
        <f>IFERROR(__xludf.DUMMYFUNCTION("""COMPUTED_VALUE"""),12236.0)</f>
        <v>12236</v>
      </c>
      <c r="F143" s="10">
        <f>IFERROR(__xludf.DUMMYFUNCTION("""COMPUTED_VALUE"""),1290515.0)</f>
        <v>1290515</v>
      </c>
      <c r="G143" s="19">
        <f>IFERROR(__xludf.DUMMYFUNCTION("""COMPUTED_VALUE"""),242.0)</f>
        <v>242</v>
      </c>
      <c r="H143" s="10" t="str">
        <f>IFERROR(__xludf.DUMMYFUNCTION("""COMPUTED_VALUE"""),"↗️")</f>
        <v>↗️</v>
      </c>
      <c r="I143" s="13">
        <f>IFERROR(__xludf.DUMMYFUNCTION("""COMPUTED_VALUE"""),17348.0)</f>
        <v>17348</v>
      </c>
      <c r="J143" s="32">
        <f>IFERROR(__xludf.DUMMYFUNCTION("""COMPUTED_VALUE"""),37141.0)</f>
        <v>37141</v>
      </c>
      <c r="K143" s="8">
        <f>IFERROR(__xludf.DUMMYFUNCTION("""COMPUTED_VALUE"""),22.0)</f>
        <v>22</v>
      </c>
      <c r="L143" s="15" t="str">
        <f>IFERROR(__xludf.DUMMYFUNCTION("""COMPUTED_VALUE"""),"YES")</f>
        <v>YES</v>
      </c>
      <c r="M143" s="15" t="str">
        <f>IFERROR(__xludf.DUMMYFUNCTION("""COMPUTED_VALUE"""),"NYCT")</f>
        <v>NYCT</v>
      </c>
      <c r="N143" s="15" t="str">
        <f>IFERROR(__xludf.DUMMYFUNCTION("""COMPUTED_VALUE"""),"AM")</f>
        <v>AM</v>
      </c>
      <c r="O143" s="15" t="str">
        <f>IFERROR(__xludf.DUMMYFUNCTION("""COMPUTED_VALUE"""),"YES")</f>
        <v>YES</v>
      </c>
      <c r="P143" s="15" t="str">
        <f>IFERROR(__xludf.DUMMYFUNCTION("""COMPUTED_VALUE"""),"NO")</f>
        <v>NO</v>
      </c>
      <c r="Q143" s="15" t="str">
        <f>IFERROR(__xludf.DUMMYFUNCTION("""COMPUTED_VALUE"""),"NO")</f>
        <v>NO</v>
      </c>
      <c r="R143" s="15" t="str">
        <f>IFERROR(__xludf.DUMMYFUNCTION("""COMPUTED_VALUE"""),"27'")</f>
        <v>27'</v>
      </c>
      <c r="S143" s="15">
        <f>IFERROR(__xludf.DUMMYFUNCTION("""COMPUTED_VALUE"""),97.0)</f>
        <v>97</v>
      </c>
      <c r="T143" s="15">
        <f>IFERROR(__xludf.DUMMYFUNCTION("""COMPUTED_VALUE"""),40.0)</f>
        <v>40</v>
      </c>
      <c r="U143" s="15" t="str">
        <f>IFERROR(__xludf.DUMMYFUNCTION("""COMPUTED_VALUE"""),"platform to mezzanine for Bainbridge Ave &amp; 206 St exit")</f>
        <v>platform to mezzanine for Bainbridge Ave &amp; 206 St exit</v>
      </c>
      <c r="V143" s="15" t="str">
        <f>IFERROR(__xludf.DUMMYFUNCTION("""COMPUTED_VALUE"""),"POINT (-73.87921 40.874916)")</f>
        <v>POINT (-73.87921 40.874916)</v>
      </c>
    </row>
    <row r="144" ht="22.5" customHeight="1">
      <c r="A144" s="7" t="str">
        <f>IFERROR(__xludf.DUMMYFUNCTION("""COMPUTED_VALUE"""),"Grand Central-42 St")</f>
        <v>Grand Central-42 St</v>
      </c>
      <c r="B144" s="8" t="str">
        <f>IFERROR(__xludf.DUMMYFUNCTION("""COMPUTED_VALUE"""),"42nd St Line")</f>
        <v>42nd St Line</v>
      </c>
      <c r="C144" s="8" t="str">
        <f>IFERROR(__xludf.DUMMYFUNCTION("""COMPUTED_VALUE"""),"Manhattan")</f>
        <v>Manhattan</v>
      </c>
      <c r="D144" s="8" t="str">
        <f>IFERROR(__xludf.DUMMYFUNCTION("""COMPUTED_VALUE"""),"Midtown")</f>
        <v>Midtown</v>
      </c>
      <c r="E144" s="33">
        <f>IFERROR(__xludf.DUMMYFUNCTION("""COMPUTED_VALUE"""),1762.0)</f>
        <v>1762</v>
      </c>
      <c r="F144" s="8">
        <f>IFERROR(__xludf.DUMMYFUNCTION("""COMPUTED_VALUE"""),3.3496874E7)</f>
        <v>33496874</v>
      </c>
      <c r="G144" s="17">
        <f>IFERROR(__xludf.DUMMYFUNCTION("""COMPUTED_VALUE"""),2.0)</f>
        <v>2</v>
      </c>
      <c r="H144" s="8" t="str">
        <f>IFERROR(__xludf.DUMMYFUNCTION("""COMPUTED_VALUE"""),"↗️")</f>
        <v>↗️</v>
      </c>
      <c r="I144" s="13">
        <f>IFERROR(__xludf.DUMMYFUNCTION("""COMPUTED_VALUE"""),24202.0)</f>
        <v>24202</v>
      </c>
      <c r="J144" s="32">
        <f>IFERROR(__xludf.DUMMYFUNCTION("""COMPUTED_VALUE"""),45705.0)</f>
        <v>45705</v>
      </c>
      <c r="K144" s="8">
        <f>IFERROR(__xludf.DUMMYFUNCTION("""COMPUTED_VALUE"""),22.0)</f>
        <v>22</v>
      </c>
      <c r="L144" s="15" t="str">
        <f>IFERROR(__xludf.DUMMYFUNCTION("""COMPUTED_VALUE"""),"YES")</f>
        <v>YES</v>
      </c>
      <c r="M144" s="15" t="str">
        <f>IFERROR(__xludf.DUMMYFUNCTION("""COMPUTED_VALUE"""),"NYCT")</f>
        <v>NYCT</v>
      </c>
      <c r="N144" s="15" t="str">
        <f>IFERROR(__xludf.DUMMYFUNCTION("""COMPUTED_VALUE"""),"KONE")</f>
        <v>KONE</v>
      </c>
      <c r="O144" s="15" t="str">
        <f>IFERROR(__xludf.DUMMYFUNCTION("""COMPUTED_VALUE"""),"YES")</f>
        <v>YES</v>
      </c>
      <c r="P144" s="15" t="str">
        <f>IFERROR(__xludf.DUMMYFUNCTION("""COMPUTED_VALUE"""),"NO")</f>
        <v>NO</v>
      </c>
      <c r="Q144" s="15" t="str">
        <f>IFERROR(__xludf.DUMMYFUNCTION("""COMPUTED_VALUE"""),"NO")</f>
        <v>NO</v>
      </c>
      <c r="R144" s="15" t="str">
        <f>IFERROR(__xludf.DUMMYFUNCTION("""COMPUTED_VALUE"""),"19'-7 7/8in")</f>
        <v>19'-7 7/8in</v>
      </c>
      <c r="S144" s="15">
        <f>IFERROR(__xludf.DUMMYFUNCTION("""COMPUTED_VALUE"""),81.0)</f>
        <v>81</v>
      </c>
      <c r="T144" s="15" t="str">
        <f>IFERROR(__xludf.DUMMYFUNCTION("""COMPUTED_VALUE"""),"40in")</f>
        <v>40in</v>
      </c>
      <c r="U144" s="15" t="str">
        <f>IFERROR(__xludf.DUMMYFUNCTION("""COMPUTED_VALUE"""),"main mezzanine to western mezzanine above 7 platform")</f>
        <v>main mezzanine to western mezzanine above 7 platform</v>
      </c>
      <c r="V144" s="15" t="str">
        <f>IFERROR(__xludf.DUMMYFUNCTION("""COMPUTED_VALUE"""),"POINT (-73.97713 40.751865)")</f>
        <v>POINT (-73.97713 40.751865)</v>
      </c>
    </row>
    <row r="145" ht="22.5" customHeight="1">
      <c r="A145" s="7" t="str">
        <f>IFERROR(__xludf.DUMMYFUNCTION("""COMPUTED_VALUE"""),"181 St")</f>
        <v>181 St</v>
      </c>
      <c r="B145" s="8" t="str">
        <f>IFERROR(__xludf.DUMMYFUNCTION("""COMPUTED_VALUE"""),"8 Av Line")</f>
        <v>8 Av Line</v>
      </c>
      <c r="C145" s="8" t="str">
        <f>IFERROR(__xludf.DUMMYFUNCTION("""COMPUTED_VALUE"""),"Manhattan")</f>
        <v>Manhattan</v>
      </c>
      <c r="D145" s="8" t="str">
        <f>IFERROR(__xludf.DUMMYFUNCTION("""COMPUTED_VALUE"""),"Washington Heights")</f>
        <v>Washington Heights</v>
      </c>
      <c r="E145" s="33">
        <f>IFERROR(__xludf.DUMMYFUNCTION("""COMPUTED_VALUE"""),11942.0)</f>
        <v>11942</v>
      </c>
      <c r="F145" s="10">
        <f>IFERROR(__xludf.DUMMYFUNCTION("""COMPUTED_VALUE"""),2042771.0)</f>
        <v>2042771</v>
      </c>
      <c r="G145" s="19">
        <f>IFERROR(__xludf.DUMMYFUNCTION("""COMPUTED_VALUE"""),160.0)</f>
        <v>160</v>
      </c>
      <c r="H145" s="10" t="str">
        <f>IFERROR(__xludf.DUMMYFUNCTION("""COMPUTED_VALUE"""),"↗️")</f>
        <v>↗️</v>
      </c>
      <c r="I145" s="13">
        <f>IFERROR(__xludf.DUMMYFUNCTION("""COMPUTED_VALUE"""),13656.0)</f>
        <v>13656</v>
      </c>
      <c r="J145" s="32">
        <f>IFERROR(__xludf.DUMMYFUNCTION("""COMPUTED_VALUE"""),45016.0)</f>
        <v>45016</v>
      </c>
      <c r="K145" s="8">
        <f>IFERROR(__xludf.DUMMYFUNCTION("""COMPUTED_VALUE"""),22.0)</f>
        <v>22</v>
      </c>
      <c r="L145" s="15" t="str">
        <f>IFERROR(__xludf.DUMMYFUNCTION("""COMPUTED_VALUE"""),"YES")</f>
        <v>YES</v>
      </c>
      <c r="M145" s="15" t="str">
        <f>IFERROR(__xludf.DUMMYFUNCTION("""COMPUTED_VALUE"""),"NYCT")</f>
        <v>NYCT</v>
      </c>
      <c r="N145" s="15" t="str">
        <f>IFERROR(__xludf.DUMMYFUNCTION("""COMPUTED_VALUE"""),"KONE")</f>
        <v>KONE</v>
      </c>
      <c r="O145" s="15" t="str">
        <f>IFERROR(__xludf.DUMMYFUNCTION("""COMPUTED_VALUE"""),"YES")</f>
        <v>YES</v>
      </c>
      <c r="P145" s="15" t="str">
        <f>IFERROR(__xludf.DUMMYFUNCTION("""COMPUTED_VALUE"""),"NO")</f>
        <v>NO</v>
      </c>
      <c r="Q145" s="15" t="str">
        <f>IFERROR(__xludf.DUMMYFUNCTION("""COMPUTED_VALUE"""),"NO")</f>
        <v>NO</v>
      </c>
      <c r="R145" s="15" t="str">
        <f>IFERROR(__xludf.DUMMYFUNCTION("""COMPUTED_VALUE"""),"15824 mm (51'-11in)")</f>
        <v>15824 mm (51'-11in)</v>
      </c>
      <c r="S145" s="15">
        <f>IFERROR(__xludf.DUMMYFUNCTION("""COMPUTED_VALUE"""),112.0)</f>
        <v>112</v>
      </c>
      <c r="T145" s="15">
        <f>IFERROR(__xludf.DUMMYFUNCTION("""COMPUTED_VALUE"""),800.0)</f>
        <v>800</v>
      </c>
      <c r="U145" s="15" t="str">
        <f>IFERROR(__xludf.DUMMYFUNCTION("""COMPUTED_VALUE"""),"upper mezzanine (181 St &amp; Fort Washington Ave) to lower mezzanine")</f>
        <v>upper mezzanine (181 St &amp; Fort Washington Ave) to lower mezzanine</v>
      </c>
      <c r="V145" s="15" t="str">
        <f>IFERROR(__xludf.DUMMYFUNCTION("""COMPUTED_VALUE"""),"POINT (-73.93814 40.851116)")</f>
        <v>POINT (-73.93814 40.851116)</v>
      </c>
    </row>
    <row r="146" ht="22.5" customHeight="1">
      <c r="A146" s="7" t="str">
        <f>IFERROR(__xludf.DUMMYFUNCTION("""COMPUTED_VALUE"""),"Whitehall St-South Ferry")</f>
        <v>Whitehall St-South Ferry</v>
      </c>
      <c r="B146" s="8" t="str">
        <f>IFERROR(__xludf.DUMMYFUNCTION("""COMPUTED_VALUE"""),"")</f>
        <v/>
      </c>
      <c r="C146" s="8" t="str">
        <f>IFERROR(__xludf.DUMMYFUNCTION("""COMPUTED_VALUE"""),"")</f>
        <v/>
      </c>
      <c r="D146" s="8" t="str">
        <f>IFERROR(__xludf.DUMMYFUNCTION("""COMPUTED_VALUE"""),"")</f>
        <v/>
      </c>
      <c r="E146" s="33" t="str">
        <f>IFERROR(__xludf.DUMMYFUNCTION("""COMPUTED_VALUE"""),"")</f>
        <v/>
      </c>
      <c r="F146" s="10" t="str">
        <f>IFERROR(__xludf.DUMMYFUNCTION("""COMPUTED_VALUE"""),"")</f>
        <v/>
      </c>
      <c r="G146" s="19" t="str">
        <f>IFERROR(__xludf.DUMMYFUNCTION("""COMPUTED_VALUE"""),"")</f>
        <v/>
      </c>
      <c r="H146" s="10" t="str">
        <f>IFERROR(__xludf.DUMMYFUNCTION("""COMPUTED_VALUE"""),"↗️")</f>
        <v>↗️</v>
      </c>
      <c r="I146" s="13">
        <f>IFERROR(__xludf.DUMMYFUNCTION("""COMPUTED_VALUE"""),30864.0)</f>
        <v>30864</v>
      </c>
      <c r="J146" s="32">
        <f>IFERROR(__xludf.DUMMYFUNCTION("""COMPUTED_VALUE"""),41471.0)</f>
        <v>41471</v>
      </c>
      <c r="K146" s="8">
        <f>IFERROR(__xludf.DUMMYFUNCTION("""COMPUTED_VALUE"""),22.0)</f>
        <v>22</v>
      </c>
      <c r="L146" s="15" t="str">
        <f>IFERROR(__xludf.DUMMYFUNCTION("""COMPUTED_VALUE"""),"YES")</f>
        <v>YES</v>
      </c>
      <c r="M146" s="15" t="str">
        <f>IFERROR(__xludf.DUMMYFUNCTION("""COMPUTED_VALUE"""),"NYCT")</f>
        <v>NYCT</v>
      </c>
      <c r="N146" s="15" t="str">
        <f>IFERROR(__xludf.DUMMYFUNCTION("""COMPUTED_VALUE"""),"KONE")</f>
        <v>KONE</v>
      </c>
      <c r="O146" s="15" t="str">
        <f>IFERROR(__xludf.DUMMYFUNCTION("""COMPUTED_VALUE"""),"YES")</f>
        <v>YES</v>
      </c>
      <c r="P146" s="15" t="str">
        <f>IFERROR(__xludf.DUMMYFUNCTION("""COMPUTED_VALUE"""),"NO")</f>
        <v>NO</v>
      </c>
      <c r="Q146" s="15" t="str">
        <f>IFERROR(__xludf.DUMMYFUNCTION("""COMPUTED_VALUE"""),"NO")</f>
        <v>NO</v>
      </c>
      <c r="R146" s="15" t="str">
        <f>IFERROR(__xludf.DUMMYFUNCTION("""COMPUTED_VALUE"""),"26' 11 7/8in")</f>
        <v>26' 11 7/8in</v>
      </c>
      <c r="S146" s="15">
        <f>IFERROR(__xludf.DUMMYFUNCTION("""COMPUTED_VALUE"""),104.0)</f>
        <v>104</v>
      </c>
      <c r="T146" s="15" t="str">
        <f>IFERROR(__xludf.DUMMYFUNCTION("""COMPUTED_VALUE"""),"40in")</f>
        <v>40in</v>
      </c>
      <c r="U146" s="15" t="str">
        <f>IFERROR(__xludf.DUMMYFUNCTION("""COMPUTED_VALUE"""),"lower mezzanine to upper mezzanine for Stone St &amp; Whitehall St exit")</f>
        <v>lower mezzanine to upper mezzanine for Stone St &amp; Whitehall St exit</v>
      </c>
      <c r="V146" s="15" t="str">
        <f>IFERROR(__xludf.DUMMYFUNCTION("""COMPUTED_VALUE"""),"POINT (-74.01319 40.703857)")</f>
        <v>POINT (-74.01319 40.703857)</v>
      </c>
    </row>
    <row r="147" ht="22.5" customHeight="1">
      <c r="A147" s="7" t="str">
        <f>IFERROR(__xludf.DUMMYFUNCTION("""COMPUTED_VALUE"""),"B'way-Lafayette St")</f>
        <v>B'way-Lafayette St</v>
      </c>
      <c r="B147" s="23" t="str">
        <f>IFERROR(__xludf.DUMMYFUNCTION("""COMPUTED_VALUE"""),"")</f>
        <v/>
      </c>
      <c r="C147" s="8" t="str">
        <f>IFERROR(__xludf.DUMMYFUNCTION("""COMPUTED_VALUE"""),"")</f>
        <v/>
      </c>
      <c r="D147" s="8" t="str">
        <f>IFERROR(__xludf.DUMMYFUNCTION("""COMPUTED_VALUE"""),"")</f>
        <v/>
      </c>
      <c r="E147" s="33" t="str">
        <f>IFERROR(__xludf.DUMMYFUNCTION("""COMPUTED_VALUE"""),"")</f>
        <v/>
      </c>
      <c r="F147" s="10" t="str">
        <f>IFERROR(__xludf.DUMMYFUNCTION("""COMPUTED_VALUE"""),"")</f>
        <v/>
      </c>
      <c r="G147" s="19" t="str">
        <f>IFERROR(__xludf.DUMMYFUNCTION("""COMPUTED_VALUE"""),"")</f>
        <v/>
      </c>
      <c r="H147" s="10" t="str">
        <f>IFERROR(__xludf.DUMMYFUNCTION("""COMPUTED_VALUE"""),"↗️")</f>
        <v>↗️</v>
      </c>
      <c r="I147" s="13">
        <f>IFERROR(__xludf.DUMMYFUNCTION("""COMPUTED_VALUE"""),41177.0)</f>
        <v>41177</v>
      </c>
      <c r="J147" s="32">
        <f>IFERROR(__xludf.DUMMYFUNCTION("""COMPUTED_VALUE"""),41177.0)</f>
        <v>41177</v>
      </c>
      <c r="K147" s="8">
        <f>IFERROR(__xludf.DUMMYFUNCTION("""COMPUTED_VALUE"""),22.0)</f>
        <v>22</v>
      </c>
      <c r="L147" s="15" t="str">
        <f>IFERROR(__xludf.DUMMYFUNCTION("""COMPUTED_VALUE"""),"YES")</f>
        <v>YES</v>
      </c>
      <c r="M147" s="15" t="str">
        <f>IFERROR(__xludf.DUMMYFUNCTION("""COMPUTED_VALUE"""),"NYCT")</f>
        <v>NYCT</v>
      </c>
      <c r="N147" s="15" t="str">
        <f>IFERROR(__xludf.DUMMYFUNCTION("""COMPUTED_VALUE"""),"OK")</f>
        <v>OK</v>
      </c>
      <c r="O147" s="15" t="str">
        <f>IFERROR(__xludf.DUMMYFUNCTION("""COMPUTED_VALUE"""),"YES")</f>
        <v>YES</v>
      </c>
      <c r="P147" s="15" t="str">
        <f>IFERROR(__xludf.DUMMYFUNCTION("""COMPUTED_VALUE"""),"NO")</f>
        <v>NO</v>
      </c>
      <c r="Q147" s="15" t="str">
        <f>IFERROR(__xludf.DUMMYFUNCTION("""COMPUTED_VALUE"""),"NO")</f>
        <v>NO</v>
      </c>
      <c r="R147" s="15" t="str">
        <f>IFERROR(__xludf.DUMMYFUNCTION("""COMPUTED_VALUE"""),"23' 7 3/4in")</f>
        <v>23' 7 3/4in</v>
      </c>
      <c r="S147" s="15">
        <f>IFERROR(__xludf.DUMMYFUNCTION("""COMPUTED_VALUE"""),93.0)</f>
        <v>93</v>
      </c>
      <c r="T147" s="15" t="str">
        <f>IFERROR(__xludf.DUMMYFUNCTION("""COMPUTED_VALUE"""),"1000 mm")</f>
        <v>1000 mm</v>
      </c>
      <c r="U147" s="15" t="str">
        <f>IFERROR(__xludf.DUMMYFUNCTION("""COMPUTED_VALUE"""),"uptown B/D/F/M platform to uptown 6 platform and access to street")</f>
        <v>uptown B/D/F/M platform to uptown 6 platform and access to street</v>
      </c>
      <c r="V147" s="15" t="str">
        <f>IFERROR(__xludf.DUMMYFUNCTION("""COMPUTED_VALUE"""),"POINT (-73.99524 40.725086)")</f>
        <v>POINT (-73.99524 40.725086)</v>
      </c>
    </row>
    <row r="148" ht="22.5" customHeight="1">
      <c r="A148" s="7" t="str">
        <f>IFERROR(__xludf.DUMMYFUNCTION("""COMPUTED_VALUE"""),"Smith-9 Sts")</f>
        <v>Smith-9 Sts</v>
      </c>
      <c r="B148" s="8" t="str">
        <f>IFERROR(__xludf.DUMMYFUNCTION("""COMPUTED_VALUE"""),"")</f>
        <v/>
      </c>
      <c r="C148" s="8" t="str">
        <f>IFERROR(__xludf.DUMMYFUNCTION("""COMPUTED_VALUE"""),"")</f>
        <v/>
      </c>
      <c r="D148" s="8" t="str">
        <f>IFERROR(__xludf.DUMMYFUNCTION("""COMPUTED_VALUE"""),"")</f>
        <v/>
      </c>
      <c r="E148" s="33" t="str">
        <f>IFERROR(__xludf.DUMMYFUNCTION("""COMPUTED_VALUE"""),"")</f>
        <v/>
      </c>
      <c r="F148" s="8" t="str">
        <f>IFERROR(__xludf.DUMMYFUNCTION("""COMPUTED_VALUE"""),"")</f>
        <v/>
      </c>
      <c r="G148" s="17" t="str">
        <f>IFERROR(__xludf.DUMMYFUNCTION("""COMPUTED_VALUE"""),"")</f>
        <v/>
      </c>
      <c r="H148" s="8" t="str">
        <f>IFERROR(__xludf.DUMMYFUNCTION("""COMPUTED_VALUE"""),"↗️")</f>
        <v>↗️</v>
      </c>
      <c r="I148" s="13">
        <f>IFERROR(__xludf.DUMMYFUNCTION("""COMPUTED_VALUE"""),36179.0)</f>
        <v>36179</v>
      </c>
      <c r="J148" s="32">
        <f>IFERROR(__xludf.DUMMYFUNCTION("""COMPUTED_VALUE"""),46038.0)</f>
        <v>46038</v>
      </c>
      <c r="K148" s="8">
        <f>IFERROR(__xludf.DUMMYFUNCTION("""COMPUTED_VALUE"""),22.0)</f>
        <v>22</v>
      </c>
      <c r="L148" s="15" t="str">
        <f>IFERROR(__xludf.DUMMYFUNCTION("""COMPUTED_VALUE"""),"YES")</f>
        <v>YES</v>
      </c>
      <c r="M148" s="15" t="str">
        <f>IFERROR(__xludf.DUMMYFUNCTION("""COMPUTED_VALUE"""),"NYCT")</f>
        <v>NYCT</v>
      </c>
      <c r="N148" s="15" t="str">
        <f>IFERROR(__xludf.DUMMYFUNCTION("""COMPUTED_VALUE"""),"KONE")</f>
        <v>KONE</v>
      </c>
      <c r="O148" s="15" t="str">
        <f>IFERROR(__xludf.DUMMYFUNCTION("""COMPUTED_VALUE"""),"YES")</f>
        <v>YES</v>
      </c>
      <c r="P148" s="15" t="str">
        <f>IFERROR(__xludf.DUMMYFUNCTION("""COMPUTED_VALUE"""),"NO")</f>
        <v>NO</v>
      </c>
      <c r="Q148" s="15" t="str">
        <f>IFERROR(__xludf.DUMMYFUNCTION("""COMPUTED_VALUE"""),"NO")</f>
        <v>NO</v>
      </c>
      <c r="R148" s="15" t="str">
        <f>IFERROR(__xludf.DUMMYFUNCTION("""COMPUTED_VALUE"""),"28'")</f>
        <v>28'</v>
      </c>
      <c r="S148" s="15">
        <f>IFERROR(__xludf.DUMMYFUNCTION("""COMPUTED_VALUE"""),166.0)</f>
        <v>166</v>
      </c>
      <c r="T148" s="15">
        <f>IFERROR(__xludf.DUMMYFUNCTION("""COMPUTED_VALUE"""),32.0)</f>
        <v>32</v>
      </c>
      <c r="U148" s="15" t="str">
        <f>IFERROR(__xludf.DUMMYFUNCTION("""COMPUTED_VALUE"""),"intermediate mezzanine to upper mezzanine")</f>
        <v>intermediate mezzanine to upper mezzanine</v>
      </c>
      <c r="V148" s="15" t="str">
        <f>IFERROR(__xludf.DUMMYFUNCTION("""COMPUTED_VALUE"""),"POINT (-73.99716 40.674404)")</f>
        <v>POINT (-73.99716 40.674404)</v>
      </c>
    </row>
    <row r="149" ht="22.5" customHeight="1">
      <c r="A149" s="7" t="str">
        <f>IFERROR(__xludf.DUMMYFUNCTION("""COMPUTED_VALUE"""),"Roosevelt Island")</f>
        <v>Roosevelt Island</v>
      </c>
      <c r="B149" s="8" t="str">
        <f>IFERROR(__xludf.DUMMYFUNCTION("""COMPUTED_VALUE"""),"63rd St Line")</f>
        <v>63rd St Line</v>
      </c>
      <c r="C149" s="8" t="str">
        <f>IFERROR(__xludf.DUMMYFUNCTION("""COMPUTED_VALUE"""),"Manhattan")</f>
        <v>Manhattan</v>
      </c>
      <c r="D149" s="8" t="str">
        <f>IFERROR(__xludf.DUMMYFUNCTION("""COMPUTED_VALUE"""),"Roosevelt Island")</f>
        <v>Roosevelt Island</v>
      </c>
      <c r="E149" s="33">
        <f>IFERROR(__xludf.DUMMYFUNCTION("""COMPUTED_VALUE"""),32810.0)</f>
        <v>32810</v>
      </c>
      <c r="F149" s="10">
        <f>IFERROR(__xludf.DUMMYFUNCTION("""COMPUTED_VALUE"""),1885823.0)</f>
        <v>1885823</v>
      </c>
      <c r="G149" s="19">
        <f>IFERROR(__xludf.DUMMYFUNCTION("""COMPUTED_VALUE"""),171.0)</f>
        <v>171</v>
      </c>
      <c r="H149" s="10" t="str">
        <f>IFERROR(__xludf.DUMMYFUNCTION("""COMPUTED_VALUE"""),"↗️")</f>
        <v>↗️</v>
      </c>
      <c r="I149" s="13">
        <f>IFERROR(__xludf.DUMMYFUNCTION("""COMPUTED_VALUE"""),32782.0)</f>
        <v>32782</v>
      </c>
      <c r="J149" s="32">
        <f>IFERROR(__xludf.DUMMYFUNCTION("""COMPUTED_VALUE"""),39379.0)</f>
        <v>39379</v>
      </c>
      <c r="K149" s="8">
        <f>IFERROR(__xludf.DUMMYFUNCTION("""COMPUTED_VALUE"""),22.0)</f>
        <v>22</v>
      </c>
      <c r="L149" s="15" t="str">
        <f>IFERROR(__xludf.DUMMYFUNCTION("""COMPUTED_VALUE"""),"YES")</f>
        <v>YES</v>
      </c>
      <c r="M149" s="15" t="str">
        <f>IFERROR(__xludf.DUMMYFUNCTION("""COMPUTED_VALUE"""),"NYCT")</f>
        <v>NYCT</v>
      </c>
      <c r="N149" s="15" t="str">
        <f>IFERROR(__xludf.DUMMYFUNCTION("""COMPUTED_VALUE"""),"KONE")</f>
        <v>KONE</v>
      </c>
      <c r="O149" s="15" t="str">
        <f>IFERROR(__xludf.DUMMYFUNCTION("""COMPUTED_VALUE"""),"YES")</f>
        <v>YES</v>
      </c>
      <c r="P149" s="15" t="str">
        <f>IFERROR(__xludf.DUMMYFUNCTION("""COMPUTED_VALUE"""),"NO")</f>
        <v>NO</v>
      </c>
      <c r="Q149" s="15" t="str">
        <f>IFERROR(__xludf.DUMMYFUNCTION("""COMPUTED_VALUE"""),"NO")</f>
        <v>NO</v>
      </c>
      <c r="R149" s="15" t="str">
        <f>IFERROR(__xludf.DUMMYFUNCTION("""COMPUTED_VALUE"""),"14'")</f>
        <v>14'</v>
      </c>
      <c r="S149" s="15">
        <f>IFERROR(__xludf.DUMMYFUNCTION("""COMPUTED_VALUE"""),56.0)</f>
        <v>56</v>
      </c>
      <c r="T149" s="15">
        <f>IFERROR(__xludf.DUMMYFUNCTION("""COMPUTED_VALUE"""),40.0)</f>
        <v>40</v>
      </c>
      <c r="U149" s="15" t="str">
        <f>IFERROR(__xludf.DUMMYFUNCTION("""COMPUTED_VALUE"""),"Manhattan-bound platform to lower mezzanine")</f>
        <v>Manhattan-bound platform to lower mezzanine</v>
      </c>
      <c r="V149" s="15" t="str">
        <f>IFERROR(__xludf.DUMMYFUNCTION("""COMPUTED_VALUE"""),"POINT (-73.95269 40.758904)")</f>
        <v>POINT (-73.95269 40.758904)</v>
      </c>
    </row>
    <row r="150" ht="22.5" customHeight="1">
      <c r="A150" s="7" t="str">
        <f>IFERROR(__xludf.DUMMYFUNCTION("""COMPUTED_VALUE"""),"34 St-Hudson Yards")</f>
        <v>34 St-Hudson Yards</v>
      </c>
      <c r="B150" s="8" t="str">
        <f>IFERROR(__xludf.DUMMYFUNCTION("""COMPUTED_VALUE"""),"Flushing Line")</f>
        <v>Flushing Line</v>
      </c>
      <c r="C150" s="8" t="str">
        <f>IFERROR(__xludf.DUMMYFUNCTION("""COMPUTED_VALUE"""),"Manhattan")</f>
        <v>Manhattan</v>
      </c>
      <c r="D150" s="8" t="str">
        <f>IFERROR(__xludf.DUMMYFUNCTION("""COMPUTED_VALUE"""),"Hell's Kitchen")</f>
        <v>Hell's Kitchen</v>
      </c>
      <c r="E150" s="33">
        <f>IFERROR(__xludf.DUMMYFUNCTION("""COMPUTED_VALUE"""),42260.0)</f>
        <v>42260</v>
      </c>
      <c r="F150" s="10">
        <f>IFERROR(__xludf.DUMMYFUNCTION("""COMPUTED_VALUE"""),6082370.0)</f>
        <v>6082370</v>
      </c>
      <c r="G150" s="19">
        <f>IFERROR(__xludf.DUMMYFUNCTION("""COMPUTED_VALUE"""),39.0)</f>
        <v>39</v>
      </c>
      <c r="H150" s="10" t="str">
        <f>IFERROR(__xludf.DUMMYFUNCTION("""COMPUTED_VALUE"""),"↗️")</f>
        <v>↗️</v>
      </c>
      <c r="I150" s="13">
        <f>IFERROR(__xludf.DUMMYFUNCTION("""COMPUTED_VALUE"""),42260.0)</f>
        <v>42260</v>
      </c>
      <c r="J150" s="32">
        <f>IFERROR(__xludf.DUMMYFUNCTION("""COMPUTED_VALUE"""),42260.0)</f>
        <v>42260</v>
      </c>
      <c r="K150" s="8">
        <f>IFERROR(__xludf.DUMMYFUNCTION("""COMPUTED_VALUE"""),22.0)</f>
        <v>22</v>
      </c>
      <c r="L150" s="15" t="str">
        <f>IFERROR(__xludf.DUMMYFUNCTION("""COMPUTED_VALUE"""),"YES")</f>
        <v>YES</v>
      </c>
      <c r="M150" s="15" t="str">
        <f>IFERROR(__xludf.DUMMYFUNCTION("""COMPUTED_VALUE"""),"NYCT")</f>
        <v>NYCT</v>
      </c>
      <c r="N150" s="15" t="str">
        <f>IFERROR(__xludf.DUMMYFUNCTION("""COMPUTED_VALUE"""),"KONE")</f>
        <v>KONE</v>
      </c>
      <c r="O150" s="15" t="str">
        <f>IFERROR(__xludf.DUMMYFUNCTION("""COMPUTED_VALUE"""),"YES")</f>
        <v>YES</v>
      </c>
      <c r="P150" s="15" t="str">
        <f>IFERROR(__xludf.DUMMYFUNCTION("""COMPUTED_VALUE"""),"YES")</f>
        <v>YES</v>
      </c>
      <c r="Q150" s="15" t="str">
        <f>IFERROR(__xludf.DUMMYFUNCTION("""COMPUTED_VALUE"""),"YES")</f>
        <v>YES</v>
      </c>
      <c r="R150" s="15" t="str">
        <f>IFERROR(__xludf.DUMMYFUNCTION("""COMPUTED_VALUE"""),"12'")</f>
        <v>12'</v>
      </c>
      <c r="S150" s="15">
        <f>IFERROR(__xludf.DUMMYFUNCTION("""COMPUTED_VALUE"""),55.0)</f>
        <v>55</v>
      </c>
      <c r="T150" s="15">
        <f>IFERROR(__xludf.DUMMYFUNCTION("""COMPUTED_VALUE"""),24.0)</f>
        <v>24</v>
      </c>
      <c r="U150" s="15" t="str">
        <f>IFERROR(__xludf.DUMMYFUNCTION("""COMPUTED_VALUE"""),"Hudson Blvd E (between 33 St &amp; 34 St) to upper mezzanine")</f>
        <v>Hudson Blvd E (between 33 St &amp; 34 St) to upper mezzanine</v>
      </c>
      <c r="V150" s="15" t="str">
        <f>IFERROR(__xludf.DUMMYFUNCTION("""COMPUTED_VALUE"""),"POINT (-74.001015 40.755)")</f>
        <v>POINT (-74.001015 40.755)</v>
      </c>
    </row>
    <row r="151" ht="22.5" customHeight="1">
      <c r="A151" s="7" t="str">
        <f>IFERROR(__xludf.DUMMYFUNCTION("""COMPUTED_VALUE"""),"Grand Central-42 St")</f>
        <v>Grand Central-42 St</v>
      </c>
      <c r="B151" s="8" t="str">
        <f>IFERROR(__xludf.DUMMYFUNCTION("""COMPUTED_VALUE"""),"42nd St Line")</f>
        <v>42nd St Line</v>
      </c>
      <c r="C151" s="8" t="str">
        <f>IFERROR(__xludf.DUMMYFUNCTION("""COMPUTED_VALUE"""),"Manhattan")</f>
        <v>Manhattan</v>
      </c>
      <c r="D151" s="8" t="str">
        <f>IFERROR(__xludf.DUMMYFUNCTION("""COMPUTED_VALUE"""),"Midtown")</f>
        <v>Midtown</v>
      </c>
      <c r="E151" s="33">
        <f>IFERROR(__xludf.DUMMYFUNCTION("""COMPUTED_VALUE"""),1762.0)</f>
        <v>1762</v>
      </c>
      <c r="F151" s="8">
        <f>IFERROR(__xludf.DUMMYFUNCTION("""COMPUTED_VALUE"""),3.3496874E7)</f>
        <v>33496874</v>
      </c>
      <c r="G151" s="17">
        <f>IFERROR(__xludf.DUMMYFUNCTION("""COMPUTED_VALUE"""),2.0)</f>
        <v>2</v>
      </c>
      <c r="H151" s="8" t="str">
        <f>IFERROR(__xludf.DUMMYFUNCTION("""COMPUTED_VALUE"""),"↗️")</f>
        <v>↗️</v>
      </c>
      <c r="I151" s="13">
        <f>IFERROR(__xludf.DUMMYFUNCTION("""COMPUTED_VALUE"""),32690.0)</f>
        <v>32690</v>
      </c>
      <c r="J151" s="32">
        <f>IFERROR(__xludf.DUMMYFUNCTION("""COMPUTED_VALUE"""),43987.0)</f>
        <v>43987</v>
      </c>
      <c r="K151" s="8">
        <f>IFERROR(__xludf.DUMMYFUNCTION("""COMPUTED_VALUE"""),22.0)</f>
        <v>22</v>
      </c>
      <c r="L151" s="15" t="str">
        <f>IFERROR(__xludf.DUMMYFUNCTION("""COMPUTED_VALUE"""),"YES")</f>
        <v>YES</v>
      </c>
      <c r="M151" s="15" t="str">
        <f>IFERROR(__xludf.DUMMYFUNCTION("""COMPUTED_VALUE"""),"NYCT")</f>
        <v>NYCT</v>
      </c>
      <c r="N151" s="15" t="str">
        <f>IFERROR(__xludf.DUMMYFUNCTION("""COMPUTED_VALUE"""),"OK")</f>
        <v>OK</v>
      </c>
      <c r="O151" s="15" t="str">
        <f>IFERROR(__xludf.DUMMYFUNCTION("""COMPUTED_VALUE"""),"YES")</f>
        <v>YES</v>
      </c>
      <c r="P151" s="15" t="str">
        <f>IFERROR(__xludf.DUMMYFUNCTION("""COMPUTED_VALUE"""),"YES")</f>
        <v>YES</v>
      </c>
      <c r="Q151" s="15" t="str">
        <f>IFERROR(__xludf.DUMMYFUNCTION("""COMPUTED_VALUE"""),"NO")</f>
        <v>NO</v>
      </c>
      <c r="R151" s="15" t="str">
        <f>IFERROR(__xludf.DUMMYFUNCTION("""COMPUTED_VALUE"""),"18'")</f>
        <v>18'</v>
      </c>
      <c r="S151" s="15">
        <f>IFERROR(__xludf.DUMMYFUNCTION("""COMPUTED_VALUE"""),77.0)</f>
        <v>77</v>
      </c>
      <c r="T151" s="15">
        <f>IFERROR(__xludf.DUMMYFUNCTION("""COMPUTED_VALUE"""),40.0)</f>
        <v>40</v>
      </c>
      <c r="U151" s="15" t="str">
        <f>IFERROR(__xludf.DUMMYFUNCTION("""COMPUTED_VALUE"""),"main mezzanine to 42 St (between Park Ave &amp; Lexington Ave)")</f>
        <v>main mezzanine to 42 St (between Park Ave &amp; Lexington Ave)</v>
      </c>
      <c r="V151" s="15" t="str">
        <f>IFERROR(__xludf.DUMMYFUNCTION("""COMPUTED_VALUE"""),"POINT (-73.97698 40.752007)")</f>
        <v>POINT (-73.97698 40.752007)</v>
      </c>
    </row>
    <row r="152" ht="22.5" customHeight="1">
      <c r="A152" s="7" t="str">
        <f>IFERROR(__xludf.DUMMYFUNCTION("""COMPUTED_VALUE"""),"Howard Beach-JFK Airport")</f>
        <v>Howard Beach-JFK Airport</v>
      </c>
      <c r="B152" s="8" t="str">
        <f>IFERROR(__xludf.DUMMYFUNCTION("""COMPUTED_VALUE"""),"Rockaway Line")</f>
        <v>Rockaway Line</v>
      </c>
      <c r="C152" s="8" t="str">
        <f>IFERROR(__xludf.DUMMYFUNCTION("""COMPUTED_VALUE"""),"Queens")</f>
        <v>Queens</v>
      </c>
      <c r="D152" s="8" t="str">
        <f>IFERROR(__xludf.DUMMYFUNCTION("""COMPUTED_VALUE"""),"Howard Beach")</f>
        <v>Howard Beach</v>
      </c>
      <c r="E152" s="33">
        <f>IFERROR(__xludf.DUMMYFUNCTION("""COMPUTED_VALUE"""),20634.0)</f>
        <v>20634</v>
      </c>
      <c r="F152" s="10">
        <f>IFERROR(__xludf.DUMMYFUNCTION("""COMPUTED_VALUE"""),975786.0)</f>
        <v>975786</v>
      </c>
      <c r="G152" s="19">
        <f>IFERROR(__xludf.DUMMYFUNCTION("""COMPUTED_VALUE"""),297.0)</f>
        <v>297</v>
      </c>
      <c r="H152" s="10" t="str">
        <f>IFERROR(__xludf.DUMMYFUNCTION("""COMPUTED_VALUE"""),"↗️")</f>
        <v>↗️</v>
      </c>
      <c r="I152" s="13"/>
      <c r="J152" s="32">
        <f>IFERROR(__xludf.DUMMYFUNCTION("""COMPUTED_VALUE"""),40862.0)</f>
        <v>40862</v>
      </c>
      <c r="K152" s="8">
        <f>IFERROR(__xludf.DUMMYFUNCTION("""COMPUTED_VALUE"""),22.0)</f>
        <v>22</v>
      </c>
      <c r="L152" s="15" t="str">
        <f>IFERROR(__xludf.DUMMYFUNCTION("""COMPUTED_VALUE"""),"NO")</f>
        <v>NO</v>
      </c>
      <c r="M152" s="15" t="str">
        <f>IFERROR(__xludf.DUMMYFUNCTION("""COMPUTED_VALUE"""),"Private Contractor")</f>
        <v>Private Contractor</v>
      </c>
      <c r="N152" s="15" t="str">
        <f>IFERROR(__xludf.DUMMYFUNCTION("""COMPUTED_VALUE"""),"AM")</f>
        <v>AM</v>
      </c>
      <c r="O152" s="15" t="str">
        <f>IFERROR(__xludf.DUMMYFUNCTION("""COMPUTED_VALUE"""),"YES")</f>
        <v>YES</v>
      </c>
      <c r="P152" s="15" t="str">
        <f>IFERROR(__xludf.DUMMYFUNCTION("""COMPUTED_VALUE"""),"NO")</f>
        <v>NO</v>
      </c>
      <c r="Q152" s="15" t="str">
        <f>IFERROR(__xludf.DUMMYFUNCTION("""COMPUTED_VALUE"""),"NO")</f>
        <v>NO</v>
      </c>
      <c r="R152" s="15"/>
      <c r="S152" s="15"/>
      <c r="T152" s="15"/>
      <c r="U152" s="15" t="str">
        <f>IFERROR(__xludf.DUMMYFUNCTION("""COMPUTED_VALUE"""),"upper mezzanine to intermediate mezzanine for Brooklyn-bound service")</f>
        <v>upper mezzanine to intermediate mezzanine for Brooklyn-bound service</v>
      </c>
      <c r="V152" s="15" t="str">
        <f>IFERROR(__xludf.DUMMYFUNCTION("""COMPUTED_VALUE"""),"POINT (-73.830055 40.660427)")</f>
        <v>POINT (-73.830055 40.660427)</v>
      </c>
    </row>
    <row r="153" ht="22.5" customHeight="1">
      <c r="A153" s="7" t="str">
        <f>IFERROR(__xludf.DUMMYFUNCTION("""COMPUTED_VALUE"""),"161 St-Yankee Stadium")</f>
        <v>161 St-Yankee Stadium</v>
      </c>
      <c r="B153" s="8" t="str">
        <f>IFERROR(__xludf.DUMMYFUNCTION("""COMPUTED_VALUE"""),"Concourse Line")</f>
        <v>Concourse Line</v>
      </c>
      <c r="C153" s="8" t="str">
        <f>IFERROR(__xludf.DUMMYFUNCTION("""COMPUTED_VALUE"""),"The Bronx")</f>
        <v>The Bronx</v>
      </c>
      <c r="D153" s="8" t="str">
        <f>IFERROR(__xludf.DUMMYFUNCTION("""COMPUTED_VALUE"""),"Highbridge")</f>
        <v>Highbridge</v>
      </c>
      <c r="E153" s="33">
        <f>IFERROR(__xludf.DUMMYFUNCTION("""COMPUTED_VALUE"""),12236.0)</f>
        <v>12236</v>
      </c>
      <c r="F153" s="10">
        <f>IFERROR(__xludf.DUMMYFUNCTION("""COMPUTED_VALUE"""),5964943.0)</f>
        <v>5964943</v>
      </c>
      <c r="G153" s="19">
        <f>IFERROR(__xludf.DUMMYFUNCTION("""COMPUTED_VALUE"""),41.0)</f>
        <v>41</v>
      </c>
      <c r="H153" s="10" t="str">
        <f>IFERROR(__xludf.DUMMYFUNCTION("""COMPUTED_VALUE"""),"↗️")</f>
        <v>↗️</v>
      </c>
      <c r="I153" s="13">
        <f>IFERROR(__xludf.DUMMYFUNCTION("""COMPUTED_VALUE"""),22555.0)</f>
        <v>22555</v>
      </c>
      <c r="J153" s="32">
        <f>IFERROR(__xludf.DUMMYFUNCTION("""COMPUTED_VALUE"""),45738.0)</f>
        <v>45738</v>
      </c>
      <c r="K153" s="8">
        <f>IFERROR(__xludf.DUMMYFUNCTION("""COMPUTED_VALUE"""),22.0)</f>
        <v>22</v>
      </c>
      <c r="L153" s="15" t="str">
        <f>IFERROR(__xludf.DUMMYFUNCTION("""COMPUTED_VALUE"""),"YES")</f>
        <v>YES</v>
      </c>
      <c r="M153" s="15" t="str">
        <f>IFERROR(__xludf.DUMMYFUNCTION("""COMPUTED_VALUE"""),"NYCT")</f>
        <v>NYCT</v>
      </c>
      <c r="N153" s="15" t="str">
        <f>IFERROR(__xludf.DUMMYFUNCTION("""COMPUTED_VALUE"""),"KONE")</f>
        <v>KONE</v>
      </c>
      <c r="O153" s="15" t="str">
        <f>IFERROR(__xludf.DUMMYFUNCTION("""COMPUTED_VALUE"""),"YES")</f>
        <v>YES</v>
      </c>
      <c r="P153" s="15" t="str">
        <f>IFERROR(__xludf.DUMMYFUNCTION("""COMPUTED_VALUE"""),"NO")</f>
        <v>NO</v>
      </c>
      <c r="Q153" s="15" t="str">
        <f>IFERROR(__xludf.DUMMYFUNCTION("""COMPUTED_VALUE"""),"NO")</f>
        <v>NO</v>
      </c>
      <c r="R153" s="15" t="str">
        <f>IFERROR(__xludf.DUMMYFUNCTION("""COMPUTED_VALUE"""),"30'-9in")</f>
        <v>30'-9in</v>
      </c>
      <c r="S153" s="15">
        <f>IFERROR(__xludf.DUMMYFUNCTION("""COMPUTED_VALUE"""),119.0)</f>
        <v>119</v>
      </c>
      <c r="T153" s="15" t="str">
        <f>IFERROR(__xludf.DUMMYFUNCTION("""COMPUTED_VALUE"""),"40in")</f>
        <v>40in</v>
      </c>
      <c r="U153" s="15" t="str">
        <f>IFERROR(__xludf.DUMMYFUNCTION("""COMPUTED_VALUE"""),"B/D lower mezzanine to upper mezzanine for 4 service")</f>
        <v>B/D lower mezzanine to upper mezzanine for 4 service</v>
      </c>
      <c r="V153" s="15" t="str">
        <f>IFERROR(__xludf.DUMMYFUNCTION("""COMPUTED_VALUE"""),"POINT (-73.925674 40.827625)")</f>
        <v>POINT (-73.925674 40.827625)</v>
      </c>
    </row>
    <row r="154" ht="22.5" customHeight="1">
      <c r="A154" s="7" t="str">
        <f>IFERROR(__xludf.DUMMYFUNCTION("""COMPUTED_VALUE"""),"Sutphin Blvd-Archer Av-JFK Airport")</f>
        <v>Sutphin Blvd-Archer Av-JFK Airport</v>
      </c>
      <c r="B154" s="8" t="str">
        <f>IFERROR(__xludf.DUMMYFUNCTION("""COMPUTED_VALUE"""),"Archer Av Line")</f>
        <v>Archer Av Line</v>
      </c>
      <c r="C154" s="8" t="str">
        <f>IFERROR(__xludf.DUMMYFUNCTION("""COMPUTED_VALUE"""),"Queens")</f>
        <v>Queens</v>
      </c>
      <c r="D154" s="8" t="str">
        <f>IFERROR(__xludf.DUMMYFUNCTION("""COMPUTED_VALUE"""),"Jamaica")</f>
        <v>Jamaica</v>
      </c>
      <c r="E154" s="33">
        <f>IFERROR(__xludf.DUMMYFUNCTION("""COMPUTED_VALUE"""),32488.0)</f>
        <v>32488</v>
      </c>
      <c r="F154" s="10">
        <f>IFERROR(__xludf.DUMMYFUNCTION("""COMPUTED_VALUE"""),6496357.0)</f>
        <v>6496357</v>
      </c>
      <c r="G154" s="19">
        <f>IFERROR(__xludf.DUMMYFUNCTION("""COMPUTED_VALUE"""),32.0)</f>
        <v>32</v>
      </c>
      <c r="H154" s="10" t="str">
        <f>IFERROR(__xludf.DUMMYFUNCTION("""COMPUTED_VALUE"""),"↗️")</f>
        <v>↗️</v>
      </c>
      <c r="I154" s="13">
        <f>IFERROR(__xludf.DUMMYFUNCTION("""COMPUTED_VALUE"""),32478.0)</f>
        <v>32478</v>
      </c>
      <c r="J154" s="32">
        <f>IFERROR(__xludf.DUMMYFUNCTION("""COMPUTED_VALUE"""),45676.0)</f>
        <v>45676</v>
      </c>
      <c r="K154" s="8">
        <f>IFERROR(__xludf.DUMMYFUNCTION("""COMPUTED_VALUE"""),22.0)</f>
        <v>22</v>
      </c>
      <c r="L154" s="15" t="str">
        <f>IFERROR(__xludf.DUMMYFUNCTION("""COMPUTED_VALUE"""),"YES")</f>
        <v>YES</v>
      </c>
      <c r="M154" s="15" t="str">
        <f>IFERROR(__xludf.DUMMYFUNCTION("""COMPUTED_VALUE"""),"NYCT")</f>
        <v>NYCT</v>
      </c>
      <c r="N154" s="15"/>
      <c r="O154" s="15" t="str">
        <f>IFERROR(__xludf.DUMMYFUNCTION("""COMPUTED_VALUE"""),"YES")</f>
        <v>YES</v>
      </c>
      <c r="P154" s="15" t="str">
        <f>IFERROR(__xludf.DUMMYFUNCTION("""COMPUTED_VALUE"""),"NO")</f>
        <v>NO</v>
      </c>
      <c r="Q154" s="15" t="str">
        <f>IFERROR(__xludf.DUMMYFUNCTION("""COMPUTED_VALUE"""),"NO")</f>
        <v>NO</v>
      </c>
      <c r="R154" s="15" t="str">
        <f>IFERROR(__xludf.DUMMYFUNCTION("""COMPUTED_VALUE"""),"11' - 5 3/8in")</f>
        <v>11' - 5 3/8in</v>
      </c>
      <c r="S154" s="15">
        <f>IFERROR(__xludf.DUMMYFUNCTION("""COMPUTED_VALUE"""),53.0)</f>
        <v>53</v>
      </c>
      <c r="T154" s="15" t="str">
        <f>IFERROR(__xludf.DUMMYFUNCTION("""COMPUTED_VALUE"""),"40in")</f>
        <v>40in</v>
      </c>
      <c r="U154" s="15" t="str">
        <f>IFERROR(__xludf.DUMMYFUNCTION("""COMPUTED_VALUE"""),"E platform to mezzanine for Sutphin Blvd &amp; Archer Ave exit")</f>
        <v>E platform to mezzanine for Sutphin Blvd &amp; Archer Ave exit</v>
      </c>
      <c r="V154" s="15" t="str">
        <f>IFERROR(__xludf.DUMMYFUNCTION("""COMPUTED_VALUE"""),"POINT (-73.80785 40.700504)")</f>
        <v>POINT (-73.80785 40.700504)</v>
      </c>
    </row>
    <row r="155" ht="22.5" customHeight="1">
      <c r="A155" s="7" t="str">
        <f>IFERROR(__xludf.DUMMYFUNCTION("""COMPUTED_VALUE"""),"Broadway Junction")</f>
        <v>Broadway Junction</v>
      </c>
      <c r="B155" s="8" t="str">
        <f>IFERROR(__xludf.DUMMYFUNCTION("""COMPUTED_VALUE"""),"Canarsie Line")</f>
        <v>Canarsie Line</v>
      </c>
      <c r="C155" s="8" t="str">
        <f>IFERROR(__xludf.DUMMYFUNCTION("""COMPUTED_VALUE"""),"Brooklyn")</f>
        <v>Brooklyn</v>
      </c>
      <c r="D155" s="8" t="str">
        <f>IFERROR(__xludf.DUMMYFUNCTION("""COMPUTED_VALUE"""),"East New York")</f>
        <v>East New York</v>
      </c>
      <c r="E155" s="33">
        <f>IFERROR(__xludf.DUMMYFUNCTION("""COMPUTED_VALUE"""),10423.0)</f>
        <v>10423</v>
      </c>
      <c r="F155" s="10">
        <f>IFERROR(__xludf.DUMMYFUNCTION("""COMPUTED_VALUE"""),1808472.0)</f>
        <v>1808472</v>
      </c>
      <c r="G155" s="17">
        <f>IFERROR(__xludf.DUMMYFUNCTION("""COMPUTED_VALUE"""),176.0)</f>
        <v>176</v>
      </c>
      <c r="H155" s="10" t="str">
        <f>IFERROR(__xludf.DUMMYFUNCTION("""COMPUTED_VALUE"""),"↗️")</f>
        <v>↗️</v>
      </c>
      <c r="I155" s="13">
        <f>IFERROR(__xludf.DUMMYFUNCTION("""COMPUTED_VALUE"""),17715.0)</f>
        <v>17715</v>
      </c>
      <c r="J155" s="32">
        <f>IFERROR(__xludf.DUMMYFUNCTION("""COMPUTED_VALUE"""),34950.0)</f>
        <v>34950</v>
      </c>
      <c r="K155" s="8">
        <f>IFERROR(__xludf.DUMMYFUNCTION("""COMPUTED_VALUE"""),22.0)</f>
        <v>22</v>
      </c>
      <c r="L155" s="15" t="str">
        <f>IFERROR(__xludf.DUMMYFUNCTION("""COMPUTED_VALUE"""),"YES")</f>
        <v>YES</v>
      </c>
      <c r="M155" s="15" t="str">
        <f>IFERROR(__xludf.DUMMYFUNCTION("""COMPUTED_VALUE"""),"NYCT")</f>
        <v>NYCT</v>
      </c>
      <c r="N155" s="15" t="str">
        <f>IFERROR(__xludf.DUMMYFUNCTION("""COMPUTED_VALUE"""),"OK")</f>
        <v>OK</v>
      </c>
      <c r="O155" s="15" t="str">
        <f>IFERROR(__xludf.DUMMYFUNCTION("""COMPUTED_VALUE"""),"YES")</f>
        <v>YES</v>
      </c>
      <c r="P155" s="15" t="str">
        <f>IFERROR(__xludf.DUMMYFUNCTION("""COMPUTED_VALUE"""),"YES")</f>
        <v>YES</v>
      </c>
      <c r="Q155" s="15" t="str">
        <f>IFERROR(__xludf.DUMMYFUNCTION("""COMPUTED_VALUE"""),"NO")</f>
        <v>NO</v>
      </c>
      <c r="R155" s="15" t="str">
        <f>IFERROR(__xludf.DUMMYFUNCTION("""COMPUTED_VALUE"""),"44'")</f>
        <v>44'</v>
      </c>
      <c r="S155" s="15">
        <f>IFERROR(__xludf.DUMMYFUNCTION("""COMPUTED_VALUE"""),150.0)</f>
        <v>150</v>
      </c>
      <c r="T155" s="15">
        <f>IFERROR(__xludf.DUMMYFUNCTION("""COMPUTED_VALUE"""),32.0)</f>
        <v>32</v>
      </c>
      <c r="U155" s="15" t="str">
        <f>IFERROR(__xludf.DUMMYFUNCTION("""COMPUTED_VALUE"""),"J/Z/L upper mezzanine to Van Sinderen Ave mezzanine for access to street and A/C service")</f>
        <v>J/Z/L upper mezzanine to Van Sinderen Ave mezzanine for access to street and A/C service</v>
      </c>
      <c r="V155" s="15" t="str">
        <f>IFERROR(__xludf.DUMMYFUNCTION("""COMPUTED_VALUE"""),"POINT (-73.90392 40.678562)")</f>
        <v>POINT (-73.90392 40.678562)</v>
      </c>
    </row>
    <row r="156" ht="22.5" customHeight="1">
      <c r="A156" s="7" t="str">
        <f>IFERROR(__xludf.DUMMYFUNCTION("""COMPUTED_VALUE"""),"Sutphin Blvd-Archer Av-JFK Airport")</f>
        <v>Sutphin Blvd-Archer Av-JFK Airport</v>
      </c>
      <c r="B156" s="8" t="str">
        <f>IFERROR(__xludf.DUMMYFUNCTION("""COMPUTED_VALUE"""),"Archer Av Line")</f>
        <v>Archer Av Line</v>
      </c>
      <c r="C156" s="8" t="str">
        <f>IFERROR(__xludf.DUMMYFUNCTION("""COMPUTED_VALUE"""),"Queens")</f>
        <v>Queens</v>
      </c>
      <c r="D156" s="8" t="str">
        <f>IFERROR(__xludf.DUMMYFUNCTION("""COMPUTED_VALUE"""),"Jamaica")</f>
        <v>Jamaica</v>
      </c>
      <c r="E156" s="33">
        <f>IFERROR(__xludf.DUMMYFUNCTION("""COMPUTED_VALUE"""),32488.0)</f>
        <v>32488</v>
      </c>
      <c r="F156" s="10">
        <f>IFERROR(__xludf.DUMMYFUNCTION("""COMPUTED_VALUE"""),6496357.0)</f>
        <v>6496357</v>
      </c>
      <c r="G156" s="17">
        <f>IFERROR(__xludf.DUMMYFUNCTION("""COMPUTED_VALUE"""),32.0)</f>
        <v>32</v>
      </c>
      <c r="H156" s="10" t="str">
        <f>IFERROR(__xludf.DUMMYFUNCTION("""COMPUTED_VALUE"""),"↗️")</f>
        <v>↗️</v>
      </c>
      <c r="I156" s="13">
        <f>IFERROR(__xludf.DUMMYFUNCTION("""COMPUTED_VALUE"""),32478.0)</f>
        <v>32478</v>
      </c>
      <c r="J156" s="32">
        <f>IFERROR(__xludf.DUMMYFUNCTION("""COMPUTED_VALUE"""),45676.0)</f>
        <v>45676</v>
      </c>
      <c r="K156" s="8">
        <f>IFERROR(__xludf.DUMMYFUNCTION("""COMPUTED_VALUE"""),22.0)</f>
        <v>22</v>
      </c>
      <c r="L156" s="15" t="str">
        <f>IFERROR(__xludf.DUMMYFUNCTION("""COMPUTED_VALUE"""),"YES")</f>
        <v>YES</v>
      </c>
      <c r="M156" s="15" t="str">
        <f>IFERROR(__xludf.DUMMYFUNCTION("""COMPUTED_VALUE"""),"NYCT")</f>
        <v>NYCT</v>
      </c>
      <c r="N156" s="15"/>
      <c r="O156" s="15" t="str">
        <f>IFERROR(__xludf.DUMMYFUNCTION("""COMPUTED_VALUE"""),"YES")</f>
        <v>YES</v>
      </c>
      <c r="P156" s="15" t="str">
        <f>IFERROR(__xludf.DUMMYFUNCTION("""COMPUTED_VALUE"""),"NO")</f>
        <v>NO</v>
      </c>
      <c r="Q156" s="15" t="str">
        <f>IFERROR(__xludf.DUMMYFUNCTION("""COMPUTED_VALUE"""),"NO")</f>
        <v>NO</v>
      </c>
      <c r="R156" s="15" t="str">
        <f>IFERROR(__xludf.DUMMYFUNCTION("""COMPUTED_VALUE"""),"11' - 5 3/8in")</f>
        <v>11' - 5 3/8in</v>
      </c>
      <c r="S156" s="15">
        <f>IFERROR(__xludf.DUMMYFUNCTION("""COMPUTED_VALUE"""),53.0)</f>
        <v>53</v>
      </c>
      <c r="T156" s="15" t="str">
        <f>IFERROR(__xludf.DUMMYFUNCTION("""COMPUTED_VALUE"""),"40in")</f>
        <v>40in</v>
      </c>
      <c r="U156" s="15" t="str">
        <f>IFERROR(__xludf.DUMMYFUNCTION("""COMPUTED_VALUE"""),"mezzanine (Sutphin Blvd &amp; Archer Ave) to E platform for service in both directions and access to J/Z")</f>
        <v>mezzanine (Sutphin Blvd &amp; Archer Ave) to E platform for service in both directions and access to J/Z</v>
      </c>
      <c r="V156" s="15" t="str">
        <f>IFERROR(__xludf.DUMMYFUNCTION("""COMPUTED_VALUE"""),"POINT (-73.80787 40.700527)")</f>
        <v>POINT (-73.80787 40.700527)</v>
      </c>
    </row>
    <row r="157" ht="22.5" customHeight="1">
      <c r="A157" s="7" t="str">
        <f>IFERROR(__xludf.DUMMYFUNCTION("""COMPUTED_VALUE"""),"Jamaica Van Wyck")</f>
        <v>Jamaica Van Wyck</v>
      </c>
      <c r="B157" s="8" t="str">
        <f>IFERROR(__xludf.DUMMYFUNCTION("""COMPUTED_VALUE"""),"")</f>
        <v/>
      </c>
      <c r="C157" s="8" t="str">
        <f>IFERROR(__xludf.DUMMYFUNCTION("""COMPUTED_VALUE"""),"")</f>
        <v/>
      </c>
      <c r="D157" s="8" t="str">
        <f>IFERROR(__xludf.DUMMYFUNCTION("""COMPUTED_VALUE"""),"")</f>
        <v/>
      </c>
      <c r="E157" s="33" t="str">
        <f>IFERROR(__xludf.DUMMYFUNCTION("""COMPUTED_VALUE"""),"")</f>
        <v/>
      </c>
      <c r="F157" s="8" t="str">
        <f>IFERROR(__xludf.DUMMYFUNCTION("""COMPUTED_VALUE"""),"")</f>
        <v/>
      </c>
      <c r="G157" s="19" t="str">
        <f>IFERROR(__xludf.DUMMYFUNCTION("""COMPUTED_VALUE"""),"")</f>
        <v/>
      </c>
      <c r="H157" s="10" t="str">
        <f>IFERROR(__xludf.DUMMYFUNCTION("""COMPUTED_VALUE"""),"↗️")</f>
        <v>↗️</v>
      </c>
      <c r="I157" s="13">
        <f>IFERROR(__xludf.DUMMYFUNCTION("""COMPUTED_VALUE"""),39798.0)</f>
        <v>39798</v>
      </c>
      <c r="J157" s="32">
        <f>IFERROR(__xludf.DUMMYFUNCTION("""COMPUTED_VALUE"""),39798.0)</f>
        <v>39798</v>
      </c>
      <c r="K157" s="8">
        <f>IFERROR(__xludf.DUMMYFUNCTION("""COMPUTED_VALUE"""),22.0)</f>
        <v>22</v>
      </c>
      <c r="L157" s="15" t="str">
        <f>IFERROR(__xludf.DUMMYFUNCTION("""COMPUTED_VALUE"""),"YES")</f>
        <v>YES</v>
      </c>
      <c r="M157" s="15" t="str">
        <f>IFERROR(__xludf.DUMMYFUNCTION("""COMPUTED_VALUE"""),"NYCT")</f>
        <v>NYCT</v>
      </c>
      <c r="N157" s="15" t="str">
        <f>IFERROR(__xludf.DUMMYFUNCTION("""COMPUTED_VALUE"""),"KONE")</f>
        <v>KONE</v>
      </c>
      <c r="O157" s="15" t="str">
        <f>IFERROR(__xludf.DUMMYFUNCTION("""COMPUTED_VALUE"""),"YES")</f>
        <v>YES</v>
      </c>
      <c r="P157" s="15" t="str">
        <f>IFERROR(__xludf.DUMMYFUNCTION("""COMPUTED_VALUE"""),"NO")</f>
        <v>NO</v>
      </c>
      <c r="Q157" s="15" t="str">
        <f>IFERROR(__xludf.DUMMYFUNCTION("""COMPUTED_VALUE"""),"NO")</f>
        <v>NO</v>
      </c>
      <c r="R157" s="15" t="str">
        <f>IFERROR(__xludf.DUMMYFUNCTION("""COMPUTED_VALUE"""),"13'")</f>
        <v>13'</v>
      </c>
      <c r="S157" s="15">
        <f>IFERROR(__xludf.DUMMYFUNCTION("""COMPUTED_VALUE"""),57.0)</f>
        <v>57</v>
      </c>
      <c r="T157" s="15" t="str">
        <f>IFERROR(__xludf.DUMMYFUNCTION("""COMPUTED_VALUE"""),"40in")</f>
        <v>40in</v>
      </c>
      <c r="U157" s="15" t="str">
        <f>IFERROR(__xludf.DUMMYFUNCTION("""COMPUTED_VALUE"""),"platform to mezzanine for 89 Ave &amp; Van Wyck Expressway exit")</f>
        <v>platform to mezzanine for 89 Ave &amp; Van Wyck Expressway exit</v>
      </c>
      <c r="V157" s="15" t="str">
        <f>IFERROR(__xludf.DUMMYFUNCTION("""COMPUTED_VALUE"""),"POINT (-73.816605 40.70189)")</f>
        <v>POINT (-73.816605 40.70189)</v>
      </c>
    </row>
    <row r="158" ht="22.5" customHeight="1">
      <c r="A158" s="7" t="str">
        <f>IFERROR(__xludf.DUMMYFUNCTION("""COMPUTED_VALUE"""),"86 St")</f>
        <v>86 St</v>
      </c>
      <c r="B158" s="8" t="str">
        <f>IFERROR(__xludf.DUMMYFUNCTION("""COMPUTED_VALUE"""),"4 Av Line")</f>
        <v>4 Av Line</v>
      </c>
      <c r="C158" s="8" t="str">
        <f>IFERROR(__xludf.DUMMYFUNCTION("""COMPUTED_VALUE"""),"Brooklyn")</f>
        <v>Brooklyn</v>
      </c>
      <c r="D158" s="8" t="str">
        <f>IFERROR(__xludf.DUMMYFUNCTION("""COMPUTED_VALUE"""),"Bay Ridge")</f>
        <v>Bay Ridge</v>
      </c>
      <c r="E158" s="33">
        <f>IFERROR(__xludf.DUMMYFUNCTION("""COMPUTED_VALUE"""),5859.0)</f>
        <v>5859</v>
      </c>
      <c r="F158" s="10">
        <f>IFERROR(__xludf.DUMMYFUNCTION("""COMPUTED_VALUE"""),2580130.0)</f>
        <v>2580130</v>
      </c>
      <c r="G158" s="19">
        <f>IFERROR(__xludf.DUMMYFUNCTION("""COMPUTED_VALUE"""),135.0)</f>
        <v>135</v>
      </c>
      <c r="H158" s="10" t="str">
        <f>IFERROR(__xludf.DUMMYFUNCTION("""COMPUTED_VALUE"""),"↗️")</f>
        <v>↗️</v>
      </c>
      <c r="I158" s="13">
        <f>IFERROR(__xludf.DUMMYFUNCTION("""COMPUTED_VALUE"""),42736.0)</f>
        <v>42736</v>
      </c>
      <c r="J158" s="32">
        <f>IFERROR(__xludf.DUMMYFUNCTION("""COMPUTED_VALUE"""),42736.0)</f>
        <v>42736</v>
      </c>
      <c r="K158" s="8">
        <f>IFERROR(__xludf.DUMMYFUNCTION("""COMPUTED_VALUE"""),22.0)</f>
        <v>22</v>
      </c>
      <c r="L158" s="15" t="str">
        <f>IFERROR(__xludf.DUMMYFUNCTION("""COMPUTED_VALUE"""),"YES")</f>
        <v>YES</v>
      </c>
      <c r="M158" s="15" t="str">
        <f>IFERROR(__xludf.DUMMYFUNCTION("""COMPUTED_VALUE"""),"NYCT")</f>
        <v>NYCT</v>
      </c>
      <c r="N158" s="15" t="str">
        <f>IFERROR(__xludf.DUMMYFUNCTION("""COMPUTED_VALUE"""),"KONE")</f>
        <v>KONE</v>
      </c>
      <c r="O158" s="15" t="str">
        <f>IFERROR(__xludf.DUMMYFUNCTION("""COMPUTED_VALUE"""),"YES")</f>
        <v>YES</v>
      </c>
      <c r="P158" s="15" t="str">
        <f>IFERROR(__xludf.DUMMYFUNCTION("""COMPUTED_VALUE"""),"NO")</f>
        <v>NO</v>
      </c>
      <c r="Q158" s="15" t="str">
        <f>IFERROR(__xludf.DUMMYFUNCTION("""COMPUTED_VALUE"""),"NO")</f>
        <v>NO</v>
      </c>
      <c r="R158" s="15" t="str">
        <f>IFERROR(__xludf.DUMMYFUNCTION("""COMPUTED_VALUE"""),"4953 mm (16' 3in)")</f>
        <v>4953 mm (16' 3in)</v>
      </c>
      <c r="S158" s="15">
        <f>IFERROR(__xludf.DUMMYFUNCTION("""COMPUTED_VALUE"""),75.0)</f>
        <v>75</v>
      </c>
      <c r="T158" s="15" t="str">
        <f>IFERROR(__xludf.DUMMYFUNCTION("""COMPUTED_VALUE"""),"40in (NOMINAL), 996 mm")</f>
        <v>40in (NOMINAL), 996 mm</v>
      </c>
      <c r="U158" s="15" t="str">
        <f>IFERROR(__xludf.DUMMYFUNCTION("""COMPUTED_VALUE"""),"platform to lower mezzanine")</f>
        <v>platform to lower mezzanine</v>
      </c>
      <c r="V158" s="15" t="str">
        <f>IFERROR(__xludf.DUMMYFUNCTION("""COMPUTED_VALUE"""),"POINT (-73.952576 40.77666)")</f>
        <v>POINT (-73.952576 40.77666)</v>
      </c>
    </row>
    <row r="159" ht="22.5" customHeight="1">
      <c r="A159" s="7" t="str">
        <f>IFERROR(__xludf.DUMMYFUNCTION("""COMPUTED_VALUE"""),"Court Sq")</f>
        <v>Court Sq</v>
      </c>
      <c r="B159" s="8" t="str">
        <f>IFERROR(__xludf.DUMMYFUNCTION("""COMPUTED_VALUE"""),"")</f>
        <v/>
      </c>
      <c r="C159" s="8" t="str">
        <f>IFERROR(__xludf.DUMMYFUNCTION("""COMPUTED_VALUE"""),"")</f>
        <v/>
      </c>
      <c r="D159" s="8" t="str">
        <f>IFERROR(__xludf.DUMMYFUNCTION("""COMPUTED_VALUE"""),"")</f>
        <v/>
      </c>
      <c r="E159" s="33" t="str">
        <f>IFERROR(__xludf.DUMMYFUNCTION("""COMPUTED_VALUE"""),"")</f>
        <v/>
      </c>
      <c r="F159" s="10" t="str">
        <f>IFERROR(__xludf.DUMMYFUNCTION("""COMPUTED_VALUE"""),"")</f>
        <v/>
      </c>
      <c r="G159" s="19" t="str">
        <f>IFERROR(__xludf.DUMMYFUNCTION("""COMPUTED_VALUE"""),"")</f>
        <v/>
      </c>
      <c r="H159" s="10" t="str">
        <f>IFERROR(__xludf.DUMMYFUNCTION("""COMPUTED_VALUE"""),"↗️")</f>
        <v>↗️</v>
      </c>
      <c r="I159" s="13">
        <f>IFERROR(__xludf.DUMMYFUNCTION("""COMPUTED_VALUE"""),3.0)</f>
        <v>3</v>
      </c>
      <c r="J159" s="32">
        <f>IFERROR(__xludf.DUMMYFUNCTION("""COMPUTED_VALUE"""),40697.0)</f>
        <v>40697</v>
      </c>
      <c r="K159" s="8">
        <f>IFERROR(__xludf.DUMMYFUNCTION("""COMPUTED_VALUE"""),22.0)</f>
        <v>22</v>
      </c>
      <c r="L159" s="15" t="str">
        <f>IFERROR(__xludf.DUMMYFUNCTION("""COMPUTED_VALUE"""),"NO")</f>
        <v>NO</v>
      </c>
      <c r="M159" s="15" t="str">
        <f>IFERROR(__xludf.DUMMYFUNCTION("""COMPUTED_VALUE"""),"Private Contractor")</f>
        <v>Private Contractor</v>
      </c>
      <c r="N159" s="15" t="str">
        <f>IFERROR(__xludf.DUMMYFUNCTION("""COMPUTED_VALUE"""),"KONE")</f>
        <v>KONE</v>
      </c>
      <c r="O159" s="15" t="str">
        <f>IFERROR(__xludf.DUMMYFUNCTION("""COMPUTED_VALUE"""),"YES")</f>
        <v>YES</v>
      </c>
      <c r="P159" s="15" t="str">
        <f>IFERROR(__xludf.DUMMYFUNCTION("""COMPUTED_VALUE"""),"NO")</f>
        <v>NO</v>
      </c>
      <c r="Q159" s="15" t="str">
        <f>IFERROR(__xludf.DUMMYFUNCTION("""COMPUTED_VALUE"""),"NO")</f>
        <v>NO</v>
      </c>
      <c r="R159" s="15"/>
      <c r="S159" s="15">
        <f>IFERROR(__xludf.DUMMYFUNCTION("""COMPUTED_VALUE"""),0.0)</f>
        <v>0</v>
      </c>
      <c r="T159" s="15"/>
      <c r="U159" s="15" t="str">
        <f>IFERROR(__xludf.DUMMYFUNCTION("""COMPUTED_VALUE"""),"E/F/G mezzanine to 45 St &amp; Jackson Ave")</f>
        <v>E/F/G mezzanine to 45 St &amp; Jackson Ave</v>
      </c>
      <c r="V159" s="15" t="str">
        <f>IFERROR(__xludf.DUMMYFUNCTION("""COMPUTED_VALUE"""),"POINT (-73.94423 40.7472)")</f>
        <v>POINT (-73.94423 40.7472)</v>
      </c>
    </row>
    <row r="160" ht="22.5" customHeight="1">
      <c r="A160" s="7" t="str">
        <f>IFERROR(__xludf.DUMMYFUNCTION("""COMPUTED_VALUE"""),"Fulton St")</f>
        <v>Fulton St</v>
      </c>
      <c r="B160" s="8" t="str">
        <f>IFERROR(__xludf.DUMMYFUNCTION("""COMPUTED_VALUE"""),"Broadway-7 Av Line")</f>
        <v>Broadway-7 Av Line</v>
      </c>
      <c r="C160" s="8" t="str">
        <f>IFERROR(__xludf.DUMMYFUNCTION("""COMPUTED_VALUE"""),"Manhattan")</f>
        <v>Manhattan</v>
      </c>
      <c r="D160" s="8" t="str">
        <f>IFERROR(__xludf.DUMMYFUNCTION("""COMPUTED_VALUE"""),"Financial District")</f>
        <v>Financial District</v>
      </c>
      <c r="E160" s="33">
        <f>IFERROR(__xludf.DUMMYFUNCTION("""COMPUTED_VALUE"""),6757.0)</f>
        <v>6757</v>
      </c>
      <c r="F160" s="8">
        <f>IFERROR(__xludf.DUMMYFUNCTION("""COMPUTED_VALUE"""),1.9221396E7)</f>
        <v>19221396</v>
      </c>
      <c r="G160" s="17">
        <f>IFERROR(__xludf.DUMMYFUNCTION("""COMPUTED_VALUE"""),5.0)</f>
        <v>5</v>
      </c>
      <c r="H160" s="8" t="str">
        <f>IFERROR(__xludf.DUMMYFUNCTION("""COMPUTED_VALUE"""),"↗️")</f>
        <v>↗️</v>
      </c>
      <c r="I160" s="13"/>
      <c r="J160" s="32">
        <f>IFERROR(__xludf.DUMMYFUNCTION("""COMPUTED_VALUE"""),41953.0)</f>
        <v>41953</v>
      </c>
      <c r="K160" s="8">
        <f>IFERROR(__xludf.DUMMYFUNCTION("""COMPUTED_VALUE"""),22.0)</f>
        <v>22</v>
      </c>
      <c r="L160" s="15" t="str">
        <f>IFERROR(__xludf.DUMMYFUNCTION("""COMPUTED_VALUE"""),"NO")</f>
        <v>NO</v>
      </c>
      <c r="M160" s="15" t="str">
        <f>IFERROR(__xludf.DUMMYFUNCTION("""COMPUTED_VALUE"""),"Private Contractor")</f>
        <v>Private Contractor</v>
      </c>
      <c r="N160" s="15" t="str">
        <f>IFERROR(__xludf.DUMMYFUNCTION("""COMPUTED_VALUE"""),"THYSSEN-KRUPP")</f>
        <v>THYSSEN-KRUPP</v>
      </c>
      <c r="O160" s="15" t="str">
        <f>IFERROR(__xludf.DUMMYFUNCTION("""COMPUTED_VALUE"""),"YES")</f>
        <v>YES</v>
      </c>
      <c r="P160" s="15" t="str">
        <f>IFERROR(__xludf.DUMMYFUNCTION("""COMPUTED_VALUE"""),"NO")</f>
        <v>NO</v>
      </c>
      <c r="Q160" s="15" t="str">
        <f>IFERROR(__xludf.DUMMYFUNCTION("""COMPUTED_VALUE"""),"NO")</f>
        <v>NO</v>
      </c>
      <c r="R160" s="15"/>
      <c r="S160" s="15"/>
      <c r="T160" s="15"/>
      <c r="U160" s="15" t="str">
        <f>IFERROR(__xludf.DUMMYFUNCTION("""COMPUTED_VALUE"""),"uptown 4/5 platform level to Transit Center exit (SE corner of Fulton St &amp; Broadway)")</f>
        <v>uptown 4/5 platform level to Transit Center exit (SE corner of Fulton St &amp; Broadway)</v>
      </c>
      <c r="V160" s="15" t="str">
        <f>IFERROR(__xludf.DUMMYFUNCTION("""COMPUTED_VALUE"""),"POINT (-74.008934 40.7106)")</f>
        <v>POINT (-74.008934 40.7106)</v>
      </c>
    </row>
    <row r="161" ht="22.5" customHeight="1">
      <c r="A161" s="7" t="str">
        <f>IFERROR(__xludf.DUMMYFUNCTION("""COMPUTED_VALUE"""),"Times Sq-42 St")</f>
        <v>Times Sq-42 St</v>
      </c>
      <c r="B161" s="8" t="str">
        <f>IFERROR(__xludf.DUMMYFUNCTION("""COMPUTED_VALUE"""),"42nd St Line")</f>
        <v>42nd St Line</v>
      </c>
      <c r="C161" s="8" t="str">
        <f>IFERROR(__xludf.DUMMYFUNCTION("""COMPUTED_VALUE"""),"Manhattan")</f>
        <v>Manhattan</v>
      </c>
      <c r="D161" s="8" t="str">
        <f>IFERROR(__xludf.DUMMYFUNCTION("""COMPUTED_VALUE"""),"Times Square")</f>
        <v>Times Square</v>
      </c>
      <c r="E161" s="33">
        <f>IFERROR(__xludf.DUMMYFUNCTION("""COMPUTED_VALUE"""),1762.0)</f>
        <v>1762</v>
      </c>
      <c r="F161" s="10">
        <f>IFERROR(__xludf.DUMMYFUNCTION("""COMPUTED_VALUE"""),5.7743486E7)</f>
        <v>57743486</v>
      </c>
      <c r="G161" s="17">
        <f>IFERROR(__xludf.DUMMYFUNCTION("""COMPUTED_VALUE"""),1.0)</f>
        <v>1</v>
      </c>
      <c r="H161" s="10" t="str">
        <f>IFERROR(__xludf.DUMMYFUNCTION("""COMPUTED_VALUE"""),"↗️")</f>
        <v>↗️</v>
      </c>
      <c r="I161" s="13"/>
      <c r="J161" s="32">
        <f>IFERROR(__xludf.DUMMYFUNCTION("""COMPUTED_VALUE"""),33086.0)</f>
        <v>33086</v>
      </c>
      <c r="K161" s="8">
        <f>IFERROR(__xludf.DUMMYFUNCTION("""COMPUTED_VALUE"""),22.0)</f>
        <v>22</v>
      </c>
      <c r="L161" s="15" t="str">
        <f>IFERROR(__xludf.DUMMYFUNCTION("""COMPUTED_VALUE"""),"NO")</f>
        <v>NO</v>
      </c>
      <c r="M161" s="15" t="str">
        <f>IFERROR(__xludf.DUMMYFUNCTION("""COMPUTED_VALUE"""),"Private Contractor")</f>
        <v>Private Contractor</v>
      </c>
      <c r="N161" s="15" t="str">
        <f>IFERROR(__xludf.DUMMYFUNCTION("""COMPUTED_VALUE"""),"AM")</f>
        <v>AM</v>
      </c>
      <c r="O161" s="15" t="str">
        <f>IFERROR(__xludf.DUMMYFUNCTION("""COMPUTED_VALUE"""),"YES")</f>
        <v>YES</v>
      </c>
      <c r="P161" s="15" t="str">
        <f>IFERROR(__xludf.DUMMYFUNCTION("""COMPUTED_VALUE"""),"NO")</f>
        <v>NO</v>
      </c>
      <c r="Q161" s="15" t="str">
        <f>IFERROR(__xludf.DUMMYFUNCTION("""COMPUTED_VALUE"""),"NO")</f>
        <v>NO</v>
      </c>
      <c r="R161" s="15"/>
      <c r="S161" s="15"/>
      <c r="T161" s="15"/>
      <c r="U161" s="15" t="str">
        <f>IFERROR(__xludf.DUMMYFUNCTION("""COMPUTED_VALUE"""),"1/2/3 mezzanine to 42 St &amp; 7th Ave (SW corner)")</f>
        <v>1/2/3 mezzanine to 42 St &amp; 7th Ave (SW corner)</v>
      </c>
      <c r="V161" s="15" t="str">
        <f>IFERROR(__xludf.DUMMYFUNCTION("""COMPUTED_VALUE"""),"POINT (-73.98749 40.756073)")</f>
        <v>POINT (-73.98749 40.756073)</v>
      </c>
    </row>
    <row r="162" ht="22.5" customHeight="1">
      <c r="A162" s="7" t="str">
        <f>IFERROR(__xludf.DUMMYFUNCTION("""COMPUTED_VALUE"""),"Fulton St")</f>
        <v>Fulton St</v>
      </c>
      <c r="B162" s="8" t="str">
        <f>IFERROR(__xludf.DUMMYFUNCTION("""COMPUTED_VALUE"""),"Broadway-7 Av Line")</f>
        <v>Broadway-7 Av Line</v>
      </c>
      <c r="C162" s="8" t="str">
        <f>IFERROR(__xludf.DUMMYFUNCTION("""COMPUTED_VALUE"""),"Manhattan")</f>
        <v>Manhattan</v>
      </c>
      <c r="D162" s="8" t="str">
        <f>IFERROR(__xludf.DUMMYFUNCTION("""COMPUTED_VALUE"""),"Financial District")</f>
        <v>Financial District</v>
      </c>
      <c r="E162" s="33">
        <f>IFERROR(__xludf.DUMMYFUNCTION("""COMPUTED_VALUE"""),6757.0)</f>
        <v>6757</v>
      </c>
      <c r="F162" s="10">
        <f>IFERROR(__xludf.DUMMYFUNCTION("""COMPUTED_VALUE"""),1.9221396E7)</f>
        <v>19221396</v>
      </c>
      <c r="G162" s="17">
        <f>IFERROR(__xludf.DUMMYFUNCTION("""COMPUTED_VALUE"""),5.0)</f>
        <v>5</v>
      </c>
      <c r="H162" s="10" t="str">
        <f>IFERROR(__xludf.DUMMYFUNCTION("""COMPUTED_VALUE"""),"↗️")</f>
        <v>↗️</v>
      </c>
      <c r="I162" s="13">
        <f>IFERROR(__xludf.DUMMYFUNCTION("""COMPUTED_VALUE"""),41953.0)</f>
        <v>41953</v>
      </c>
      <c r="J162" s="32">
        <f>IFERROR(__xludf.DUMMYFUNCTION("""COMPUTED_VALUE"""),41953.0)</f>
        <v>41953</v>
      </c>
      <c r="K162" s="8">
        <f>IFERROR(__xludf.DUMMYFUNCTION("""COMPUTED_VALUE"""),22.0)</f>
        <v>22</v>
      </c>
      <c r="L162" s="15" t="str">
        <f>IFERROR(__xludf.DUMMYFUNCTION("""COMPUTED_VALUE"""),"YES")</f>
        <v>YES</v>
      </c>
      <c r="M162" s="15" t="str">
        <f>IFERROR(__xludf.DUMMYFUNCTION("""COMPUTED_VALUE"""),"NYCT")</f>
        <v>NYCT</v>
      </c>
      <c r="N162" s="15" t="str">
        <f>IFERROR(__xludf.DUMMYFUNCTION("""COMPUTED_VALUE"""),"AM")</f>
        <v>AM</v>
      </c>
      <c r="O162" s="15" t="str">
        <f>IFERROR(__xludf.DUMMYFUNCTION("""COMPUTED_VALUE"""),"YES")</f>
        <v>YES</v>
      </c>
      <c r="P162" s="15" t="str">
        <f>IFERROR(__xludf.DUMMYFUNCTION("""COMPUTED_VALUE"""),"NO")</f>
        <v>NO</v>
      </c>
      <c r="Q162" s="15" t="str">
        <f>IFERROR(__xludf.DUMMYFUNCTION("""COMPUTED_VALUE"""),"NO")</f>
        <v>NO</v>
      </c>
      <c r="R162" s="15" t="str">
        <f>IFERROR(__xludf.DUMMYFUNCTION("""COMPUTED_VALUE"""),"20' 2 1/5in")</f>
        <v>20' 2 1/5in</v>
      </c>
      <c r="S162" s="15">
        <f>IFERROR(__xludf.DUMMYFUNCTION("""COMPUTED_VALUE"""),80.0)</f>
        <v>80</v>
      </c>
      <c r="T162" s="15" t="str">
        <f>IFERROR(__xludf.DUMMYFUNCTION("""COMPUTED_VALUE"""),"48in (1000 mm)")</f>
        <v>48in (1000 mm)</v>
      </c>
      <c r="U162" s="15" t="str">
        <f>IFERROR(__xludf.DUMMYFUNCTION("""COMPUTED_VALUE"""),"lower concourse to downtown 4/5 platform and access to street")</f>
        <v>lower concourse to downtown 4/5 platform and access to street</v>
      </c>
      <c r="V162" s="15" t="str">
        <f>IFERROR(__xludf.DUMMYFUNCTION("""COMPUTED_VALUE"""),"POINT (-74.00948 40.710587)")</f>
        <v>POINT (-74.00948 40.710587)</v>
      </c>
    </row>
    <row r="163" ht="22.5" customHeight="1">
      <c r="A163" s="7" t="str">
        <f>IFERROR(__xludf.DUMMYFUNCTION("""COMPUTED_VALUE"""),"Roosevelt Island")</f>
        <v>Roosevelt Island</v>
      </c>
      <c r="B163" s="8" t="str">
        <f>IFERROR(__xludf.DUMMYFUNCTION("""COMPUTED_VALUE"""),"63rd St Line")</f>
        <v>63rd St Line</v>
      </c>
      <c r="C163" s="8" t="str">
        <f>IFERROR(__xludf.DUMMYFUNCTION("""COMPUTED_VALUE"""),"Manhattan")</f>
        <v>Manhattan</v>
      </c>
      <c r="D163" s="8" t="str">
        <f>IFERROR(__xludf.DUMMYFUNCTION("""COMPUTED_VALUE"""),"Roosevelt Island")</f>
        <v>Roosevelt Island</v>
      </c>
      <c r="E163" s="33">
        <f>IFERROR(__xludf.DUMMYFUNCTION("""COMPUTED_VALUE"""),32810.0)</f>
        <v>32810</v>
      </c>
      <c r="F163" s="10">
        <f>IFERROR(__xludf.DUMMYFUNCTION("""COMPUTED_VALUE"""),1885823.0)</f>
        <v>1885823</v>
      </c>
      <c r="G163" s="17">
        <f>IFERROR(__xludf.DUMMYFUNCTION("""COMPUTED_VALUE"""),171.0)</f>
        <v>171</v>
      </c>
      <c r="H163" s="10" t="str">
        <f>IFERROR(__xludf.DUMMYFUNCTION("""COMPUTED_VALUE"""),"↗️")</f>
        <v>↗️</v>
      </c>
      <c r="I163" s="13">
        <f>IFERROR(__xludf.DUMMYFUNCTION("""COMPUTED_VALUE"""),35258.0)</f>
        <v>35258</v>
      </c>
      <c r="J163" s="32">
        <f>IFERROR(__xludf.DUMMYFUNCTION("""COMPUTED_VALUE"""),45207.0)</f>
        <v>45207</v>
      </c>
      <c r="K163" s="8">
        <f>IFERROR(__xludf.DUMMYFUNCTION("""COMPUTED_VALUE"""),22.0)</f>
        <v>22</v>
      </c>
      <c r="L163" s="15" t="str">
        <f>IFERROR(__xludf.DUMMYFUNCTION("""COMPUTED_VALUE"""),"YES")</f>
        <v>YES</v>
      </c>
      <c r="M163" s="15" t="str">
        <f>IFERROR(__xludf.DUMMYFUNCTION("""COMPUTED_VALUE"""),"NYCT")</f>
        <v>NYCT</v>
      </c>
      <c r="N163" s="15" t="str">
        <f>IFERROR(__xludf.DUMMYFUNCTION("""COMPUTED_VALUE"""),"OK")</f>
        <v>OK</v>
      </c>
      <c r="O163" s="15" t="str">
        <f>IFERROR(__xludf.DUMMYFUNCTION("""COMPUTED_VALUE"""),"YES")</f>
        <v>YES</v>
      </c>
      <c r="P163" s="15" t="str">
        <f>IFERROR(__xludf.DUMMYFUNCTION("""COMPUTED_VALUE"""),"YES")</f>
        <v>YES</v>
      </c>
      <c r="Q163" s="15" t="str">
        <f>IFERROR(__xludf.DUMMYFUNCTION("""COMPUTED_VALUE"""),"NO")</f>
        <v>NO</v>
      </c>
      <c r="R163" s="15" t="str">
        <f>IFERROR(__xludf.DUMMYFUNCTION("""COMPUTED_VALUE"""),"38'")</f>
        <v>38'</v>
      </c>
      <c r="S163" s="15">
        <f>IFERROR(__xludf.DUMMYFUNCTION("""COMPUTED_VALUE"""),136.0)</f>
        <v>136</v>
      </c>
      <c r="T163" s="15">
        <f>IFERROR(__xludf.DUMMYFUNCTION("""COMPUTED_VALUE"""),40.0)</f>
        <v>40</v>
      </c>
      <c r="U163" s="15" t="str">
        <f>IFERROR(__xludf.DUMMYFUNCTION("""COMPUTED_VALUE"""),"intermediate mezzanine to W Rd exit")</f>
        <v>intermediate mezzanine to W Rd exit</v>
      </c>
      <c r="V163" s="15" t="str">
        <f>IFERROR(__xludf.DUMMYFUNCTION("""COMPUTED_VALUE"""),"POINT (-73.95317 40.759094)")</f>
        <v>POINT (-73.95317 40.759094)</v>
      </c>
    </row>
    <row r="164" ht="22.5" customHeight="1">
      <c r="A164" s="7" t="str">
        <f>IFERROR(__xludf.DUMMYFUNCTION("""COMPUTED_VALUE"""),"Times Sq-42 St")</f>
        <v>Times Sq-42 St</v>
      </c>
      <c r="B164" s="8" t="str">
        <f>IFERROR(__xludf.DUMMYFUNCTION("""COMPUTED_VALUE"""),"42nd St Line")</f>
        <v>42nd St Line</v>
      </c>
      <c r="C164" s="8" t="str">
        <f>IFERROR(__xludf.DUMMYFUNCTION("""COMPUTED_VALUE"""),"Manhattan")</f>
        <v>Manhattan</v>
      </c>
      <c r="D164" s="8" t="str">
        <f>IFERROR(__xludf.DUMMYFUNCTION("""COMPUTED_VALUE"""),"Times Square")</f>
        <v>Times Square</v>
      </c>
      <c r="E164" s="33">
        <f>IFERROR(__xludf.DUMMYFUNCTION("""COMPUTED_VALUE"""),1762.0)</f>
        <v>1762</v>
      </c>
      <c r="F164" s="10">
        <f>IFERROR(__xludf.DUMMYFUNCTION("""COMPUTED_VALUE"""),5.7743486E7)</f>
        <v>57743486</v>
      </c>
      <c r="G164" s="19">
        <f>IFERROR(__xludf.DUMMYFUNCTION("""COMPUTED_VALUE"""),1.0)</f>
        <v>1</v>
      </c>
      <c r="H164" s="10" t="str">
        <f>IFERROR(__xludf.DUMMYFUNCTION("""COMPUTED_VALUE"""),"↗️")</f>
        <v>↗️</v>
      </c>
      <c r="I164" s="13">
        <f>IFERROR(__xludf.DUMMYFUNCTION("""COMPUTED_VALUE"""),9935.0)</f>
        <v>9935</v>
      </c>
      <c r="J164" s="32">
        <f>IFERROR(__xludf.DUMMYFUNCTION("""COMPUTED_VALUE"""),38742.0)</f>
        <v>38742</v>
      </c>
      <c r="K164" s="8">
        <f>IFERROR(__xludf.DUMMYFUNCTION("""COMPUTED_VALUE"""),22.0)</f>
        <v>22</v>
      </c>
      <c r="L164" s="15" t="str">
        <f>IFERROR(__xludf.DUMMYFUNCTION("""COMPUTED_VALUE"""),"YES")</f>
        <v>YES</v>
      </c>
      <c r="M164" s="15" t="str">
        <f>IFERROR(__xludf.DUMMYFUNCTION("""COMPUTED_VALUE"""),"NYCT")</f>
        <v>NYCT</v>
      </c>
      <c r="N164" s="15" t="str">
        <f>IFERROR(__xludf.DUMMYFUNCTION("""COMPUTED_VALUE"""),"KONE")</f>
        <v>KONE</v>
      </c>
      <c r="O164" s="15" t="str">
        <f>IFERROR(__xludf.DUMMYFUNCTION("""COMPUTED_VALUE"""),"YES")</f>
        <v>YES</v>
      </c>
      <c r="P164" s="15" t="str">
        <f>IFERROR(__xludf.DUMMYFUNCTION("""COMPUTED_VALUE"""),"NO")</f>
        <v>NO</v>
      </c>
      <c r="Q164" s="15" t="str">
        <f>IFERROR(__xludf.DUMMYFUNCTION("""COMPUTED_VALUE"""),"NO")</f>
        <v>NO</v>
      </c>
      <c r="R164" s="15" t="str">
        <f>IFERROR(__xludf.DUMMYFUNCTION("""COMPUTED_VALUE"""),"39'")</f>
        <v>39'</v>
      </c>
      <c r="S164" s="15">
        <f>IFERROR(__xludf.DUMMYFUNCTION("""COMPUTED_VALUE"""),135.0)</f>
        <v>135</v>
      </c>
      <c r="T164" s="15">
        <f>IFERROR(__xludf.DUMMYFUNCTION("""COMPUTED_VALUE"""),40.0)</f>
        <v>40</v>
      </c>
      <c r="U164" s="15" t="str">
        <f>IFERROR(__xludf.DUMMYFUNCTION("""COMPUTED_VALUE"""),"7 platform to upper mezzanine for 41 St &amp; 7 Ave exit and access to rest of complex")</f>
        <v>7 platform to upper mezzanine for 41 St &amp; 7 Ave exit and access to rest of complex</v>
      </c>
      <c r="V164" s="15" t="str">
        <f>IFERROR(__xludf.DUMMYFUNCTION("""COMPUTED_VALUE"""),"POINT (-73.98698 40.755154)")</f>
        <v>POINT (-73.98698 40.755154)</v>
      </c>
    </row>
    <row r="165" ht="22.5" customHeight="1">
      <c r="A165" s="7" t="str">
        <f>IFERROR(__xludf.DUMMYFUNCTION("""COMPUTED_VALUE"""),"High St")</f>
        <v>High St</v>
      </c>
      <c r="B165" s="8" t="str">
        <f>IFERROR(__xludf.DUMMYFUNCTION("""COMPUTED_VALUE"""),"8 Av Line")</f>
        <v>8 Av Line</v>
      </c>
      <c r="C165" s="8" t="str">
        <f>IFERROR(__xludf.DUMMYFUNCTION("""COMPUTED_VALUE"""),"Brooklyn")</f>
        <v>Brooklyn</v>
      </c>
      <c r="D165" s="8" t="str">
        <f>IFERROR(__xludf.DUMMYFUNCTION("""COMPUTED_VALUE"""),"Brooklyn Heights")</f>
        <v>Brooklyn Heights</v>
      </c>
      <c r="E165" s="33">
        <f>IFERROR(__xludf.DUMMYFUNCTION("""COMPUTED_VALUE"""),12229.0)</f>
        <v>12229</v>
      </c>
      <c r="F165" s="10">
        <f>IFERROR(__xludf.DUMMYFUNCTION("""COMPUTED_VALUE"""),2213320.0)</f>
        <v>2213320</v>
      </c>
      <c r="G165" s="17">
        <f>IFERROR(__xludf.DUMMYFUNCTION("""COMPUTED_VALUE"""),150.0)</f>
        <v>150</v>
      </c>
      <c r="H165" s="31" t="str">
        <f>IFERROR(__xludf.DUMMYFUNCTION("""COMPUTED_VALUE"""),"↗️")</f>
        <v>↗️</v>
      </c>
      <c r="I165" s="13">
        <f>IFERROR(__xludf.DUMMYFUNCTION("""COMPUTED_VALUE"""),12229.0)</f>
        <v>12229</v>
      </c>
      <c r="J165" s="32">
        <f>IFERROR(__xludf.DUMMYFUNCTION("""COMPUTED_VALUE"""),45792.0)</f>
        <v>45792</v>
      </c>
      <c r="K165" s="8">
        <f>IFERROR(__xludf.DUMMYFUNCTION("""COMPUTED_VALUE"""),22.0)</f>
        <v>22</v>
      </c>
      <c r="L165" s="15" t="str">
        <f>IFERROR(__xludf.DUMMYFUNCTION("""COMPUTED_VALUE"""),"YES")</f>
        <v>YES</v>
      </c>
      <c r="M165" s="15" t="str">
        <f>IFERROR(__xludf.DUMMYFUNCTION("""COMPUTED_VALUE"""),"NYCT")</f>
        <v>NYCT</v>
      </c>
      <c r="N165" s="15" t="str">
        <f>IFERROR(__xludf.DUMMYFUNCTION("""COMPUTED_VALUE"""),"KONE")</f>
        <v>KONE</v>
      </c>
      <c r="O165" s="15" t="str">
        <f>IFERROR(__xludf.DUMMYFUNCTION("""COMPUTED_VALUE"""),"YES")</f>
        <v>YES</v>
      </c>
      <c r="P165" s="15" t="str">
        <f>IFERROR(__xludf.DUMMYFUNCTION("""COMPUTED_VALUE"""),"NO")</f>
        <v>NO</v>
      </c>
      <c r="Q165" s="15" t="str">
        <f>IFERROR(__xludf.DUMMYFUNCTION("""COMPUTED_VALUE"""),"NO")</f>
        <v>NO</v>
      </c>
      <c r="R165" s="15" t="str">
        <f>IFERROR(__xludf.DUMMYFUNCTION("""COMPUTED_VALUE"""),"39' 11/5in")</f>
        <v>39' 11/5in</v>
      </c>
      <c r="S165" s="15">
        <f>IFERROR(__xludf.DUMMYFUNCTION("""COMPUTED_VALUE"""),140.0)</f>
        <v>140</v>
      </c>
      <c r="T165" s="15">
        <f>IFERROR(__xludf.DUMMYFUNCTION("""COMPUTED_VALUE"""),24.0)</f>
        <v>24</v>
      </c>
      <c r="U165" s="15" t="str">
        <f>IFERROR(__xludf.DUMMYFUNCTION("""COMPUTED_VALUE"""),"lower mezzanine to upper mezzanine for Cadman Plaza West &amp; Middagh St exit")</f>
        <v>lower mezzanine to upper mezzanine for Cadman Plaza West &amp; Middagh St exit</v>
      </c>
      <c r="V165" s="15" t="str">
        <f>IFERROR(__xludf.DUMMYFUNCTION("""COMPUTED_VALUE"""),"POINT (-73.991104 40.699516)")</f>
        <v>POINT (-73.991104 40.699516)</v>
      </c>
    </row>
    <row r="166" ht="22.5" customHeight="1">
      <c r="A166" s="7" t="str">
        <f>IFERROR(__xludf.DUMMYFUNCTION("""COMPUTED_VALUE"""),"86 St")</f>
        <v>86 St</v>
      </c>
      <c r="B166" s="8" t="str">
        <f>IFERROR(__xludf.DUMMYFUNCTION("""COMPUTED_VALUE"""),"4 Av Line")</f>
        <v>4 Av Line</v>
      </c>
      <c r="C166" s="8" t="str">
        <f>IFERROR(__xludf.DUMMYFUNCTION("""COMPUTED_VALUE"""),"Brooklyn")</f>
        <v>Brooklyn</v>
      </c>
      <c r="D166" s="8" t="str">
        <f>IFERROR(__xludf.DUMMYFUNCTION("""COMPUTED_VALUE"""),"Bay Ridge")</f>
        <v>Bay Ridge</v>
      </c>
      <c r="E166" s="33">
        <f>IFERROR(__xludf.DUMMYFUNCTION("""COMPUTED_VALUE"""),5859.0)</f>
        <v>5859</v>
      </c>
      <c r="F166" s="10">
        <f>IFERROR(__xludf.DUMMYFUNCTION("""COMPUTED_VALUE"""),2580130.0)</f>
        <v>2580130</v>
      </c>
      <c r="G166" s="17">
        <f>IFERROR(__xludf.DUMMYFUNCTION("""COMPUTED_VALUE"""),135.0)</f>
        <v>135</v>
      </c>
      <c r="H166" s="10" t="str">
        <f>IFERROR(__xludf.DUMMYFUNCTION("""COMPUTED_VALUE"""),"↗️")</f>
        <v>↗️</v>
      </c>
      <c r="I166" s="13">
        <f>IFERROR(__xludf.DUMMYFUNCTION("""COMPUTED_VALUE"""),42736.0)</f>
        <v>42736</v>
      </c>
      <c r="J166" s="32">
        <f>IFERROR(__xludf.DUMMYFUNCTION("""COMPUTED_VALUE"""),42736.0)</f>
        <v>42736</v>
      </c>
      <c r="K166" s="8">
        <f>IFERROR(__xludf.DUMMYFUNCTION("""COMPUTED_VALUE"""),22.0)</f>
        <v>22</v>
      </c>
      <c r="L166" s="15" t="str">
        <f>IFERROR(__xludf.DUMMYFUNCTION("""COMPUTED_VALUE"""),"YES")</f>
        <v>YES</v>
      </c>
      <c r="M166" s="15" t="str">
        <f>IFERROR(__xludf.DUMMYFUNCTION("""COMPUTED_VALUE"""),"NYCT")</f>
        <v>NYCT</v>
      </c>
      <c r="N166" s="15" t="str">
        <f>IFERROR(__xludf.DUMMYFUNCTION("""COMPUTED_VALUE"""),"KONE")</f>
        <v>KONE</v>
      </c>
      <c r="O166" s="15" t="str">
        <f>IFERROR(__xludf.DUMMYFUNCTION("""COMPUTED_VALUE"""),"YES")</f>
        <v>YES</v>
      </c>
      <c r="P166" s="15" t="str">
        <f>IFERROR(__xludf.DUMMYFUNCTION("""COMPUTED_VALUE"""),"NO")</f>
        <v>NO</v>
      </c>
      <c r="Q166" s="15" t="str">
        <f>IFERROR(__xludf.DUMMYFUNCTION("""COMPUTED_VALUE"""),"NO")</f>
        <v>NO</v>
      </c>
      <c r="R166" s="15" t="str">
        <f>IFERROR(__xludf.DUMMYFUNCTION("""COMPUTED_VALUE"""),"13719 mm (45' 0 1/8in)")</f>
        <v>13719 mm (45' 0 1/8in)</v>
      </c>
      <c r="S166" s="15">
        <f>IFERROR(__xludf.DUMMYFUNCTION("""COMPUTED_VALUE"""),164.0)</f>
        <v>164</v>
      </c>
      <c r="T166" s="15" t="str">
        <f>IFERROR(__xludf.DUMMYFUNCTION("""COMPUTED_VALUE"""),"40in (NOMINAL), 996 mm")</f>
        <v>40in (NOMINAL), 996 mm</v>
      </c>
      <c r="U166" s="15" t="str">
        <f>IFERROR(__xludf.DUMMYFUNCTION("""COMPUTED_VALUE"""),"lower mezzanine to upper mezzanine for 86 St &amp; 2nd Ave exit")</f>
        <v>lower mezzanine to upper mezzanine for 86 St &amp; 2nd Ave exit</v>
      </c>
      <c r="V166" s="15" t="str">
        <f>IFERROR(__xludf.DUMMYFUNCTION("""COMPUTED_VALUE"""),"POINT (-73.95141 40.777634)")</f>
        <v>POINT (-73.95141 40.777634)</v>
      </c>
    </row>
    <row r="167" ht="22.5" customHeight="1">
      <c r="A167" s="7" t="str">
        <f>IFERROR(__xludf.DUMMYFUNCTION("""COMPUTED_VALUE"""),"42St/Port Authority-Bus Terminal")</f>
        <v>42St/Port Authority-Bus Terminal</v>
      </c>
      <c r="B167" s="8" t="str">
        <f>IFERROR(__xludf.DUMMYFUNCTION("""COMPUTED_VALUE"""),"")</f>
        <v/>
      </c>
      <c r="C167" s="8" t="str">
        <f>IFERROR(__xludf.DUMMYFUNCTION("""COMPUTED_VALUE"""),"")</f>
        <v/>
      </c>
      <c r="D167" s="8" t="str">
        <f>IFERROR(__xludf.DUMMYFUNCTION("""COMPUTED_VALUE"""),"")</f>
        <v/>
      </c>
      <c r="E167" s="33" t="str">
        <f>IFERROR(__xludf.DUMMYFUNCTION("""COMPUTED_VALUE"""),"")</f>
        <v/>
      </c>
      <c r="F167" s="10" t="str">
        <f>IFERROR(__xludf.DUMMYFUNCTION("""COMPUTED_VALUE"""),"")</f>
        <v/>
      </c>
      <c r="G167" s="17" t="str">
        <f>IFERROR(__xludf.DUMMYFUNCTION("""COMPUTED_VALUE"""),"")</f>
        <v/>
      </c>
      <c r="H167" s="10" t="str">
        <f>IFERROR(__xludf.DUMMYFUNCTION("""COMPUTED_VALUE"""),"↗️")</f>
        <v>↗️</v>
      </c>
      <c r="I167" s="13"/>
      <c r="J167" s="32">
        <f>IFERROR(__xludf.DUMMYFUNCTION("""COMPUTED_VALUE"""),40787.0)</f>
        <v>40787</v>
      </c>
      <c r="K167" s="8">
        <f>IFERROR(__xludf.DUMMYFUNCTION("""COMPUTED_VALUE"""),22.0)</f>
        <v>22</v>
      </c>
      <c r="L167" s="15" t="str">
        <f>IFERROR(__xludf.DUMMYFUNCTION("""COMPUTED_VALUE"""),"NO")</f>
        <v>NO</v>
      </c>
      <c r="M167" s="15" t="str">
        <f>IFERROR(__xludf.DUMMYFUNCTION("""COMPUTED_VALUE"""),"Private Contractor")</f>
        <v>Private Contractor</v>
      </c>
      <c r="N167" s="15" t="str">
        <f>IFERROR(__xludf.DUMMYFUNCTION("""COMPUTED_VALUE"""),"AM")</f>
        <v>AM</v>
      </c>
      <c r="O167" s="15" t="str">
        <f>IFERROR(__xludf.DUMMYFUNCTION("""COMPUTED_VALUE"""),"YES")</f>
        <v>YES</v>
      </c>
      <c r="P167" s="15" t="str">
        <f>IFERROR(__xludf.DUMMYFUNCTION("""COMPUTED_VALUE"""),"NO")</f>
        <v>NO</v>
      </c>
      <c r="Q167" s="15" t="str">
        <f>IFERROR(__xludf.DUMMYFUNCTION("""COMPUTED_VALUE"""),"NO")</f>
        <v>NO</v>
      </c>
      <c r="R167" s="15"/>
      <c r="S167" s="15">
        <f>IFERROR(__xludf.DUMMYFUNCTION("""COMPUTED_VALUE"""),0.0)</f>
        <v>0</v>
      </c>
      <c r="T167" s="15"/>
      <c r="U167" s="15" t="str">
        <f>IFERROR(__xludf.DUMMYFUNCTION("""COMPUTED_VALUE"""),"Mezzanine for A/C/E service in both directions via ramps to Port Authority Bus Terminal (8th Ave between 41st St &amp; 42nd St)")</f>
        <v>Mezzanine for A/C/E service in both directions via ramps to Port Authority Bus Terminal (8th Ave between 41st St &amp; 42nd St)</v>
      </c>
      <c r="V167" s="15" t="str">
        <f>IFERROR(__xludf.DUMMYFUNCTION("""COMPUTED_VALUE"""),"POINT (-73.98978 40.757362)")</f>
        <v>POINT (-73.98978 40.757362)</v>
      </c>
    </row>
    <row r="168" ht="22.5" customHeight="1">
      <c r="A168" s="7" t="str">
        <f>IFERROR(__xludf.DUMMYFUNCTION("""COMPUTED_VALUE"""),"50 St")</f>
        <v>50 St</v>
      </c>
      <c r="B168" s="8" t="str">
        <f>IFERROR(__xludf.DUMMYFUNCTION("""COMPUTED_VALUE"""),"8 Av Line,Queens Blvd Line")</f>
        <v>8 Av Line,Queens Blvd Line</v>
      </c>
      <c r="C168" s="8" t="str">
        <f>IFERROR(__xludf.DUMMYFUNCTION("""COMPUTED_VALUE"""),"Manhattan")</f>
        <v>Manhattan</v>
      </c>
      <c r="D168" s="8" t="str">
        <f>IFERROR(__xludf.DUMMYFUNCTION("""COMPUTED_VALUE"""),"Midtown")</f>
        <v>Midtown</v>
      </c>
      <c r="E168" s="33">
        <f>IFERROR(__xludf.DUMMYFUNCTION("""COMPUTED_VALUE"""),11942.0)</f>
        <v>11942</v>
      </c>
      <c r="F168" s="10">
        <f>IFERROR(__xludf.DUMMYFUNCTION("""COMPUTED_VALUE"""),5542652.0)</f>
        <v>5542652</v>
      </c>
      <c r="G168" s="19">
        <f>IFERROR(__xludf.DUMMYFUNCTION("""COMPUTED_VALUE"""),49.0)</f>
        <v>49</v>
      </c>
      <c r="H168" s="10" t="str">
        <f>IFERROR(__xludf.DUMMYFUNCTION("""COMPUTED_VALUE"""),"↗️")</f>
        <v>↗️</v>
      </c>
      <c r="I168" s="13">
        <f>IFERROR(__xludf.DUMMYFUNCTION("""COMPUTED_VALUE"""),3.0)</f>
        <v>3</v>
      </c>
      <c r="J168" s="32">
        <f>IFERROR(__xludf.DUMMYFUNCTION("""COMPUTED_VALUE"""),40330.0)</f>
        <v>40330</v>
      </c>
      <c r="K168" s="8">
        <f>IFERROR(__xludf.DUMMYFUNCTION("""COMPUTED_VALUE"""),22.0)</f>
        <v>22</v>
      </c>
      <c r="L168" s="15" t="str">
        <f>IFERROR(__xludf.DUMMYFUNCTION("""COMPUTED_VALUE"""),"NO")</f>
        <v>NO</v>
      </c>
      <c r="M168" s="15" t="str">
        <f>IFERROR(__xludf.DUMMYFUNCTION("""COMPUTED_VALUE"""),"Private Contractor")</f>
        <v>Private Contractor</v>
      </c>
      <c r="N168" s="15" t="str">
        <f>IFERROR(__xludf.DUMMYFUNCTION("""COMPUTED_VALUE"""),"AM")</f>
        <v>AM</v>
      </c>
      <c r="O168" s="15" t="str">
        <f>IFERROR(__xludf.DUMMYFUNCTION("""COMPUTED_VALUE"""),"YES")</f>
        <v>YES</v>
      </c>
      <c r="P168" s="15" t="str">
        <f>IFERROR(__xludf.DUMMYFUNCTION("""COMPUTED_VALUE"""),"NO")</f>
        <v>NO</v>
      </c>
      <c r="Q168" s="15" t="str">
        <f>IFERROR(__xludf.DUMMYFUNCTION("""COMPUTED_VALUE"""),"NO")</f>
        <v>NO</v>
      </c>
      <c r="R168" s="15"/>
      <c r="S168" s="15"/>
      <c r="T168" s="15"/>
      <c r="U168" s="15" t="str">
        <f>IFERROR(__xludf.DUMMYFUNCTION("""COMPUTED_VALUE"""),"downtown E platform to downtown C platform and access to street")</f>
        <v>downtown E platform to downtown C platform and access to street</v>
      </c>
      <c r="V168" s="15" t="str">
        <f>IFERROR(__xludf.DUMMYFUNCTION("""COMPUTED_VALUE"""),"POINT (-73.9865 40.762257)")</f>
        <v>POINT (-73.9865 40.762257)</v>
      </c>
    </row>
    <row r="169" ht="22.5" customHeight="1">
      <c r="A169" s="7" t="str">
        <f>IFERROR(__xludf.DUMMYFUNCTION("""COMPUTED_VALUE"""),"72 St")</f>
        <v>72 St</v>
      </c>
      <c r="B169" s="8" t="str">
        <f>IFERROR(__xludf.DUMMYFUNCTION("""COMPUTED_VALUE"""),"Broadway-7 Av Line")</f>
        <v>Broadway-7 Av Line</v>
      </c>
      <c r="C169" s="8" t="str">
        <f>IFERROR(__xludf.DUMMYFUNCTION("""COMPUTED_VALUE"""),"Manhattan")</f>
        <v>Manhattan</v>
      </c>
      <c r="D169" s="8" t="str">
        <f>IFERROR(__xludf.DUMMYFUNCTION("""COMPUTED_VALUE"""),"Upper West Side")</f>
        <v>Upper West Side</v>
      </c>
      <c r="E169" s="33">
        <f>IFERROR(__xludf.DUMMYFUNCTION("""COMPUTED_VALUE"""),1762.0)</f>
        <v>1762</v>
      </c>
      <c r="F169" s="8">
        <f>IFERROR(__xludf.DUMMYFUNCTION("""COMPUTED_VALUE"""),9752193.0)</f>
        <v>9752193</v>
      </c>
      <c r="G169" s="19">
        <f>IFERROR(__xludf.DUMMYFUNCTION("""COMPUTED_VALUE"""),22.0)</f>
        <v>22</v>
      </c>
      <c r="H169" s="10" t="str">
        <f>IFERROR(__xludf.DUMMYFUNCTION("""COMPUTED_VALUE"""),"↗️")</f>
        <v>↗️</v>
      </c>
      <c r="I169" s="13">
        <f>IFERROR(__xludf.DUMMYFUNCTION("""COMPUTED_VALUE"""),42736.0)</f>
        <v>42736</v>
      </c>
      <c r="J169" s="32">
        <f>IFERROR(__xludf.DUMMYFUNCTION("""COMPUTED_VALUE"""),42736.0)</f>
        <v>42736</v>
      </c>
      <c r="K169" s="8">
        <f>IFERROR(__xludf.DUMMYFUNCTION("""COMPUTED_VALUE"""),22.0)</f>
        <v>22</v>
      </c>
      <c r="L169" s="15" t="str">
        <f>IFERROR(__xludf.DUMMYFUNCTION("""COMPUTED_VALUE"""),"YES")</f>
        <v>YES</v>
      </c>
      <c r="M169" s="15" t="str">
        <f>IFERROR(__xludf.DUMMYFUNCTION("""COMPUTED_VALUE"""),"NYCT")</f>
        <v>NYCT</v>
      </c>
      <c r="N169" s="15" t="str">
        <f>IFERROR(__xludf.DUMMYFUNCTION("""COMPUTED_VALUE"""),"SCHINDLER")</f>
        <v>SCHINDLER</v>
      </c>
      <c r="O169" s="15" t="str">
        <f>IFERROR(__xludf.DUMMYFUNCTION("""COMPUTED_VALUE"""),"YES")</f>
        <v>YES</v>
      </c>
      <c r="P169" s="15" t="str">
        <f>IFERROR(__xludf.DUMMYFUNCTION("""COMPUTED_VALUE"""),"YES")</f>
        <v>YES</v>
      </c>
      <c r="Q169" s="15" t="str">
        <f>IFERROR(__xludf.DUMMYFUNCTION("""COMPUTED_VALUE"""),"YES")</f>
        <v>YES</v>
      </c>
      <c r="R169" s="15" t="str">
        <f>IFERROR(__xludf.DUMMYFUNCTION("""COMPUTED_VALUE"""),"21577 mm (70' 9 1/2in)")</f>
        <v>21577 mm (70' 9 1/2in)</v>
      </c>
      <c r="S169" s="15">
        <f>IFERROR(__xludf.DUMMYFUNCTION("""COMPUTED_VALUE"""),0.0)</f>
        <v>0</v>
      </c>
      <c r="T169" s="15"/>
      <c r="U169" s="15" t="str">
        <f>IFERROR(__xludf.DUMMYFUNCTION("""COMPUTED_VALUE"""),"72 St &amp; 2nd Ave (NW corner) to lower mezzanine")</f>
        <v>72 St &amp; 2nd Ave (NW corner) to lower mezzanine</v>
      </c>
      <c r="V169" s="15" t="str">
        <f>IFERROR(__xludf.DUMMYFUNCTION("""COMPUTED_VALUE"""),"POINT (-73.95851 40.76907)")</f>
        <v>POINT (-73.95851 40.76907)</v>
      </c>
    </row>
    <row r="170" ht="22.5" customHeight="1">
      <c r="A170" s="7" t="str">
        <f>IFERROR(__xludf.DUMMYFUNCTION("""COMPUTED_VALUE"""),"Lexington Av/53 St")</f>
        <v>Lexington Av/53 St</v>
      </c>
      <c r="B170" s="8" t="str">
        <f>IFERROR(__xludf.DUMMYFUNCTION("""COMPUTED_VALUE"""),"")</f>
        <v/>
      </c>
      <c r="C170" s="8" t="str">
        <f>IFERROR(__xludf.DUMMYFUNCTION("""COMPUTED_VALUE"""),"")</f>
        <v/>
      </c>
      <c r="D170" s="8" t="str">
        <f>IFERROR(__xludf.DUMMYFUNCTION("""COMPUTED_VALUE"""),"")</f>
        <v/>
      </c>
      <c r="E170" s="33" t="str">
        <f>IFERROR(__xludf.DUMMYFUNCTION("""COMPUTED_VALUE"""),"")</f>
        <v/>
      </c>
      <c r="F170" s="10" t="str">
        <f>IFERROR(__xludf.DUMMYFUNCTION("""COMPUTED_VALUE"""),"")</f>
        <v/>
      </c>
      <c r="G170" s="17" t="str">
        <f>IFERROR(__xludf.DUMMYFUNCTION("""COMPUTED_VALUE"""),"")</f>
        <v/>
      </c>
      <c r="H170" s="10" t="str">
        <f>IFERROR(__xludf.DUMMYFUNCTION("""COMPUTED_VALUE"""),"↗️")</f>
        <v>↗️</v>
      </c>
      <c r="I170" s="13">
        <f>IFERROR(__xludf.DUMMYFUNCTION("""COMPUTED_VALUE"""),23268.0)</f>
        <v>23268</v>
      </c>
      <c r="J170" s="32">
        <f>IFERROR(__xludf.DUMMYFUNCTION("""COMPUTED_VALUE"""),45883.0)</f>
        <v>45883</v>
      </c>
      <c r="K170" s="8">
        <f>IFERROR(__xludf.DUMMYFUNCTION("""COMPUTED_VALUE"""),22.0)</f>
        <v>22</v>
      </c>
      <c r="L170" s="15" t="str">
        <f>IFERROR(__xludf.DUMMYFUNCTION("""COMPUTED_VALUE"""),"YES")</f>
        <v>YES</v>
      </c>
      <c r="M170" s="15" t="str">
        <f>IFERROR(__xludf.DUMMYFUNCTION("""COMPUTED_VALUE"""),"NYCT")</f>
        <v>NYCT</v>
      </c>
      <c r="N170" s="15" t="str">
        <f>IFERROR(__xludf.DUMMYFUNCTION("""COMPUTED_VALUE"""),"KONE")</f>
        <v>KONE</v>
      </c>
      <c r="O170" s="15" t="str">
        <f>IFERROR(__xludf.DUMMYFUNCTION("""COMPUTED_VALUE"""),"YES")</f>
        <v>YES</v>
      </c>
      <c r="P170" s="15" t="str">
        <f>IFERROR(__xludf.DUMMYFUNCTION("""COMPUTED_VALUE"""),"NO")</f>
        <v>NO</v>
      </c>
      <c r="Q170" s="15" t="str">
        <f>IFERROR(__xludf.DUMMYFUNCTION("""COMPUTED_VALUE"""),"NO")</f>
        <v>NO</v>
      </c>
      <c r="R170" s="15" t="str">
        <f>IFERROR(__xludf.DUMMYFUNCTION("""COMPUTED_VALUE"""),"56' 21-4in")</f>
        <v>56' 21-4in</v>
      </c>
      <c r="S170" s="15">
        <f>IFERROR(__xludf.DUMMYFUNCTION("""COMPUTED_VALUE"""),217.0)</f>
        <v>217</v>
      </c>
      <c r="T170" s="15">
        <f>IFERROR(__xludf.DUMMYFUNCTION("""COMPUTED_VALUE"""),40.0)</f>
        <v>40</v>
      </c>
      <c r="U170" s="15" t="str">
        <f>IFERROR(__xludf.DUMMYFUNCTION("""COMPUTED_VALUE"""),"E/F platform to mezzanine for 6 train and 53 St &amp; Lexington Av exit.")</f>
        <v>E/F platform to mezzanine for 6 train and 53 St &amp; Lexington Av exit.</v>
      </c>
      <c r="V170" s="15" t="str">
        <f>IFERROR(__xludf.DUMMYFUNCTION("""COMPUTED_VALUE"""),"POINT (-73.97042 40.758118)")</f>
        <v>POINT (-73.97042 40.758118)</v>
      </c>
    </row>
    <row r="171" ht="22.5" customHeight="1">
      <c r="A171" s="7" t="str">
        <f>IFERROR(__xludf.DUMMYFUNCTION("""COMPUTED_VALUE"""),"South Ferry")</f>
        <v>South Ferry</v>
      </c>
      <c r="B171" s="8" t="str">
        <f>IFERROR(__xludf.DUMMYFUNCTION("""COMPUTED_VALUE"""),"")</f>
        <v/>
      </c>
      <c r="C171" s="8" t="str">
        <f>IFERROR(__xludf.DUMMYFUNCTION("""COMPUTED_VALUE"""),"")</f>
        <v/>
      </c>
      <c r="D171" s="8" t="str">
        <f>IFERROR(__xludf.DUMMYFUNCTION("""COMPUTED_VALUE"""),"")</f>
        <v/>
      </c>
      <c r="E171" s="33" t="str">
        <f>IFERROR(__xludf.DUMMYFUNCTION("""COMPUTED_VALUE"""),"")</f>
        <v/>
      </c>
      <c r="F171" s="8" t="str">
        <f>IFERROR(__xludf.DUMMYFUNCTION("""COMPUTED_VALUE"""),"")</f>
        <v/>
      </c>
      <c r="G171" s="17" t="str">
        <f>IFERROR(__xludf.DUMMYFUNCTION("""COMPUTED_VALUE"""),"")</f>
        <v/>
      </c>
      <c r="H171" s="31" t="str">
        <f>IFERROR(__xludf.DUMMYFUNCTION("""COMPUTED_VALUE"""),"↗️")</f>
        <v>↗️</v>
      </c>
      <c r="I171" s="13">
        <f>IFERROR(__xludf.DUMMYFUNCTION("""COMPUTED_VALUE"""),39888.0)</f>
        <v>39888</v>
      </c>
      <c r="J171" s="32">
        <f>IFERROR(__xludf.DUMMYFUNCTION("""COMPUTED_VALUE"""),42913.0)</f>
        <v>42913</v>
      </c>
      <c r="K171" s="8">
        <f>IFERROR(__xludf.DUMMYFUNCTION("""COMPUTED_VALUE"""),22.0)</f>
        <v>22</v>
      </c>
      <c r="L171" s="15" t="str">
        <f>IFERROR(__xludf.DUMMYFUNCTION("""COMPUTED_VALUE"""),"YES")</f>
        <v>YES</v>
      </c>
      <c r="M171" s="15" t="str">
        <f>IFERROR(__xludf.DUMMYFUNCTION("""COMPUTED_VALUE"""),"NYCT")</f>
        <v>NYCT</v>
      </c>
      <c r="N171" s="15" t="str">
        <f>IFERROR(__xludf.DUMMYFUNCTION("""COMPUTED_VALUE"""),"KONE")</f>
        <v>KONE</v>
      </c>
      <c r="O171" s="15" t="str">
        <f>IFERROR(__xludf.DUMMYFUNCTION("""COMPUTED_VALUE"""),"YES")</f>
        <v>YES</v>
      </c>
      <c r="P171" s="15" t="str">
        <f>IFERROR(__xludf.DUMMYFUNCTION("""COMPUTED_VALUE"""),"NO")</f>
        <v>NO</v>
      </c>
      <c r="Q171" s="15" t="str">
        <f>IFERROR(__xludf.DUMMYFUNCTION("""COMPUTED_VALUE"""),"NO")</f>
        <v>NO</v>
      </c>
      <c r="R171" s="15" t="str">
        <f>IFERROR(__xludf.DUMMYFUNCTION("""COMPUTED_VALUE"""),"5883 mm (19' 3 5/8in)")</f>
        <v>5883 mm (19' 3 5/8in)</v>
      </c>
      <c r="S171" s="15">
        <f>IFERROR(__xludf.DUMMYFUNCTION("""COMPUTED_VALUE"""),87.0)</f>
        <v>87</v>
      </c>
      <c r="T171" s="15" t="str">
        <f>IFERROR(__xludf.DUMMYFUNCTION("""COMPUTED_VALUE"""),"40in (NOMINAL), 996 mm")</f>
        <v>40in (NOMINAL), 996 mm</v>
      </c>
      <c r="U171" s="15" t="str">
        <f>IFERROR(__xludf.DUMMYFUNCTION("""COMPUTED_VALUE"""),"mezzanine (State St &amp; Pearl St) to platform for uptown 1 service")</f>
        <v>mezzanine (State St &amp; Pearl St) to platform for uptown 1 service</v>
      </c>
      <c r="V171" s="15" t="str">
        <f>IFERROR(__xludf.DUMMYFUNCTION("""COMPUTED_VALUE"""),"POINT (-74.014175 40.70242)")</f>
        <v>POINT (-74.014175 40.70242)</v>
      </c>
    </row>
    <row r="172" ht="22.5" customHeight="1">
      <c r="A172" s="7" t="str">
        <f>IFERROR(__xludf.DUMMYFUNCTION("""COMPUTED_VALUE"""),"Jamaica Center-Parsons/Archer")</f>
        <v>Jamaica Center-Parsons/Archer</v>
      </c>
      <c r="B172" s="8" t="str">
        <f>IFERROR(__xludf.DUMMYFUNCTION("""COMPUTED_VALUE"""),"Archer Av Line")</f>
        <v>Archer Av Line</v>
      </c>
      <c r="C172" s="8" t="str">
        <f>IFERROR(__xludf.DUMMYFUNCTION("""COMPUTED_VALUE"""),"Queens")</f>
        <v>Queens</v>
      </c>
      <c r="D172" s="8" t="str">
        <f>IFERROR(__xludf.DUMMYFUNCTION("""COMPUTED_VALUE"""),"Jamaica")</f>
        <v>Jamaica</v>
      </c>
      <c r="E172" s="33">
        <f>IFERROR(__xludf.DUMMYFUNCTION("""COMPUTED_VALUE"""),32488.0)</f>
        <v>32488</v>
      </c>
      <c r="F172" s="8">
        <f>IFERROR(__xludf.DUMMYFUNCTION("""COMPUTED_VALUE"""),6137267.0)</f>
        <v>6137267</v>
      </c>
      <c r="G172" s="17">
        <f>IFERROR(__xludf.DUMMYFUNCTION("""COMPUTED_VALUE"""),38.0)</f>
        <v>38</v>
      </c>
      <c r="H172" s="10" t="str">
        <f>IFERROR(__xludf.DUMMYFUNCTION("""COMPUTED_VALUE"""),"↗️")</f>
        <v>↗️</v>
      </c>
      <c r="I172" s="13">
        <f>IFERROR(__xludf.DUMMYFUNCTION("""COMPUTED_VALUE"""),32478.0)</f>
        <v>32478</v>
      </c>
      <c r="J172" s="32">
        <f>IFERROR(__xludf.DUMMYFUNCTION("""COMPUTED_VALUE"""),39643.0)</f>
        <v>39643</v>
      </c>
      <c r="K172" s="8">
        <f>IFERROR(__xludf.DUMMYFUNCTION("""COMPUTED_VALUE"""),22.0)</f>
        <v>22</v>
      </c>
      <c r="L172" s="15" t="str">
        <f>IFERROR(__xludf.DUMMYFUNCTION("""COMPUTED_VALUE"""),"YES")</f>
        <v>YES</v>
      </c>
      <c r="M172" s="15" t="str">
        <f>IFERROR(__xludf.DUMMYFUNCTION("""COMPUTED_VALUE"""),"NYCT")</f>
        <v>NYCT</v>
      </c>
      <c r="N172" s="15" t="str">
        <f>IFERROR(__xludf.DUMMYFUNCTION("""COMPUTED_VALUE"""),"KONE")</f>
        <v>KONE</v>
      </c>
      <c r="O172" s="15" t="str">
        <f>IFERROR(__xludf.DUMMYFUNCTION("""COMPUTED_VALUE"""),"YES")</f>
        <v>YES</v>
      </c>
      <c r="P172" s="15" t="str">
        <f>IFERROR(__xludf.DUMMYFUNCTION("""COMPUTED_VALUE"""),"NO")</f>
        <v>NO</v>
      </c>
      <c r="Q172" s="15" t="str">
        <f>IFERROR(__xludf.DUMMYFUNCTION("""COMPUTED_VALUE"""),"NO")</f>
        <v>NO</v>
      </c>
      <c r="R172" s="15" t="str">
        <f>IFERROR(__xludf.DUMMYFUNCTION("""COMPUTED_VALUE"""),"11'")</f>
        <v>11'</v>
      </c>
      <c r="S172" s="15">
        <f>IFERROR(__xludf.DUMMYFUNCTION("""COMPUTED_VALUE"""),53.0)</f>
        <v>53</v>
      </c>
      <c r="T172" s="15" t="str">
        <f>IFERROR(__xludf.DUMMYFUNCTION("""COMPUTED_VALUE"""),"40in")</f>
        <v>40in</v>
      </c>
      <c r="U172" s="15" t="str">
        <f>IFERROR(__xludf.DUMMYFUNCTION("""COMPUTED_VALUE"""),"mezzanine (153 St &amp; Archer Ave) to E platform for Queens-bound service")</f>
        <v>mezzanine (153 St &amp; Archer Ave) to E platform for Queens-bound service</v>
      </c>
      <c r="V172" s="15" t="str">
        <f>IFERROR(__xludf.DUMMYFUNCTION("""COMPUTED_VALUE"""),"POINT (-73.80143 40.702084)")</f>
        <v>POINT (-73.80143 40.702084)</v>
      </c>
    </row>
    <row r="173" ht="22.5" customHeight="1">
      <c r="A173" s="7" t="str">
        <f>IFERROR(__xludf.DUMMYFUNCTION("""COMPUTED_VALUE"""),"Howard Beach-JFK Airport")</f>
        <v>Howard Beach-JFK Airport</v>
      </c>
      <c r="B173" s="8" t="str">
        <f>IFERROR(__xludf.DUMMYFUNCTION("""COMPUTED_VALUE"""),"Rockaway Line")</f>
        <v>Rockaway Line</v>
      </c>
      <c r="C173" s="8" t="str">
        <f>IFERROR(__xludf.DUMMYFUNCTION("""COMPUTED_VALUE"""),"Queens")</f>
        <v>Queens</v>
      </c>
      <c r="D173" s="8" t="str">
        <f>IFERROR(__xludf.DUMMYFUNCTION("""COMPUTED_VALUE"""),"Howard Beach")</f>
        <v>Howard Beach</v>
      </c>
      <c r="E173" s="33">
        <f>IFERROR(__xludf.DUMMYFUNCTION("""COMPUTED_VALUE"""),20634.0)</f>
        <v>20634</v>
      </c>
      <c r="F173" s="10">
        <f>IFERROR(__xludf.DUMMYFUNCTION("""COMPUTED_VALUE"""),975786.0)</f>
        <v>975786</v>
      </c>
      <c r="G173" s="19">
        <f>IFERROR(__xludf.DUMMYFUNCTION("""COMPUTED_VALUE"""),297.0)</f>
        <v>297</v>
      </c>
      <c r="H173" s="10" t="str">
        <f>IFERROR(__xludf.DUMMYFUNCTION("""COMPUTED_VALUE"""),"↗️")</f>
        <v>↗️</v>
      </c>
      <c r="I173" s="13"/>
      <c r="J173" s="32">
        <f>IFERROR(__xludf.DUMMYFUNCTION("""COMPUTED_VALUE"""),40852.0)</f>
        <v>40852</v>
      </c>
      <c r="K173" s="8">
        <f>IFERROR(__xludf.DUMMYFUNCTION("""COMPUTED_VALUE"""),22.0)</f>
        <v>22</v>
      </c>
      <c r="L173" s="15" t="str">
        <f>IFERROR(__xludf.DUMMYFUNCTION("""COMPUTED_VALUE"""),"NO")</f>
        <v>NO</v>
      </c>
      <c r="M173" s="15" t="str">
        <f>IFERROR(__xludf.DUMMYFUNCTION("""COMPUTED_VALUE"""),"Private Contractor")</f>
        <v>Private Contractor</v>
      </c>
      <c r="N173" s="15" t="str">
        <f>IFERROR(__xludf.DUMMYFUNCTION("""COMPUTED_VALUE"""),"AM")</f>
        <v>AM</v>
      </c>
      <c r="O173" s="15" t="str">
        <f>IFERROR(__xludf.DUMMYFUNCTION("""COMPUTED_VALUE"""),"YES")</f>
        <v>YES</v>
      </c>
      <c r="P173" s="15" t="str">
        <f>IFERROR(__xludf.DUMMYFUNCTION("""COMPUTED_VALUE"""),"NO")</f>
        <v>NO</v>
      </c>
      <c r="Q173" s="15" t="str">
        <f>IFERROR(__xludf.DUMMYFUNCTION("""COMPUTED_VALUE"""),"NO")</f>
        <v>NO</v>
      </c>
      <c r="R173" s="15"/>
      <c r="S173" s="15"/>
      <c r="T173" s="15"/>
      <c r="U173" s="15" t="str">
        <f>IFERROR(__xludf.DUMMYFUNCTION("""COMPUTED_VALUE"""),"Far Rockaway-bound platform to intermediate mezzanine for access to street and AirTrain station")</f>
        <v>Far Rockaway-bound platform to intermediate mezzanine for access to street and AirTrain station</v>
      </c>
      <c r="V173" s="15" t="str">
        <f>IFERROR(__xludf.DUMMYFUNCTION("""COMPUTED_VALUE"""),"POINT (-73.83043 40.660336)")</f>
        <v>POINT (-73.83043 40.660336)</v>
      </c>
    </row>
    <row r="174" ht="22.5" customHeight="1">
      <c r="A174" s="7" t="str">
        <f>IFERROR(__xludf.DUMMYFUNCTION("""COMPUTED_VALUE"""),"125 St")</f>
        <v>125 St</v>
      </c>
      <c r="B174" s="8" t="str">
        <f>IFERROR(__xludf.DUMMYFUNCTION("""COMPUTED_VALUE"""),"Broadway-7 Av Line")</f>
        <v>Broadway-7 Av Line</v>
      </c>
      <c r="C174" s="8" t="str">
        <f>IFERROR(__xludf.DUMMYFUNCTION("""COMPUTED_VALUE"""),"Manhattan")</f>
        <v>Manhattan</v>
      </c>
      <c r="D174" s="8" t="str">
        <f>IFERROR(__xludf.DUMMYFUNCTION("""COMPUTED_VALUE"""),"Manhattanville")</f>
        <v>Manhattanville</v>
      </c>
      <c r="E174" s="33">
        <f>IFERROR(__xludf.DUMMYFUNCTION("""COMPUTED_VALUE"""),1762.0)</f>
        <v>1762</v>
      </c>
      <c r="F174" s="10">
        <f>IFERROR(__xludf.DUMMYFUNCTION("""COMPUTED_VALUE"""),1977586.0)</f>
        <v>1977586</v>
      </c>
      <c r="G174" s="19">
        <f>IFERROR(__xludf.DUMMYFUNCTION("""COMPUTED_VALUE"""),165.0)</f>
        <v>165</v>
      </c>
      <c r="H174" s="10" t="str">
        <f>IFERROR(__xludf.DUMMYFUNCTION("""COMPUTED_VALUE"""),"↗️")</f>
        <v>↗️</v>
      </c>
      <c r="I174" s="13">
        <f>IFERROR(__xludf.DUMMYFUNCTION("""COMPUTED_VALUE"""),1995.0)</f>
        <v>1995</v>
      </c>
      <c r="J174" s="32">
        <f>IFERROR(__xludf.DUMMYFUNCTION("""COMPUTED_VALUE"""),37260.0)</f>
        <v>37260</v>
      </c>
      <c r="K174" s="8">
        <f>IFERROR(__xludf.DUMMYFUNCTION("""COMPUTED_VALUE"""),22.0)</f>
        <v>22</v>
      </c>
      <c r="L174" s="15" t="str">
        <f>IFERROR(__xludf.DUMMYFUNCTION("""COMPUTED_VALUE"""),"YES")</f>
        <v>YES</v>
      </c>
      <c r="M174" s="15" t="str">
        <f>IFERROR(__xludf.DUMMYFUNCTION("""COMPUTED_VALUE"""),"NYCT")</f>
        <v>NYCT</v>
      </c>
      <c r="N174" s="15" t="str">
        <f>IFERROR(__xludf.DUMMYFUNCTION("""COMPUTED_VALUE"""),"FUJITEC")</f>
        <v>FUJITEC</v>
      </c>
      <c r="O174" s="15" t="str">
        <f>IFERROR(__xludf.DUMMYFUNCTION("""COMPUTED_VALUE"""),"YES")</f>
        <v>YES</v>
      </c>
      <c r="P174" s="15" t="str">
        <f>IFERROR(__xludf.DUMMYFUNCTION("""COMPUTED_VALUE"""),"YES")</f>
        <v>YES</v>
      </c>
      <c r="Q174" s="15" t="str">
        <f>IFERROR(__xludf.DUMMYFUNCTION("""COMPUTED_VALUE"""),"YES")</f>
        <v>YES</v>
      </c>
      <c r="R174" s="15" t="str">
        <f>IFERROR(__xludf.DUMMYFUNCTION("""COMPUTED_VALUE"""),"50'")</f>
        <v>50'</v>
      </c>
      <c r="S174" s="15">
        <f>IFERROR(__xludf.DUMMYFUNCTION("""COMPUTED_VALUE"""),169.0)</f>
        <v>169</v>
      </c>
      <c r="T174" s="15">
        <f>IFERROR(__xludf.DUMMYFUNCTION("""COMPUTED_VALUE"""),600.0)</f>
        <v>600</v>
      </c>
      <c r="U174" s="15" t="str">
        <f>IFERROR(__xludf.DUMMYFUNCTION("""COMPUTED_VALUE"""),"125 St &amp; Broadway (SW corner) to mezzanine")</f>
        <v>125 St &amp; Broadway (SW corner) to mezzanine</v>
      </c>
      <c r="V174" s="15" t="str">
        <f>IFERROR(__xludf.DUMMYFUNCTION("""COMPUTED_VALUE"""),"POINT (-73.95858 40.81564)")</f>
        <v>POINT (-73.95858 40.81564)</v>
      </c>
    </row>
    <row r="175" ht="22.5" customHeight="1">
      <c r="A175" s="7" t="str">
        <f>IFERROR(__xludf.DUMMYFUNCTION("""COMPUTED_VALUE"""),"34 St-Hudson Yards")</f>
        <v>34 St-Hudson Yards</v>
      </c>
      <c r="B175" s="8" t="str">
        <f>IFERROR(__xludf.DUMMYFUNCTION("""COMPUTED_VALUE"""),"Flushing Line")</f>
        <v>Flushing Line</v>
      </c>
      <c r="C175" s="8" t="str">
        <f>IFERROR(__xludf.DUMMYFUNCTION("""COMPUTED_VALUE"""),"Manhattan")</f>
        <v>Manhattan</v>
      </c>
      <c r="D175" s="8" t="str">
        <f>IFERROR(__xludf.DUMMYFUNCTION("""COMPUTED_VALUE"""),"Hell's Kitchen")</f>
        <v>Hell's Kitchen</v>
      </c>
      <c r="E175" s="33">
        <f>IFERROR(__xludf.DUMMYFUNCTION("""COMPUTED_VALUE"""),42260.0)</f>
        <v>42260</v>
      </c>
      <c r="F175" s="8">
        <f>IFERROR(__xludf.DUMMYFUNCTION("""COMPUTED_VALUE"""),6082370.0)</f>
        <v>6082370</v>
      </c>
      <c r="G175" s="19">
        <f>IFERROR(__xludf.DUMMYFUNCTION("""COMPUTED_VALUE"""),39.0)</f>
        <v>39</v>
      </c>
      <c r="H175" s="10" t="str">
        <f>IFERROR(__xludf.DUMMYFUNCTION("""COMPUTED_VALUE"""),"↗️")</f>
        <v>↗️</v>
      </c>
      <c r="I175" s="13">
        <f>IFERROR(__xludf.DUMMYFUNCTION("""COMPUTED_VALUE"""),43343.0)</f>
        <v>43343</v>
      </c>
      <c r="J175" s="32">
        <f>IFERROR(__xludf.DUMMYFUNCTION("""COMPUTED_VALUE"""),43343.0)</f>
        <v>43343</v>
      </c>
      <c r="K175" s="8">
        <f>IFERROR(__xludf.DUMMYFUNCTION("""COMPUTED_VALUE"""),22.0)</f>
        <v>22</v>
      </c>
      <c r="L175" s="15" t="str">
        <f>IFERROR(__xludf.DUMMYFUNCTION("""COMPUTED_VALUE"""),"YES")</f>
        <v>YES</v>
      </c>
      <c r="M175" s="15" t="str">
        <f>IFERROR(__xludf.DUMMYFUNCTION("""COMPUTED_VALUE"""),"NYCT")</f>
        <v>NYCT</v>
      </c>
      <c r="N175" s="15" t="str">
        <f>IFERROR(__xludf.DUMMYFUNCTION("""COMPUTED_VALUE"""),"SCHINDLER")</f>
        <v>SCHINDLER</v>
      </c>
      <c r="O175" s="15" t="str">
        <f>IFERROR(__xludf.DUMMYFUNCTION("""COMPUTED_VALUE"""),"YES")</f>
        <v>YES</v>
      </c>
      <c r="P175" s="15" t="str">
        <f>IFERROR(__xludf.DUMMYFUNCTION("""COMPUTED_VALUE"""),"YES")</f>
        <v>YES</v>
      </c>
      <c r="Q175" s="15" t="str">
        <f>IFERROR(__xludf.DUMMYFUNCTION("""COMPUTED_VALUE"""),"YES")</f>
        <v>YES</v>
      </c>
      <c r="R175" s="15" t="str">
        <f>IFERROR(__xludf.DUMMYFUNCTION("""COMPUTED_VALUE"""),"30'")</f>
        <v>30'</v>
      </c>
      <c r="S175" s="15">
        <f>IFERROR(__xludf.DUMMYFUNCTION("""COMPUTED_VALUE"""),109.0)</f>
        <v>109</v>
      </c>
      <c r="T175" s="15">
        <f>IFERROR(__xludf.DUMMYFUNCTION("""COMPUTED_VALUE"""),24.0)</f>
        <v>24</v>
      </c>
      <c r="U175" s="15" t="str">
        <f>IFERROR(__xludf.DUMMYFUNCTION("""COMPUTED_VALUE"""),"upper mezzanine to Hudson Blvd E &amp; 35 St (SW corner)")</f>
        <v>upper mezzanine to Hudson Blvd E &amp; 35 St (SW corner)</v>
      </c>
      <c r="V175" s="15" t="str">
        <f>IFERROR(__xludf.DUMMYFUNCTION("""COMPUTED_VALUE"""),"POINT (-74.0003 40.755844)")</f>
        <v>POINT (-74.0003 40.755844)</v>
      </c>
    </row>
    <row r="176" ht="22.5" customHeight="1">
      <c r="A176" s="7" t="str">
        <f>IFERROR(__xludf.DUMMYFUNCTION("""COMPUTED_VALUE"""),"34 St-Hudson Yards")</f>
        <v>34 St-Hudson Yards</v>
      </c>
      <c r="B176" s="8" t="str">
        <f>IFERROR(__xludf.DUMMYFUNCTION("""COMPUTED_VALUE"""),"Flushing Line")</f>
        <v>Flushing Line</v>
      </c>
      <c r="C176" s="8" t="str">
        <f>IFERROR(__xludf.DUMMYFUNCTION("""COMPUTED_VALUE"""),"Manhattan")</f>
        <v>Manhattan</v>
      </c>
      <c r="D176" s="8" t="str">
        <f>IFERROR(__xludf.DUMMYFUNCTION("""COMPUTED_VALUE"""),"Hell's Kitchen")</f>
        <v>Hell's Kitchen</v>
      </c>
      <c r="E176" s="33">
        <f>IFERROR(__xludf.DUMMYFUNCTION("""COMPUTED_VALUE"""),42260.0)</f>
        <v>42260</v>
      </c>
      <c r="F176" s="8">
        <f>IFERROR(__xludf.DUMMYFUNCTION("""COMPUTED_VALUE"""),6082370.0)</f>
        <v>6082370</v>
      </c>
      <c r="G176" s="19">
        <f>IFERROR(__xludf.DUMMYFUNCTION("""COMPUTED_VALUE"""),39.0)</f>
        <v>39</v>
      </c>
      <c r="H176" s="10" t="str">
        <f>IFERROR(__xludf.DUMMYFUNCTION("""COMPUTED_VALUE"""),"↗️")</f>
        <v>↗️</v>
      </c>
      <c r="I176" s="13">
        <f>IFERROR(__xludf.DUMMYFUNCTION("""COMPUTED_VALUE"""),42260.0)</f>
        <v>42260</v>
      </c>
      <c r="J176" s="32">
        <f>IFERROR(__xludf.DUMMYFUNCTION("""COMPUTED_VALUE"""),42260.0)</f>
        <v>42260</v>
      </c>
      <c r="K176" s="8">
        <f>IFERROR(__xludf.DUMMYFUNCTION("""COMPUTED_VALUE"""),22.0)</f>
        <v>22</v>
      </c>
      <c r="L176" s="15" t="str">
        <f>IFERROR(__xludf.DUMMYFUNCTION("""COMPUTED_VALUE"""),"YES")</f>
        <v>YES</v>
      </c>
      <c r="M176" s="15" t="str">
        <f>IFERROR(__xludf.DUMMYFUNCTION("""COMPUTED_VALUE"""),"NYCT")</f>
        <v>NYCT</v>
      </c>
      <c r="N176" s="15" t="str">
        <f>IFERROR(__xludf.DUMMYFUNCTION("""COMPUTED_VALUE"""),"KONE")</f>
        <v>KONE</v>
      </c>
      <c r="O176" s="15" t="str">
        <f>IFERROR(__xludf.DUMMYFUNCTION("""COMPUTED_VALUE"""),"YES")</f>
        <v>YES</v>
      </c>
      <c r="P176" s="15" t="str">
        <f>IFERROR(__xludf.DUMMYFUNCTION("""COMPUTED_VALUE"""),"YES")</f>
        <v>YES</v>
      </c>
      <c r="Q176" s="15" t="str">
        <f>IFERROR(__xludf.DUMMYFUNCTION("""COMPUTED_VALUE"""),"YES")</f>
        <v>YES</v>
      </c>
      <c r="R176" s="15" t="str">
        <f>IFERROR(__xludf.DUMMYFUNCTION("""COMPUTED_VALUE"""),"30'")</f>
        <v>30'</v>
      </c>
      <c r="S176" s="15">
        <f>IFERROR(__xludf.DUMMYFUNCTION("""COMPUTED_VALUE"""),110.0)</f>
        <v>110</v>
      </c>
      <c r="T176" s="15">
        <f>IFERROR(__xludf.DUMMYFUNCTION("""COMPUTED_VALUE"""),24.0)</f>
        <v>24</v>
      </c>
      <c r="U176" s="15" t="str">
        <f>IFERROR(__xludf.DUMMYFUNCTION("""COMPUTED_VALUE"""),"upper mezzanine to Hudson Blvd E (between 33 St &amp; 34 St)")</f>
        <v>upper mezzanine to Hudson Blvd E (between 33 St &amp; 34 St)</v>
      </c>
      <c r="V176" s="15" t="str">
        <f>IFERROR(__xludf.DUMMYFUNCTION("""COMPUTED_VALUE"""),"POINT (-74.00104 40.754967)")</f>
        <v>POINT (-74.00104 40.754967)</v>
      </c>
    </row>
    <row r="177" ht="22.5" customHeight="1">
      <c r="A177" s="7" t="str">
        <f>IFERROR(__xludf.DUMMYFUNCTION("""COMPUTED_VALUE"""),"Times Sq-42 St")</f>
        <v>Times Sq-42 St</v>
      </c>
      <c r="B177" s="8" t="str">
        <f>IFERROR(__xludf.DUMMYFUNCTION("""COMPUTED_VALUE"""),"42nd St Line")</f>
        <v>42nd St Line</v>
      </c>
      <c r="C177" s="8" t="str">
        <f>IFERROR(__xludf.DUMMYFUNCTION("""COMPUTED_VALUE"""),"Manhattan")</f>
        <v>Manhattan</v>
      </c>
      <c r="D177" s="8" t="str">
        <f>IFERROR(__xludf.DUMMYFUNCTION("""COMPUTED_VALUE"""),"Times Square")</f>
        <v>Times Square</v>
      </c>
      <c r="E177" s="33">
        <f>IFERROR(__xludf.DUMMYFUNCTION("""COMPUTED_VALUE"""),1762.0)</f>
        <v>1762</v>
      </c>
      <c r="F177" s="8">
        <f>IFERROR(__xludf.DUMMYFUNCTION("""COMPUTED_VALUE"""),5.7743486E7)</f>
        <v>57743486</v>
      </c>
      <c r="G177" s="17">
        <f>IFERROR(__xludf.DUMMYFUNCTION("""COMPUTED_VALUE"""),1.0)</f>
        <v>1</v>
      </c>
      <c r="H177" s="10" t="str">
        <f>IFERROR(__xludf.DUMMYFUNCTION("""COMPUTED_VALUE"""),"↗️")</f>
        <v>↗️</v>
      </c>
      <c r="I177" s="13"/>
      <c r="J177" s="32">
        <f>IFERROR(__xludf.DUMMYFUNCTION("""COMPUTED_VALUE"""),40452.0)</f>
        <v>40452</v>
      </c>
      <c r="K177" s="8">
        <f>IFERROR(__xludf.DUMMYFUNCTION("""COMPUTED_VALUE"""),22.0)</f>
        <v>22</v>
      </c>
      <c r="L177" s="15" t="str">
        <f>IFERROR(__xludf.DUMMYFUNCTION("""COMPUTED_VALUE"""),"NO")</f>
        <v>NO</v>
      </c>
      <c r="M177" s="15" t="str">
        <f>IFERROR(__xludf.DUMMYFUNCTION("""COMPUTED_VALUE"""),"Private Contractor")</f>
        <v>Private Contractor</v>
      </c>
      <c r="N177" s="15" t="str">
        <f>IFERROR(__xludf.DUMMYFUNCTION("""COMPUTED_VALUE"""),"AM")</f>
        <v>AM</v>
      </c>
      <c r="O177" s="15" t="str">
        <f>IFERROR(__xludf.DUMMYFUNCTION("""COMPUTED_VALUE"""),"YES")</f>
        <v>YES</v>
      </c>
      <c r="P177" s="15" t="str">
        <f>IFERROR(__xludf.DUMMYFUNCTION("""COMPUTED_VALUE"""),"NO")</f>
        <v>NO</v>
      </c>
      <c r="Q177" s="15" t="str">
        <f>IFERROR(__xludf.DUMMYFUNCTION("""COMPUTED_VALUE"""),"NO")</f>
        <v>NO</v>
      </c>
      <c r="R177" s="15"/>
      <c r="S177" s="15">
        <f>IFERROR(__xludf.DUMMYFUNCTION("""COMPUTED_VALUE"""),0.0)</f>
        <v>0</v>
      </c>
      <c r="T177" s="15"/>
      <c r="U177" s="15" t="str">
        <f>IFERROR(__xludf.DUMMYFUNCTION("""COMPUTED_VALUE"""),"42 St &amp; 7th Ave (SE corner) to mezzanine for N/Q/R/W service and access to rest of complex")</f>
        <v>42 St &amp; 7th Ave (SE corner) to mezzanine for N/Q/R/W service and access to rest of complex</v>
      </c>
      <c r="V177" s="15" t="str">
        <f>IFERROR(__xludf.DUMMYFUNCTION("""COMPUTED_VALUE"""),"POINT (-73.98681 40.755688)")</f>
        <v>POINT (-73.98681 40.755688)</v>
      </c>
    </row>
    <row r="178" ht="22.5" customHeight="1">
      <c r="A178" s="7" t="str">
        <f>IFERROR(__xludf.DUMMYFUNCTION("""COMPUTED_VALUE"""),"Myrtle-Wyckoff Avs")</f>
        <v>Myrtle-Wyckoff Avs</v>
      </c>
      <c r="B178" s="23" t="str">
        <f>IFERROR(__xludf.DUMMYFUNCTION("""COMPUTED_VALUE"""),"Canarsie Line")</f>
        <v>Canarsie Line</v>
      </c>
      <c r="C178" s="8" t="str">
        <f>IFERROR(__xludf.DUMMYFUNCTION("""COMPUTED_VALUE"""),"Brooklyn")</f>
        <v>Brooklyn</v>
      </c>
      <c r="D178" s="8" t="str">
        <f>IFERROR(__xludf.DUMMYFUNCTION("""COMPUTED_VALUE"""),"Bushwick")</f>
        <v>Bushwick</v>
      </c>
      <c r="E178" s="33">
        <f>IFERROR(__xludf.DUMMYFUNCTION("""COMPUTED_VALUE"""),10423.0)</f>
        <v>10423</v>
      </c>
      <c r="F178" s="10">
        <f>IFERROR(__xludf.DUMMYFUNCTION("""COMPUTED_VALUE"""),5230944.0)</f>
        <v>5230944</v>
      </c>
      <c r="G178" s="17">
        <f>IFERROR(__xludf.DUMMYFUNCTION("""COMPUTED_VALUE"""),54.0)</f>
        <v>54</v>
      </c>
      <c r="H178" s="31" t="str">
        <f>IFERROR(__xludf.DUMMYFUNCTION("""COMPUTED_VALUE"""),"↗️")</f>
        <v>↗️</v>
      </c>
      <c r="I178" s="13">
        <f>IFERROR(__xludf.DUMMYFUNCTION("""COMPUTED_VALUE"""),10393.0)</f>
        <v>10393</v>
      </c>
      <c r="J178" s="32">
        <f>IFERROR(__xludf.DUMMYFUNCTION("""COMPUTED_VALUE"""),37666.0)</f>
        <v>37666</v>
      </c>
      <c r="K178" s="8">
        <f>IFERROR(__xludf.DUMMYFUNCTION("""COMPUTED_VALUE"""),22.0)</f>
        <v>22</v>
      </c>
      <c r="L178" s="15" t="str">
        <f>IFERROR(__xludf.DUMMYFUNCTION("""COMPUTED_VALUE"""),"YES")</f>
        <v>YES</v>
      </c>
      <c r="M178" s="15" t="str">
        <f>IFERROR(__xludf.DUMMYFUNCTION("""COMPUTED_VALUE"""),"NYCT")</f>
        <v>NYCT</v>
      </c>
      <c r="N178" s="15" t="str">
        <f>IFERROR(__xludf.DUMMYFUNCTION("""COMPUTED_VALUE"""),"FUJITEC")</f>
        <v>FUJITEC</v>
      </c>
      <c r="O178" s="15" t="str">
        <f>IFERROR(__xludf.DUMMYFUNCTION("""COMPUTED_VALUE"""),"YES")</f>
        <v>YES</v>
      </c>
      <c r="P178" s="15" t="str">
        <f>IFERROR(__xludf.DUMMYFUNCTION("""COMPUTED_VALUE"""),"NO")</f>
        <v>NO</v>
      </c>
      <c r="Q178" s="15" t="str">
        <f>IFERROR(__xludf.DUMMYFUNCTION("""COMPUTED_VALUE"""),"NO")</f>
        <v>NO</v>
      </c>
      <c r="R178" s="15" t="str">
        <f>IFERROR(__xludf.DUMMYFUNCTION("""COMPUTED_VALUE"""),"26'")</f>
        <v>26'</v>
      </c>
      <c r="S178" s="15">
        <f>IFERROR(__xludf.DUMMYFUNCTION("""COMPUTED_VALUE"""),94.0)</f>
        <v>94</v>
      </c>
      <c r="T178" s="15">
        <f>IFERROR(__xludf.DUMMYFUNCTION("""COMPUTED_VALUE"""),32.0)</f>
        <v>32</v>
      </c>
      <c r="U178" s="15" t="str">
        <f>IFERROR(__xludf.DUMMYFUNCTION("""COMPUTED_VALUE"""),"L lower mezzanine to upper mezzanine for M service")</f>
        <v>L lower mezzanine to upper mezzanine for M service</v>
      </c>
      <c r="V178" s="15" t="str">
        <f>IFERROR(__xludf.DUMMYFUNCTION("""COMPUTED_VALUE"""),"POINT (-73.91184 40.699707)")</f>
        <v>POINT (-73.91184 40.699707)</v>
      </c>
    </row>
    <row r="179" ht="22.5" customHeight="1">
      <c r="A179" s="7" t="str">
        <f>IFERROR(__xludf.DUMMYFUNCTION("""COMPUTED_VALUE"""),"Lexington Av/63 St")</f>
        <v>Lexington Av/63 St</v>
      </c>
      <c r="B179" s="8" t="str">
        <f>IFERROR(__xludf.DUMMYFUNCTION("""COMPUTED_VALUE"""),"")</f>
        <v/>
      </c>
      <c r="C179" s="8" t="str">
        <f>IFERROR(__xludf.DUMMYFUNCTION("""COMPUTED_VALUE"""),"")</f>
        <v/>
      </c>
      <c r="D179" s="8" t="str">
        <f>IFERROR(__xludf.DUMMYFUNCTION("""COMPUTED_VALUE"""),"")</f>
        <v/>
      </c>
      <c r="E179" s="33" t="str">
        <f>IFERROR(__xludf.DUMMYFUNCTION("""COMPUTED_VALUE"""),"")</f>
        <v/>
      </c>
      <c r="F179" s="8" t="str">
        <f>IFERROR(__xludf.DUMMYFUNCTION("""COMPUTED_VALUE"""),"")</f>
        <v/>
      </c>
      <c r="G179" s="19" t="str">
        <f>IFERROR(__xludf.DUMMYFUNCTION("""COMPUTED_VALUE"""),"")</f>
        <v/>
      </c>
      <c r="H179" s="10" t="str">
        <f>IFERROR(__xludf.DUMMYFUNCTION("""COMPUTED_VALUE"""),"↗️")</f>
        <v>↗️</v>
      </c>
      <c r="I179" s="13">
        <f>IFERROR(__xludf.DUMMYFUNCTION("""COMPUTED_VALUE"""),32782.0)</f>
        <v>32782</v>
      </c>
      <c r="J179" s="32">
        <f>IFERROR(__xludf.DUMMYFUNCTION("""COMPUTED_VALUE"""),46115.0)</f>
        <v>46115</v>
      </c>
      <c r="K179" s="8">
        <f>IFERROR(__xludf.DUMMYFUNCTION("""COMPUTED_VALUE"""),22.0)</f>
        <v>22</v>
      </c>
      <c r="L179" s="15" t="str">
        <f>IFERROR(__xludf.DUMMYFUNCTION("""COMPUTED_VALUE"""),"YES")</f>
        <v>YES</v>
      </c>
      <c r="M179" s="15" t="str">
        <f>IFERROR(__xludf.DUMMYFUNCTION("""COMPUTED_VALUE"""),"NYCT")</f>
        <v>NYCT</v>
      </c>
      <c r="N179" s="15" t="str">
        <f>IFERROR(__xludf.DUMMYFUNCTION("""COMPUTED_VALUE"""),"KONE")</f>
        <v>KONE</v>
      </c>
      <c r="O179" s="15" t="str">
        <f>IFERROR(__xludf.DUMMYFUNCTION("""COMPUTED_VALUE"""),"YES")</f>
        <v>YES</v>
      </c>
      <c r="P179" s="15" t="str">
        <f>IFERROR(__xludf.DUMMYFUNCTION("""COMPUTED_VALUE"""),"NO")</f>
        <v>NO</v>
      </c>
      <c r="Q179" s="15" t="str">
        <f>IFERROR(__xludf.DUMMYFUNCTION("""COMPUTED_VALUE"""),"NO")</f>
        <v>NO</v>
      </c>
      <c r="R179" s="15" t="str">
        <f>IFERROR(__xludf.DUMMYFUNCTION("""COMPUTED_VALUE"""),"28'")</f>
        <v>28'</v>
      </c>
      <c r="S179" s="15">
        <f>IFERROR(__xludf.DUMMYFUNCTION("""COMPUTED_VALUE"""),99.0)</f>
        <v>99</v>
      </c>
      <c r="T179" s="15">
        <f>IFERROR(__xludf.DUMMYFUNCTION("""COMPUTED_VALUE"""),40.0)</f>
        <v>40</v>
      </c>
      <c r="U179" s="15" t="str">
        <f>IFERROR(__xludf.DUMMYFUNCTION("""COMPUTED_VALUE"""),"upper mezzanine (Lexington Ave &amp; 63 St) to intermediate mezzanine")</f>
        <v>upper mezzanine (Lexington Ave &amp; 63 St) to intermediate mezzanine</v>
      </c>
      <c r="V179" s="15" t="str">
        <f>IFERROR(__xludf.DUMMYFUNCTION("""COMPUTED_VALUE"""),"POINT (-73.966965 40.76504)")</f>
        <v>POINT (-73.966965 40.76504)</v>
      </c>
    </row>
    <row r="180" ht="22.5" customHeight="1">
      <c r="A180" s="7" t="str">
        <f>IFERROR(__xludf.DUMMYFUNCTION("""COMPUTED_VALUE"""),"Bowling Green")</f>
        <v>Bowling Green</v>
      </c>
      <c r="B180" s="8" t="str">
        <f>IFERROR(__xludf.DUMMYFUNCTION("""COMPUTED_VALUE"""),"Lexington Av Line")</f>
        <v>Lexington Av Line</v>
      </c>
      <c r="C180" s="8" t="str">
        <f>IFERROR(__xludf.DUMMYFUNCTION("""COMPUTED_VALUE"""),"Manhattan")</f>
        <v>Manhattan</v>
      </c>
      <c r="D180" s="8" t="str">
        <f>IFERROR(__xludf.DUMMYFUNCTION("""COMPUTED_VALUE"""),"Financial District")</f>
        <v>Financial District</v>
      </c>
      <c r="E180" s="33">
        <f>IFERROR(__xludf.DUMMYFUNCTION("""COMPUTED_VALUE"""),2018.0)</f>
        <v>2018</v>
      </c>
      <c r="F180" s="10">
        <f>IFERROR(__xludf.DUMMYFUNCTION("""COMPUTED_VALUE"""),4676646.0)</f>
        <v>4676646</v>
      </c>
      <c r="G180" s="17">
        <f>IFERROR(__xludf.DUMMYFUNCTION("""COMPUTED_VALUE"""),62.0)</f>
        <v>62</v>
      </c>
      <c r="H180" s="10" t="str">
        <f>IFERROR(__xludf.DUMMYFUNCTION("""COMPUTED_VALUE"""),"↗️")</f>
        <v>↗️</v>
      </c>
      <c r="I180" s="13">
        <f>IFERROR(__xludf.DUMMYFUNCTION("""COMPUTED_VALUE"""),28216.0)</f>
        <v>28216</v>
      </c>
      <c r="J180" s="32">
        <f>IFERROR(__xludf.DUMMYFUNCTION("""COMPUTED_VALUE"""),38062.0)</f>
        <v>38062</v>
      </c>
      <c r="K180" s="8">
        <f>IFERROR(__xludf.DUMMYFUNCTION("""COMPUTED_VALUE"""),22.0)</f>
        <v>22</v>
      </c>
      <c r="L180" s="15" t="str">
        <f>IFERROR(__xludf.DUMMYFUNCTION("""COMPUTED_VALUE"""),"YES")</f>
        <v>YES</v>
      </c>
      <c r="M180" s="15" t="str">
        <f>IFERROR(__xludf.DUMMYFUNCTION("""COMPUTED_VALUE"""),"NYCT")</f>
        <v>NYCT</v>
      </c>
      <c r="N180" s="15" t="str">
        <f>IFERROR(__xludf.DUMMYFUNCTION("""COMPUTED_VALUE"""),"FUJITEC")</f>
        <v>FUJITEC</v>
      </c>
      <c r="O180" s="15" t="str">
        <f>IFERROR(__xludf.DUMMYFUNCTION("""COMPUTED_VALUE"""),"YES")</f>
        <v>YES</v>
      </c>
      <c r="P180" s="15" t="str">
        <f>IFERROR(__xludf.DUMMYFUNCTION("""COMPUTED_VALUE"""),"NO")</f>
        <v>NO</v>
      </c>
      <c r="Q180" s="15" t="str">
        <f>IFERROR(__xludf.DUMMYFUNCTION("""COMPUTED_VALUE"""),"NO")</f>
        <v>NO</v>
      </c>
      <c r="R180" s="15" t="str">
        <f>IFERROR(__xludf.DUMMYFUNCTION("""COMPUTED_VALUE"""),"20'")</f>
        <v>20'</v>
      </c>
      <c r="S180" s="15">
        <f>IFERROR(__xludf.DUMMYFUNCTION("""COMPUTED_VALUE"""),80.0)</f>
        <v>80</v>
      </c>
      <c r="T180" s="15">
        <f>IFERROR(__xludf.DUMMYFUNCTION("""COMPUTED_VALUE"""),40.0)</f>
        <v>40</v>
      </c>
      <c r="U180" s="15" t="str">
        <f>IFERROR(__xludf.DUMMYFUNCTION("""COMPUTED_VALUE"""),"upper mezzanine (Battery Pl &amp; Broadway) to lower mezzanine")</f>
        <v>upper mezzanine (Battery Pl &amp; Broadway) to lower mezzanine</v>
      </c>
      <c r="V180" s="15" t="str">
        <f>IFERROR(__xludf.DUMMYFUNCTION("""COMPUTED_VALUE"""),"POINT (-74.01437 40.70475)")</f>
        <v>POINT (-74.01437 40.70475)</v>
      </c>
    </row>
    <row r="181" ht="22.5" customHeight="1">
      <c r="A181" s="7" t="str">
        <f>IFERROR(__xludf.DUMMYFUNCTION("""COMPUTED_VALUE"""),"Jamaica Center-Parsons/Archer")</f>
        <v>Jamaica Center-Parsons/Archer</v>
      </c>
      <c r="B181" s="8" t="str">
        <f>IFERROR(__xludf.DUMMYFUNCTION("""COMPUTED_VALUE"""),"Archer Av Line")</f>
        <v>Archer Av Line</v>
      </c>
      <c r="C181" s="8" t="str">
        <f>IFERROR(__xludf.DUMMYFUNCTION("""COMPUTED_VALUE"""),"Queens")</f>
        <v>Queens</v>
      </c>
      <c r="D181" s="8" t="str">
        <f>IFERROR(__xludf.DUMMYFUNCTION("""COMPUTED_VALUE"""),"Jamaica")</f>
        <v>Jamaica</v>
      </c>
      <c r="E181" s="33">
        <f>IFERROR(__xludf.DUMMYFUNCTION("""COMPUTED_VALUE"""),32488.0)</f>
        <v>32488</v>
      </c>
      <c r="F181" s="8">
        <f>IFERROR(__xludf.DUMMYFUNCTION("""COMPUTED_VALUE"""),6137267.0)</f>
        <v>6137267</v>
      </c>
      <c r="G181" s="17">
        <f>IFERROR(__xludf.DUMMYFUNCTION("""COMPUTED_VALUE"""),38.0)</f>
        <v>38</v>
      </c>
      <c r="H181" s="31" t="str">
        <f>IFERROR(__xludf.DUMMYFUNCTION("""COMPUTED_VALUE"""),"↗️")</f>
        <v>↗️</v>
      </c>
      <c r="I181" s="13">
        <f>IFERROR(__xludf.DUMMYFUNCTION("""COMPUTED_VALUE"""),32478.0)</f>
        <v>32478</v>
      </c>
      <c r="J181" s="32">
        <f>IFERROR(__xludf.DUMMYFUNCTION("""COMPUTED_VALUE"""),39953.0)</f>
        <v>39953</v>
      </c>
      <c r="K181" s="8">
        <f>IFERROR(__xludf.DUMMYFUNCTION("""COMPUTED_VALUE"""),22.0)</f>
        <v>22</v>
      </c>
      <c r="L181" s="15" t="str">
        <f>IFERROR(__xludf.DUMMYFUNCTION("""COMPUTED_VALUE"""),"YES")</f>
        <v>YES</v>
      </c>
      <c r="M181" s="15" t="str">
        <f>IFERROR(__xludf.DUMMYFUNCTION("""COMPUTED_VALUE"""),"NYCT")</f>
        <v>NYCT</v>
      </c>
      <c r="N181" s="15" t="str">
        <f>IFERROR(__xludf.DUMMYFUNCTION("""COMPUTED_VALUE"""),"KONE")</f>
        <v>KONE</v>
      </c>
      <c r="O181" s="15" t="str">
        <f>IFERROR(__xludf.DUMMYFUNCTION("""COMPUTED_VALUE"""),"YES")</f>
        <v>YES</v>
      </c>
      <c r="P181" s="15" t="str">
        <f>IFERROR(__xludf.DUMMYFUNCTION("""COMPUTED_VALUE"""),"NO")</f>
        <v>NO</v>
      </c>
      <c r="Q181" s="15" t="str">
        <f>IFERROR(__xludf.DUMMYFUNCTION("""COMPUTED_VALUE"""),"NO")</f>
        <v>NO</v>
      </c>
      <c r="R181" s="15" t="str">
        <f>IFERROR(__xludf.DUMMYFUNCTION("""COMPUTED_VALUE"""),"29'")</f>
        <v>29'</v>
      </c>
      <c r="S181" s="15">
        <f>IFERROR(__xludf.DUMMYFUNCTION("""COMPUTED_VALUE"""),107.0)</f>
        <v>107</v>
      </c>
      <c r="T181" s="15" t="str">
        <f>IFERROR(__xludf.DUMMYFUNCTION("""COMPUTED_VALUE"""),"40in")</f>
        <v>40in</v>
      </c>
      <c r="U181" s="15" t="str">
        <f>IFERROR(__xludf.DUMMYFUNCTION("""COMPUTED_VALUE"""),"J/Z platform to mezzanine for Parsons Blvd &amp; Archer Ave exit")</f>
        <v>J/Z platform to mezzanine for Parsons Blvd &amp; Archer Ave exit</v>
      </c>
      <c r="V181" s="15" t="str">
        <f>IFERROR(__xludf.DUMMYFUNCTION("""COMPUTED_VALUE"""),"POINT (-73.8003 40.70232)")</f>
        <v>POINT (-73.8003 40.70232)</v>
      </c>
    </row>
    <row r="182" ht="22.5" customHeight="1">
      <c r="A182" s="7" t="str">
        <f>IFERROR(__xludf.DUMMYFUNCTION("""COMPUTED_VALUE"""),"Grand Central-42 St")</f>
        <v>Grand Central-42 St</v>
      </c>
      <c r="B182" s="8" t="str">
        <f>IFERROR(__xludf.DUMMYFUNCTION("""COMPUTED_VALUE"""),"42nd St Line")</f>
        <v>42nd St Line</v>
      </c>
      <c r="C182" s="8" t="str">
        <f>IFERROR(__xludf.DUMMYFUNCTION("""COMPUTED_VALUE"""),"Manhattan")</f>
        <v>Manhattan</v>
      </c>
      <c r="D182" s="8" t="str">
        <f>IFERROR(__xludf.DUMMYFUNCTION("""COMPUTED_VALUE"""),"Midtown")</f>
        <v>Midtown</v>
      </c>
      <c r="E182" s="33">
        <f>IFERROR(__xludf.DUMMYFUNCTION("""COMPUTED_VALUE"""),1762.0)</f>
        <v>1762</v>
      </c>
      <c r="F182" s="10">
        <f>IFERROR(__xludf.DUMMYFUNCTION("""COMPUTED_VALUE"""),3.3496874E7)</f>
        <v>33496874</v>
      </c>
      <c r="G182" s="17">
        <f>IFERROR(__xludf.DUMMYFUNCTION("""COMPUTED_VALUE"""),2.0)</f>
        <v>2</v>
      </c>
      <c r="H182" s="10" t="str">
        <f>IFERROR(__xludf.DUMMYFUNCTION("""COMPUTED_VALUE"""),"↗️")</f>
        <v>↗️</v>
      </c>
      <c r="I182" s="13">
        <f>IFERROR(__xludf.DUMMYFUNCTION("""COMPUTED_VALUE"""),23911.0)</f>
        <v>23911</v>
      </c>
      <c r="J182" s="32">
        <f>IFERROR(__xludf.DUMMYFUNCTION("""COMPUTED_VALUE"""),45705.0)</f>
        <v>45705</v>
      </c>
      <c r="K182" s="8">
        <f>IFERROR(__xludf.DUMMYFUNCTION("""COMPUTED_VALUE"""),22.0)</f>
        <v>22</v>
      </c>
      <c r="L182" s="15" t="str">
        <f>IFERROR(__xludf.DUMMYFUNCTION("""COMPUTED_VALUE"""),"YES")</f>
        <v>YES</v>
      </c>
      <c r="M182" s="15" t="str">
        <f>IFERROR(__xludf.DUMMYFUNCTION("""COMPUTED_VALUE"""),"NYCT")</f>
        <v>NYCT</v>
      </c>
      <c r="N182" s="15" t="str">
        <f>IFERROR(__xludf.DUMMYFUNCTION("""COMPUTED_VALUE"""),"KONE")</f>
        <v>KONE</v>
      </c>
      <c r="O182" s="15" t="str">
        <f>IFERROR(__xludf.DUMMYFUNCTION("""COMPUTED_VALUE"""),"YES")</f>
        <v>YES</v>
      </c>
      <c r="P182" s="15" t="str">
        <f>IFERROR(__xludf.DUMMYFUNCTION("""COMPUTED_VALUE"""),"NO")</f>
        <v>NO</v>
      </c>
      <c r="Q182" s="15" t="str">
        <f>IFERROR(__xludf.DUMMYFUNCTION("""COMPUTED_VALUE"""),"NO")</f>
        <v>NO</v>
      </c>
      <c r="R182" s="15" t="str">
        <f>IFERROR(__xludf.DUMMYFUNCTION("""COMPUTED_VALUE"""),"31'-10 1/4in")</f>
        <v>31'-10 1/4in</v>
      </c>
      <c r="S182" s="15">
        <f>IFERROR(__xludf.DUMMYFUNCTION("""COMPUTED_VALUE"""),116.0)</f>
        <v>116</v>
      </c>
      <c r="T182" s="15" t="str">
        <f>IFERROR(__xludf.DUMMYFUNCTION("""COMPUTED_VALUE"""),"40in")</f>
        <v>40in</v>
      </c>
      <c r="U182" s="15" t="str">
        <f>IFERROR(__xludf.DUMMYFUNCTION("""COMPUTED_VALUE"""),"Western mezzanine to 7 platform for service in both directions")</f>
        <v>Western mezzanine to 7 platform for service in both directions</v>
      </c>
      <c r="V182" s="15" t="str">
        <f>IFERROR(__xludf.DUMMYFUNCTION("""COMPUTED_VALUE"""),"POINT (-73.97714 40.75184)")</f>
        <v>POINT (-73.97714 40.75184)</v>
      </c>
    </row>
    <row r="183" ht="22.5" customHeight="1">
      <c r="A183" s="7" t="str">
        <f>IFERROR(__xludf.DUMMYFUNCTION("""COMPUTED_VALUE"""),"Grand Central-42 St")</f>
        <v>Grand Central-42 St</v>
      </c>
      <c r="B183" s="8" t="str">
        <f>IFERROR(__xludf.DUMMYFUNCTION("""COMPUTED_VALUE"""),"42nd St Line")</f>
        <v>42nd St Line</v>
      </c>
      <c r="C183" s="8" t="str">
        <f>IFERROR(__xludf.DUMMYFUNCTION("""COMPUTED_VALUE"""),"Manhattan")</f>
        <v>Manhattan</v>
      </c>
      <c r="D183" s="8" t="str">
        <f>IFERROR(__xludf.DUMMYFUNCTION("""COMPUTED_VALUE"""),"Midtown")</f>
        <v>Midtown</v>
      </c>
      <c r="E183" s="33">
        <f>IFERROR(__xludf.DUMMYFUNCTION("""COMPUTED_VALUE"""),1762.0)</f>
        <v>1762</v>
      </c>
      <c r="F183" s="10">
        <f>IFERROR(__xludf.DUMMYFUNCTION("""COMPUTED_VALUE"""),3.3496874E7)</f>
        <v>33496874</v>
      </c>
      <c r="G183" s="17">
        <f>IFERROR(__xludf.DUMMYFUNCTION("""COMPUTED_VALUE"""),2.0)</f>
        <v>2</v>
      </c>
      <c r="H183" s="10" t="str">
        <f>IFERROR(__xludf.DUMMYFUNCTION("""COMPUTED_VALUE"""),"↗️")</f>
        <v>↗️</v>
      </c>
      <c r="I183" s="13"/>
      <c r="J183" s="32">
        <f>IFERROR(__xludf.DUMMYFUNCTION("""COMPUTED_VALUE"""),40695.0)</f>
        <v>40695</v>
      </c>
      <c r="K183" s="8">
        <f>IFERROR(__xludf.DUMMYFUNCTION("""COMPUTED_VALUE"""),22.0)</f>
        <v>22</v>
      </c>
      <c r="L183" s="15" t="str">
        <f>IFERROR(__xludf.DUMMYFUNCTION("""COMPUTED_VALUE"""),"NO")</f>
        <v>NO</v>
      </c>
      <c r="M183" s="15" t="str">
        <f>IFERROR(__xludf.DUMMYFUNCTION("""COMPUTED_VALUE"""),"Private Contractor")</f>
        <v>Private Contractor</v>
      </c>
      <c r="N183" s="15" t="str">
        <f>IFERROR(__xludf.DUMMYFUNCTION("""COMPUTED_VALUE"""),"AM")</f>
        <v>AM</v>
      </c>
      <c r="O183" s="15" t="str">
        <f>IFERROR(__xludf.DUMMYFUNCTION("""COMPUTED_VALUE"""),"YES")</f>
        <v>YES</v>
      </c>
      <c r="P183" s="15" t="str">
        <f>IFERROR(__xludf.DUMMYFUNCTION("""COMPUTED_VALUE"""),"NO")</f>
        <v>NO</v>
      </c>
      <c r="Q183" s="15" t="str">
        <f>IFERROR(__xludf.DUMMYFUNCTION("""COMPUTED_VALUE"""),"NO")</f>
        <v>NO</v>
      </c>
      <c r="R183" s="15"/>
      <c r="S183" s="15"/>
      <c r="T183" s="15"/>
      <c r="U183" s="15" t="str">
        <f>IFERROR(__xludf.DUMMYFUNCTION("""COMPUTED_VALUE"""),"4/5/6 mezzanine to Park Ave &amp; 42 St (SW corner)")</f>
        <v>4/5/6 mezzanine to Park Ave &amp; 42 St (SW corner)</v>
      </c>
      <c r="V183" s="15" t="str">
        <f>IFERROR(__xludf.DUMMYFUNCTION("""COMPUTED_VALUE"""),"POINT (-73.97919 40.75276)")</f>
        <v>POINT (-73.97919 40.75276)</v>
      </c>
    </row>
    <row r="184" ht="22.5" customHeight="1">
      <c r="A184" s="7" t="str">
        <f>IFERROR(__xludf.DUMMYFUNCTION("""COMPUTED_VALUE"""),"Jamaica Van Wyck")</f>
        <v>Jamaica Van Wyck</v>
      </c>
      <c r="B184" s="8" t="str">
        <f>IFERROR(__xludf.DUMMYFUNCTION("""COMPUTED_VALUE"""),"")</f>
        <v/>
      </c>
      <c r="C184" s="8" t="str">
        <f>IFERROR(__xludf.DUMMYFUNCTION("""COMPUTED_VALUE"""),"")</f>
        <v/>
      </c>
      <c r="D184" s="8" t="str">
        <f>IFERROR(__xludf.DUMMYFUNCTION("""COMPUTED_VALUE"""),"")</f>
        <v/>
      </c>
      <c r="E184" s="33" t="str">
        <f>IFERROR(__xludf.DUMMYFUNCTION("""COMPUTED_VALUE"""),"")</f>
        <v/>
      </c>
      <c r="F184" s="8" t="str">
        <f>IFERROR(__xludf.DUMMYFUNCTION("""COMPUTED_VALUE"""),"")</f>
        <v/>
      </c>
      <c r="G184" s="17" t="str">
        <f>IFERROR(__xludf.DUMMYFUNCTION("""COMPUTED_VALUE"""),"")</f>
        <v/>
      </c>
      <c r="H184" s="10" t="str">
        <f>IFERROR(__xludf.DUMMYFUNCTION("""COMPUTED_VALUE"""),"↗️")</f>
        <v>↗️</v>
      </c>
      <c r="I184" s="13">
        <f>IFERROR(__xludf.DUMMYFUNCTION("""COMPUTED_VALUE"""),32478.0)</f>
        <v>32478</v>
      </c>
      <c r="J184" s="32">
        <f>IFERROR(__xludf.DUMMYFUNCTION("""COMPUTED_VALUE"""),39584.0)</f>
        <v>39584</v>
      </c>
      <c r="K184" s="8">
        <f>IFERROR(__xludf.DUMMYFUNCTION("""COMPUTED_VALUE"""),22.0)</f>
        <v>22</v>
      </c>
      <c r="L184" s="15" t="str">
        <f>IFERROR(__xludf.DUMMYFUNCTION("""COMPUTED_VALUE"""),"YES")</f>
        <v>YES</v>
      </c>
      <c r="M184" s="15" t="str">
        <f>IFERROR(__xludf.DUMMYFUNCTION("""COMPUTED_VALUE"""),"NYCT")</f>
        <v>NYCT</v>
      </c>
      <c r="N184" s="15" t="str">
        <f>IFERROR(__xludf.DUMMYFUNCTION("""COMPUTED_VALUE"""),"KONE")</f>
        <v>KONE</v>
      </c>
      <c r="O184" s="15" t="str">
        <f>IFERROR(__xludf.DUMMYFUNCTION("""COMPUTED_VALUE"""),"YES")</f>
        <v>YES</v>
      </c>
      <c r="P184" s="15" t="str">
        <f>IFERROR(__xludf.DUMMYFUNCTION("""COMPUTED_VALUE"""),"YES")</f>
        <v>YES</v>
      </c>
      <c r="Q184" s="15" t="str">
        <f>IFERROR(__xludf.DUMMYFUNCTION("""COMPUTED_VALUE"""),"YES")</f>
        <v>YES</v>
      </c>
      <c r="R184" s="15" t="str">
        <f>IFERROR(__xludf.DUMMYFUNCTION("""COMPUTED_VALUE"""),"28'")</f>
        <v>28'</v>
      </c>
      <c r="S184" s="15">
        <f>IFERROR(__xludf.DUMMYFUNCTION("""COMPUTED_VALUE"""),106.0)</f>
        <v>106</v>
      </c>
      <c r="T184" s="15" t="str">
        <f>IFERROR(__xludf.DUMMYFUNCTION("""COMPUTED_VALUE"""),"32in")</f>
        <v>32in</v>
      </c>
      <c r="U184" s="15" t="str">
        <f>IFERROR(__xludf.DUMMYFUNCTION("""COMPUTED_VALUE"""),"89 Ave &amp; Van Wyck Expressway (SW corner) to mezzanine")</f>
        <v>89 Ave &amp; Van Wyck Expressway (SW corner) to mezzanine</v>
      </c>
      <c r="V184" s="15" t="str">
        <f>IFERROR(__xludf.DUMMYFUNCTION("""COMPUTED_VALUE"""),"POINT (-73.81639 40.700996)")</f>
        <v>POINT (-73.81639 40.700996)</v>
      </c>
    </row>
    <row r="185" ht="22.5" customHeight="1">
      <c r="A185" s="7" t="str">
        <f>IFERROR(__xludf.DUMMYFUNCTION("""COMPUTED_VALUE"""),"Sutphin Blvd-Archer Av-JFK Airport")</f>
        <v>Sutphin Blvd-Archer Av-JFK Airport</v>
      </c>
      <c r="B185" s="8" t="str">
        <f>IFERROR(__xludf.DUMMYFUNCTION("""COMPUTED_VALUE"""),"Archer Av Line")</f>
        <v>Archer Av Line</v>
      </c>
      <c r="C185" s="8" t="str">
        <f>IFERROR(__xludf.DUMMYFUNCTION("""COMPUTED_VALUE"""),"Queens")</f>
        <v>Queens</v>
      </c>
      <c r="D185" s="8" t="str">
        <f>IFERROR(__xludf.DUMMYFUNCTION("""COMPUTED_VALUE"""),"Jamaica")</f>
        <v>Jamaica</v>
      </c>
      <c r="E185" s="33">
        <f>IFERROR(__xludf.DUMMYFUNCTION("""COMPUTED_VALUE"""),32488.0)</f>
        <v>32488</v>
      </c>
      <c r="F185" s="10">
        <f>IFERROR(__xludf.DUMMYFUNCTION("""COMPUTED_VALUE"""),6496357.0)</f>
        <v>6496357</v>
      </c>
      <c r="G185" s="17">
        <f>IFERROR(__xludf.DUMMYFUNCTION("""COMPUTED_VALUE"""),32.0)</f>
        <v>32</v>
      </c>
      <c r="H185" s="10" t="str">
        <f>IFERROR(__xludf.DUMMYFUNCTION("""COMPUTED_VALUE"""),"↗️")</f>
        <v>↗️</v>
      </c>
      <c r="I185" s="13"/>
      <c r="J185" s="32">
        <f>IFERROR(__xludf.DUMMYFUNCTION("""COMPUTED_VALUE"""),40760.0)</f>
        <v>40760</v>
      </c>
      <c r="K185" s="8">
        <f>IFERROR(__xludf.DUMMYFUNCTION("""COMPUTED_VALUE"""),22.0)</f>
        <v>22</v>
      </c>
      <c r="L185" s="15" t="str">
        <f>IFERROR(__xludf.DUMMYFUNCTION("""COMPUTED_VALUE"""),"NO")</f>
        <v>NO</v>
      </c>
      <c r="M185" s="15" t="str">
        <f>IFERROR(__xludf.DUMMYFUNCTION("""COMPUTED_VALUE"""),"Private Contractor")</f>
        <v>Private Contractor</v>
      </c>
      <c r="N185" s="15" t="str">
        <f>IFERROR(__xludf.DUMMYFUNCTION("""COMPUTED_VALUE"""),"AM")</f>
        <v>AM</v>
      </c>
      <c r="O185" s="15" t="str">
        <f>IFERROR(__xludf.DUMMYFUNCTION("""COMPUTED_VALUE"""),"YES")</f>
        <v>YES</v>
      </c>
      <c r="P185" s="15" t="str">
        <f>IFERROR(__xludf.DUMMYFUNCTION("""COMPUTED_VALUE"""),"NO")</f>
        <v>NO</v>
      </c>
      <c r="Q185" s="15" t="str">
        <f>IFERROR(__xludf.DUMMYFUNCTION("""COMPUTED_VALUE"""),"NO")</f>
        <v>NO</v>
      </c>
      <c r="R185" s="15"/>
      <c r="S185" s="15"/>
      <c r="T185" s="15"/>
      <c r="U185" s="15" t="str">
        <f>IFERROR(__xludf.DUMMYFUNCTION("""COMPUTED_VALUE"""),"LIRR and AirTrain Terminal (SW corner of Sutphin Blvd &amp; Archer Ave) to mezzanine for E/J/Z service")</f>
        <v>LIRR and AirTrain Terminal (SW corner of Sutphin Blvd &amp; Archer Ave) to mezzanine for E/J/Z service</v>
      </c>
      <c r="V185" s="15" t="str">
        <f>IFERROR(__xludf.DUMMYFUNCTION("""COMPUTED_VALUE"""),"POINT (-73.80775 40.70014)")</f>
        <v>POINT (-73.80775 40.70014)</v>
      </c>
    </row>
    <row r="186" ht="22.5" customHeight="1">
      <c r="A186" s="7" t="str">
        <f>IFERROR(__xludf.DUMMYFUNCTION("""COMPUTED_VALUE"""),"High St")</f>
        <v>High St</v>
      </c>
      <c r="B186" s="8" t="str">
        <f>IFERROR(__xludf.DUMMYFUNCTION("""COMPUTED_VALUE"""),"8 Av Line")</f>
        <v>8 Av Line</v>
      </c>
      <c r="C186" s="8" t="str">
        <f>IFERROR(__xludf.DUMMYFUNCTION("""COMPUTED_VALUE"""),"Brooklyn")</f>
        <v>Brooklyn</v>
      </c>
      <c r="D186" s="8" t="str">
        <f>IFERROR(__xludf.DUMMYFUNCTION("""COMPUTED_VALUE"""),"Brooklyn Heights")</f>
        <v>Brooklyn Heights</v>
      </c>
      <c r="E186" s="33">
        <f>IFERROR(__xludf.DUMMYFUNCTION("""COMPUTED_VALUE"""),12229.0)</f>
        <v>12229</v>
      </c>
      <c r="F186" s="8">
        <f>IFERROR(__xludf.DUMMYFUNCTION("""COMPUTED_VALUE"""),2213320.0)</f>
        <v>2213320</v>
      </c>
      <c r="G186" s="19">
        <f>IFERROR(__xludf.DUMMYFUNCTION("""COMPUTED_VALUE"""),150.0)</f>
        <v>150</v>
      </c>
      <c r="H186" s="10" t="str">
        <f>IFERROR(__xludf.DUMMYFUNCTION("""COMPUTED_VALUE"""),"↗️")</f>
        <v>↗️</v>
      </c>
      <c r="I186" s="13">
        <f>IFERROR(__xludf.DUMMYFUNCTION("""COMPUTED_VALUE"""),15342.0)</f>
        <v>15342</v>
      </c>
      <c r="J186" s="32">
        <f>IFERROR(__xludf.DUMMYFUNCTION("""COMPUTED_VALUE"""),45189.0)</f>
        <v>45189</v>
      </c>
      <c r="K186" s="8">
        <f>IFERROR(__xludf.DUMMYFUNCTION("""COMPUTED_VALUE"""),22.0)</f>
        <v>22</v>
      </c>
      <c r="L186" s="15" t="str">
        <f>IFERROR(__xludf.DUMMYFUNCTION("""COMPUTED_VALUE"""),"YES")</f>
        <v>YES</v>
      </c>
      <c r="M186" s="15" t="str">
        <f>IFERROR(__xludf.DUMMYFUNCTION("""COMPUTED_VALUE"""),"NYCT")</f>
        <v>NYCT</v>
      </c>
      <c r="N186" s="15" t="str">
        <f>IFERROR(__xludf.DUMMYFUNCTION("""COMPUTED_VALUE"""),"OK")</f>
        <v>OK</v>
      </c>
      <c r="O186" s="15" t="str">
        <f>IFERROR(__xludf.DUMMYFUNCTION("""COMPUTED_VALUE"""),"YES")</f>
        <v>YES</v>
      </c>
      <c r="P186" s="15" t="str">
        <f>IFERROR(__xludf.DUMMYFUNCTION("""COMPUTED_VALUE"""),"NO")</f>
        <v>NO</v>
      </c>
      <c r="Q186" s="15" t="str">
        <f>IFERROR(__xludf.DUMMYFUNCTION("""COMPUTED_VALUE"""),"NO")</f>
        <v>NO</v>
      </c>
      <c r="R186" s="15" t="str">
        <f>IFERROR(__xludf.DUMMYFUNCTION("""COMPUTED_VALUE"""),"37'")</f>
        <v>37'</v>
      </c>
      <c r="S186" s="15">
        <f>IFERROR(__xludf.DUMMYFUNCTION("""COMPUTED_VALUE"""),127.0)</f>
        <v>127</v>
      </c>
      <c r="T186" s="15">
        <f>IFERROR(__xludf.DUMMYFUNCTION("""COMPUTED_VALUE"""),24.0)</f>
        <v>24</v>
      </c>
      <c r="U186" s="15" t="str">
        <f>IFERROR(__xludf.DUMMYFUNCTION("""COMPUTED_VALUE"""),"upper mezzanine (Red Cross Pl &amp; Adams St) to lower mezzanine")</f>
        <v>upper mezzanine (Red Cross Pl &amp; Adams St) to lower mezzanine</v>
      </c>
      <c r="V186" s="15" t="str">
        <f>IFERROR(__xludf.DUMMYFUNCTION("""COMPUTED_VALUE"""),"POINT (-73.98922 40.69927)")</f>
        <v>POINT (-73.98922 40.69927)</v>
      </c>
    </row>
    <row r="187" ht="22.5" customHeight="1">
      <c r="A187" s="7" t="str">
        <f>IFERROR(__xludf.DUMMYFUNCTION("""COMPUTED_VALUE"""),"Times Sq-42 St")</f>
        <v>Times Sq-42 St</v>
      </c>
      <c r="B187" s="8" t="str">
        <f>IFERROR(__xludf.DUMMYFUNCTION("""COMPUTED_VALUE"""),"42nd St Line")</f>
        <v>42nd St Line</v>
      </c>
      <c r="C187" s="8" t="str">
        <f>IFERROR(__xludf.DUMMYFUNCTION("""COMPUTED_VALUE"""),"Manhattan")</f>
        <v>Manhattan</v>
      </c>
      <c r="D187" s="8" t="str">
        <f>IFERROR(__xludf.DUMMYFUNCTION("""COMPUTED_VALUE"""),"Times Square")</f>
        <v>Times Square</v>
      </c>
      <c r="E187" s="33">
        <f>IFERROR(__xludf.DUMMYFUNCTION("""COMPUTED_VALUE"""),1762.0)</f>
        <v>1762</v>
      </c>
      <c r="F187" s="8">
        <f>IFERROR(__xludf.DUMMYFUNCTION("""COMPUTED_VALUE"""),5.7743486E7)</f>
        <v>57743486</v>
      </c>
      <c r="G187" s="19">
        <f>IFERROR(__xludf.DUMMYFUNCTION("""COMPUTED_VALUE"""),1.0)</f>
        <v>1</v>
      </c>
      <c r="H187" s="10" t="str">
        <f>IFERROR(__xludf.DUMMYFUNCTION("""COMPUTED_VALUE"""),"↗️")</f>
        <v>↗️</v>
      </c>
      <c r="I187" s="13">
        <f>IFERROR(__xludf.DUMMYFUNCTION("""COMPUTED_VALUE"""),9935.0)</f>
        <v>9935</v>
      </c>
      <c r="J187" s="32">
        <f>IFERROR(__xludf.DUMMYFUNCTION("""COMPUTED_VALUE"""),38934.0)</f>
        <v>38934</v>
      </c>
      <c r="K187" s="8">
        <f>IFERROR(__xludf.DUMMYFUNCTION("""COMPUTED_VALUE"""),22.0)</f>
        <v>22</v>
      </c>
      <c r="L187" s="15" t="str">
        <f>IFERROR(__xludf.DUMMYFUNCTION("""COMPUTED_VALUE"""),"YES")</f>
        <v>YES</v>
      </c>
      <c r="M187" s="15" t="str">
        <f>IFERROR(__xludf.DUMMYFUNCTION("""COMPUTED_VALUE"""),"NYCT")</f>
        <v>NYCT</v>
      </c>
      <c r="N187" s="15" t="str">
        <f>IFERROR(__xludf.DUMMYFUNCTION("""COMPUTED_VALUE"""),"KONE")</f>
        <v>KONE</v>
      </c>
      <c r="O187" s="15" t="str">
        <f>IFERROR(__xludf.DUMMYFUNCTION("""COMPUTED_VALUE"""),"YES")</f>
        <v>YES</v>
      </c>
      <c r="P187" s="15" t="str">
        <f>IFERROR(__xludf.DUMMYFUNCTION("""COMPUTED_VALUE"""),"NO")</f>
        <v>NO</v>
      </c>
      <c r="Q187" s="15" t="str">
        <f>IFERROR(__xludf.DUMMYFUNCTION("""COMPUTED_VALUE"""),"NO")</f>
        <v>NO</v>
      </c>
      <c r="R187" s="15" t="str">
        <f>IFERROR(__xludf.DUMMYFUNCTION("""COMPUTED_VALUE"""),"37'")</f>
        <v>37'</v>
      </c>
      <c r="S187" s="15">
        <f>IFERROR(__xludf.DUMMYFUNCTION("""COMPUTED_VALUE"""),134.0)</f>
        <v>134</v>
      </c>
      <c r="T187" s="15">
        <f>IFERROR(__xludf.DUMMYFUNCTION("""COMPUTED_VALUE"""),40.0)</f>
        <v>40</v>
      </c>
      <c r="U187" s="15" t="str">
        <f>IFERROR(__xludf.DUMMYFUNCTION("""COMPUTED_VALUE"""),"7 platform to upper mezzanine for 41 St &amp; 7 Ave exit and access to rest of complex")</f>
        <v>7 platform to upper mezzanine for 41 St &amp; 7 Ave exit and access to rest of complex</v>
      </c>
      <c r="V187" s="15" t="str">
        <f>IFERROR(__xludf.DUMMYFUNCTION("""COMPUTED_VALUE"""),"POINT (-73.987724 40.7555)")</f>
        <v>POINT (-73.987724 40.7555)</v>
      </c>
    </row>
    <row r="188" ht="22.5" customHeight="1">
      <c r="A188" s="7" t="str">
        <f>IFERROR(__xludf.DUMMYFUNCTION("""COMPUTED_VALUE"""),"Cortlandt St")</f>
        <v>Cortlandt St</v>
      </c>
      <c r="B188" s="8" t="str">
        <f>IFERROR(__xludf.DUMMYFUNCTION("""COMPUTED_VALUE"""),"")</f>
        <v/>
      </c>
      <c r="C188" s="8" t="str">
        <f>IFERROR(__xludf.DUMMYFUNCTION("""COMPUTED_VALUE"""),"")</f>
        <v/>
      </c>
      <c r="D188" s="8" t="str">
        <f>IFERROR(__xludf.DUMMYFUNCTION("""COMPUTED_VALUE"""),"")</f>
        <v/>
      </c>
      <c r="E188" s="33" t="str">
        <f>IFERROR(__xludf.DUMMYFUNCTION("""COMPUTED_VALUE"""),"")</f>
        <v/>
      </c>
      <c r="F188" s="8" t="str">
        <f>IFERROR(__xludf.DUMMYFUNCTION("""COMPUTED_VALUE"""),"")</f>
        <v/>
      </c>
      <c r="G188" s="19" t="str">
        <f>IFERROR(__xludf.DUMMYFUNCTION("""COMPUTED_VALUE"""),"")</f>
        <v/>
      </c>
      <c r="H188" s="10" t="str">
        <f>IFERROR(__xludf.DUMMYFUNCTION("""COMPUTED_VALUE"""),"↗️")</f>
        <v>↗️</v>
      </c>
      <c r="I188" s="13">
        <f>IFERROR(__xludf.DUMMYFUNCTION("""COMPUTED_VALUE"""),43351.0)</f>
        <v>43351</v>
      </c>
      <c r="J188" s="32">
        <f>IFERROR(__xludf.DUMMYFUNCTION("""COMPUTED_VALUE"""),43351.0)</f>
        <v>43351</v>
      </c>
      <c r="K188" s="8">
        <f>IFERROR(__xludf.DUMMYFUNCTION("""COMPUTED_VALUE"""),22.0)</f>
        <v>22</v>
      </c>
      <c r="L188" s="15" t="str">
        <f>IFERROR(__xludf.DUMMYFUNCTION("""COMPUTED_VALUE"""),"YES")</f>
        <v>YES</v>
      </c>
      <c r="M188" s="15" t="str">
        <f>IFERROR(__xludf.DUMMYFUNCTION("""COMPUTED_VALUE"""),"NYCT")</f>
        <v>NYCT</v>
      </c>
      <c r="N188" s="15" t="str">
        <f>IFERROR(__xludf.DUMMYFUNCTION("""COMPUTED_VALUE"""),"KONE")</f>
        <v>KONE</v>
      </c>
      <c r="O188" s="15" t="str">
        <f>IFERROR(__xludf.DUMMYFUNCTION("""COMPUTED_VALUE"""),"YES")</f>
        <v>YES</v>
      </c>
      <c r="P188" s="15" t="str">
        <f>IFERROR(__xludf.DUMMYFUNCTION("""COMPUTED_VALUE"""),"NO")</f>
        <v>NO</v>
      </c>
      <c r="Q188" s="15" t="str">
        <f>IFERROR(__xludf.DUMMYFUNCTION("""COMPUTED_VALUE"""),"NO")</f>
        <v>NO</v>
      </c>
      <c r="R188" s="15"/>
      <c r="S188" s="15">
        <f>IFERROR(__xludf.DUMMYFUNCTION("""COMPUTED_VALUE"""),84.0)</f>
        <v>84</v>
      </c>
      <c r="T188" s="15" t="str">
        <f>IFERROR(__xludf.DUMMYFUNCTION("""COMPUTED_VALUE"""),"996MM (40in NOMINAL)")</f>
        <v>996MM (40in NOMINAL)</v>
      </c>
      <c r="U188" s="15" t="str">
        <f>IFERROR(__xludf.DUMMYFUNCTION("""COMPUTED_VALUE"""),"north mezzanine to platform for uptown 1 service")</f>
        <v>north mezzanine to platform for uptown 1 service</v>
      </c>
      <c r="V188" s="15" t="str">
        <f>IFERROR(__xludf.DUMMYFUNCTION("""COMPUTED_VALUE"""),"POINT (-74.01187 40.71224)")</f>
        <v>POINT (-74.01187 40.71224)</v>
      </c>
    </row>
    <row r="189" ht="22.5" customHeight="1">
      <c r="A189" s="7" t="str">
        <f>IFERROR(__xludf.DUMMYFUNCTION("""COMPUTED_VALUE"""),"Whitehall St-South Ferry")</f>
        <v>Whitehall St-South Ferry</v>
      </c>
      <c r="B189" s="8" t="str">
        <f>IFERROR(__xludf.DUMMYFUNCTION("""COMPUTED_VALUE"""),"")</f>
        <v/>
      </c>
      <c r="C189" s="8" t="str">
        <f>IFERROR(__xludf.DUMMYFUNCTION("""COMPUTED_VALUE"""),"")</f>
        <v/>
      </c>
      <c r="D189" s="8" t="str">
        <f>IFERROR(__xludf.DUMMYFUNCTION("""COMPUTED_VALUE"""),"")</f>
        <v/>
      </c>
      <c r="E189" s="33" t="str">
        <f>IFERROR(__xludf.DUMMYFUNCTION("""COMPUTED_VALUE"""),"")</f>
        <v/>
      </c>
      <c r="F189" s="8" t="str">
        <f>IFERROR(__xludf.DUMMYFUNCTION("""COMPUTED_VALUE"""),"")</f>
        <v/>
      </c>
      <c r="G189" s="19" t="str">
        <f>IFERROR(__xludf.DUMMYFUNCTION("""COMPUTED_VALUE"""),"")</f>
        <v/>
      </c>
      <c r="H189" s="10" t="str">
        <f>IFERROR(__xludf.DUMMYFUNCTION("""COMPUTED_VALUE"""),"↗️")</f>
        <v>↗️</v>
      </c>
      <c r="I189" s="13">
        <f>IFERROR(__xludf.DUMMYFUNCTION("""COMPUTED_VALUE"""),7842.0)</f>
        <v>7842</v>
      </c>
      <c r="J189" s="32">
        <f>IFERROR(__xludf.DUMMYFUNCTION("""COMPUTED_VALUE"""),37139.0)</f>
        <v>37139</v>
      </c>
      <c r="K189" s="8">
        <f>IFERROR(__xludf.DUMMYFUNCTION("""COMPUTED_VALUE"""),22.0)</f>
        <v>22</v>
      </c>
      <c r="L189" s="15" t="str">
        <f>IFERROR(__xludf.DUMMYFUNCTION("""COMPUTED_VALUE"""),"YES")</f>
        <v>YES</v>
      </c>
      <c r="M189" s="15" t="str">
        <f>IFERROR(__xludf.DUMMYFUNCTION("""COMPUTED_VALUE"""),"NYCT")</f>
        <v>NYCT</v>
      </c>
      <c r="N189" s="15" t="str">
        <f>IFERROR(__xludf.DUMMYFUNCTION("""COMPUTED_VALUE"""),"OK")</f>
        <v>OK</v>
      </c>
      <c r="O189" s="15" t="str">
        <f>IFERROR(__xludf.DUMMYFUNCTION("""COMPUTED_VALUE"""),"YES")</f>
        <v>YES</v>
      </c>
      <c r="P189" s="15" t="str">
        <f>IFERROR(__xludf.DUMMYFUNCTION("""COMPUTED_VALUE"""),"NO")</f>
        <v>NO</v>
      </c>
      <c r="Q189" s="15" t="str">
        <f>IFERROR(__xludf.DUMMYFUNCTION("""COMPUTED_VALUE"""),"NO")</f>
        <v>NO</v>
      </c>
      <c r="R189" s="15" t="str">
        <f>IFERROR(__xludf.DUMMYFUNCTION("""COMPUTED_VALUE"""),"22'")</f>
        <v>22'</v>
      </c>
      <c r="S189" s="15">
        <f>IFERROR(__xludf.DUMMYFUNCTION("""COMPUTED_VALUE"""),85.0)</f>
        <v>85</v>
      </c>
      <c r="T189" s="15">
        <f>IFERROR(__xludf.DUMMYFUNCTION("""COMPUTED_VALUE"""),40.0)</f>
        <v>40</v>
      </c>
      <c r="U189" s="15" t="str">
        <f>IFERROR(__xludf.DUMMYFUNCTION("""COMPUTED_VALUE"""),"1/R/W upper mezzanine (Water St &amp; Whitehall St) to lower mezzanine for R/W service")</f>
        <v>1/R/W upper mezzanine (Water St &amp; Whitehall St) to lower mezzanine for R/W service</v>
      </c>
      <c r="V189" s="15" t="str">
        <f>IFERROR(__xludf.DUMMYFUNCTION("""COMPUTED_VALUE"""),"POINT (-74.01276 40.70225)")</f>
        <v>POINT (-74.01276 40.70225)</v>
      </c>
    </row>
    <row r="190" ht="22.5" customHeight="1">
      <c r="A190" s="7" t="str">
        <f>IFERROR(__xludf.DUMMYFUNCTION("""COMPUTED_VALUE"""),"Bowling Green")</f>
        <v>Bowling Green</v>
      </c>
      <c r="B190" s="8" t="str">
        <f>IFERROR(__xludf.DUMMYFUNCTION("""COMPUTED_VALUE"""),"Lexington Av Line")</f>
        <v>Lexington Av Line</v>
      </c>
      <c r="C190" s="8" t="str">
        <f>IFERROR(__xludf.DUMMYFUNCTION("""COMPUTED_VALUE"""),"Manhattan")</f>
        <v>Manhattan</v>
      </c>
      <c r="D190" s="8" t="str">
        <f>IFERROR(__xludf.DUMMYFUNCTION("""COMPUTED_VALUE"""),"Financial District")</f>
        <v>Financial District</v>
      </c>
      <c r="E190" s="33">
        <f>IFERROR(__xludf.DUMMYFUNCTION("""COMPUTED_VALUE"""),2018.0)</f>
        <v>2018</v>
      </c>
      <c r="F190" s="10">
        <f>IFERROR(__xludf.DUMMYFUNCTION("""COMPUTED_VALUE"""),4676646.0)</f>
        <v>4676646</v>
      </c>
      <c r="G190" s="19">
        <f>IFERROR(__xludf.DUMMYFUNCTION("""COMPUTED_VALUE"""),62.0)</f>
        <v>62</v>
      </c>
      <c r="H190" s="10" t="str">
        <f>IFERROR(__xludf.DUMMYFUNCTION("""COMPUTED_VALUE"""),"↗️")</f>
        <v>↗️</v>
      </c>
      <c r="I190" s="13">
        <f>IFERROR(__xludf.DUMMYFUNCTION("""COMPUTED_VALUE"""),28216.0)</f>
        <v>28216</v>
      </c>
      <c r="J190" s="32">
        <f>IFERROR(__xludf.DUMMYFUNCTION("""COMPUTED_VALUE"""),37723.0)</f>
        <v>37723</v>
      </c>
      <c r="K190" s="8">
        <f>IFERROR(__xludf.DUMMYFUNCTION("""COMPUTED_VALUE"""),22.0)</f>
        <v>22</v>
      </c>
      <c r="L190" s="15" t="str">
        <f>IFERROR(__xludf.DUMMYFUNCTION("""COMPUTED_VALUE"""),"YES")</f>
        <v>YES</v>
      </c>
      <c r="M190" s="15" t="str">
        <f>IFERROR(__xludf.DUMMYFUNCTION("""COMPUTED_VALUE"""),"NYCT")</f>
        <v>NYCT</v>
      </c>
      <c r="N190" s="15" t="str">
        <f>IFERROR(__xludf.DUMMYFUNCTION("""COMPUTED_VALUE"""),"FUJITEC")</f>
        <v>FUJITEC</v>
      </c>
      <c r="O190" s="15" t="str">
        <f>IFERROR(__xludf.DUMMYFUNCTION("""COMPUTED_VALUE"""),"YES")</f>
        <v>YES</v>
      </c>
      <c r="P190" s="15" t="str">
        <f>IFERROR(__xludf.DUMMYFUNCTION("""COMPUTED_VALUE"""),"NO")</f>
        <v>NO</v>
      </c>
      <c r="Q190" s="15" t="str">
        <f>IFERROR(__xludf.DUMMYFUNCTION("""COMPUTED_VALUE"""),"NO")</f>
        <v>NO</v>
      </c>
      <c r="R190" s="15" t="str">
        <f>IFERROR(__xludf.DUMMYFUNCTION("""COMPUTED_VALUE"""),"24'")</f>
        <v>24'</v>
      </c>
      <c r="S190" s="15">
        <f>IFERROR(__xludf.DUMMYFUNCTION("""COMPUTED_VALUE"""),90.0)</f>
        <v>90</v>
      </c>
      <c r="T190" s="15">
        <f>IFERROR(__xludf.DUMMYFUNCTION("""COMPUTED_VALUE"""),40.0)</f>
        <v>40</v>
      </c>
      <c r="U190" s="15" t="str">
        <f>IFERROR(__xludf.DUMMYFUNCTION("""COMPUTED_VALUE"""),"lower mezzanine to uptown 4/5 mezzanine for Bowling Green Park exit")</f>
        <v>lower mezzanine to uptown 4/5 mezzanine for Bowling Green Park exit</v>
      </c>
      <c r="V190" s="15" t="str">
        <f>IFERROR(__xludf.DUMMYFUNCTION("""COMPUTED_VALUE"""),"POINT (-74.013824 40.704613)")</f>
        <v>POINT (-74.013824 40.704613)</v>
      </c>
    </row>
    <row r="191" ht="22.5" customHeight="1">
      <c r="A191" s="7" t="str">
        <f>IFERROR(__xludf.DUMMYFUNCTION("""COMPUTED_VALUE"""),"161 St-Yankee Stadium")</f>
        <v>161 St-Yankee Stadium</v>
      </c>
      <c r="B191" s="8" t="str">
        <f>IFERROR(__xludf.DUMMYFUNCTION("""COMPUTED_VALUE"""),"Concourse Line")</f>
        <v>Concourse Line</v>
      </c>
      <c r="C191" s="8" t="str">
        <f>IFERROR(__xludf.DUMMYFUNCTION("""COMPUTED_VALUE"""),"The Bronx")</f>
        <v>The Bronx</v>
      </c>
      <c r="D191" s="8" t="str">
        <f>IFERROR(__xludf.DUMMYFUNCTION("""COMPUTED_VALUE"""),"Highbridge")</f>
        <v>Highbridge</v>
      </c>
      <c r="E191" s="33">
        <f>IFERROR(__xludf.DUMMYFUNCTION("""COMPUTED_VALUE"""),12236.0)</f>
        <v>12236</v>
      </c>
      <c r="F191" s="10">
        <f>IFERROR(__xludf.DUMMYFUNCTION("""COMPUTED_VALUE"""),5964943.0)</f>
        <v>5964943</v>
      </c>
      <c r="G191" s="19">
        <f>IFERROR(__xludf.DUMMYFUNCTION("""COMPUTED_VALUE"""),41.0)</f>
        <v>41</v>
      </c>
      <c r="H191" s="10" t="str">
        <f>IFERROR(__xludf.DUMMYFUNCTION("""COMPUTED_VALUE"""),"↗️")</f>
        <v>↗️</v>
      </c>
      <c r="I191" s="13">
        <f>IFERROR(__xludf.DUMMYFUNCTION("""COMPUTED_VALUE"""),22555.0)</f>
        <v>22555</v>
      </c>
      <c r="J191" s="32">
        <f>IFERROR(__xludf.DUMMYFUNCTION("""COMPUTED_VALUE"""),45738.0)</f>
        <v>45738</v>
      </c>
      <c r="K191" s="8">
        <f>IFERROR(__xludf.DUMMYFUNCTION("""COMPUTED_VALUE"""),22.0)</f>
        <v>22</v>
      </c>
      <c r="L191" s="15" t="str">
        <f>IFERROR(__xludf.DUMMYFUNCTION("""COMPUTED_VALUE"""),"YES")</f>
        <v>YES</v>
      </c>
      <c r="M191" s="15" t="str">
        <f>IFERROR(__xludf.DUMMYFUNCTION("""COMPUTED_VALUE"""),"NYCT")</f>
        <v>NYCT</v>
      </c>
      <c r="N191" s="15" t="str">
        <f>IFERROR(__xludf.DUMMYFUNCTION("""COMPUTED_VALUE"""),"KONE")</f>
        <v>KONE</v>
      </c>
      <c r="O191" s="15" t="str">
        <f>IFERROR(__xludf.DUMMYFUNCTION("""COMPUTED_VALUE"""),"YES")</f>
        <v>YES</v>
      </c>
      <c r="P191" s="15" t="str">
        <f>IFERROR(__xludf.DUMMYFUNCTION("""COMPUTED_VALUE"""),"NO")</f>
        <v>NO</v>
      </c>
      <c r="Q191" s="15" t="str">
        <f>IFERROR(__xludf.DUMMYFUNCTION("""COMPUTED_VALUE"""),"NO")</f>
        <v>NO</v>
      </c>
      <c r="R191" s="15" t="str">
        <f>IFERROR(__xludf.DUMMYFUNCTION("""COMPUTED_VALUE"""),"30' - 9in")</f>
        <v>30' - 9in</v>
      </c>
      <c r="S191" s="15">
        <f>IFERROR(__xludf.DUMMYFUNCTION("""COMPUTED_VALUE"""),119.0)</f>
        <v>119</v>
      </c>
      <c r="T191" s="15" t="str">
        <f>IFERROR(__xludf.DUMMYFUNCTION("""COMPUTED_VALUE"""),"40in")</f>
        <v>40in</v>
      </c>
      <c r="U191" s="15" t="str">
        <f>IFERROR(__xludf.DUMMYFUNCTION("""COMPUTED_VALUE"""),"4 upper mezzanine to lower mezzanine for B/D service")</f>
        <v>4 upper mezzanine to lower mezzanine for B/D service</v>
      </c>
      <c r="V191" s="15" t="str">
        <f>IFERROR(__xludf.DUMMYFUNCTION("""COMPUTED_VALUE"""),"POINT (-73.92566 40.827644)")</f>
        <v>POINT (-73.92566 40.827644)</v>
      </c>
    </row>
    <row r="192" ht="22.5" customHeight="1">
      <c r="A192" s="7" t="str">
        <f>IFERROR(__xludf.DUMMYFUNCTION("""COMPUTED_VALUE"""),"96 St")</f>
        <v>96 St</v>
      </c>
      <c r="B192" s="8" t="str">
        <f>IFERROR(__xludf.DUMMYFUNCTION("""COMPUTED_VALUE"""),"Broadway-7 Av Line")</f>
        <v>Broadway-7 Av Line</v>
      </c>
      <c r="C192" s="8" t="str">
        <f>IFERROR(__xludf.DUMMYFUNCTION("""COMPUTED_VALUE"""),"Manhattan")</f>
        <v>Manhattan</v>
      </c>
      <c r="D192" s="8" t="str">
        <f>IFERROR(__xludf.DUMMYFUNCTION("""COMPUTED_VALUE"""),"Upper West Side")</f>
        <v>Upper West Side</v>
      </c>
      <c r="E192" s="33">
        <f>IFERROR(__xludf.DUMMYFUNCTION("""COMPUTED_VALUE"""),1762.0)</f>
        <v>1762</v>
      </c>
      <c r="F192" s="8">
        <f>IFERROR(__xludf.DUMMYFUNCTION("""COMPUTED_VALUE"""),8250940.0)</f>
        <v>8250940</v>
      </c>
      <c r="G192" s="19">
        <f>IFERROR(__xludf.DUMMYFUNCTION("""COMPUTED_VALUE"""),26.0)</f>
        <v>26</v>
      </c>
      <c r="H192" s="10" t="str">
        <f>IFERROR(__xludf.DUMMYFUNCTION("""COMPUTED_VALUE"""),"↗️")</f>
        <v>↗️</v>
      </c>
      <c r="I192" s="13">
        <f>IFERROR(__xludf.DUMMYFUNCTION("""COMPUTED_VALUE"""),42736.0)</f>
        <v>42736</v>
      </c>
      <c r="J192" s="32">
        <f>IFERROR(__xludf.DUMMYFUNCTION("""COMPUTED_VALUE"""),42736.0)</f>
        <v>42736</v>
      </c>
      <c r="K192" s="8">
        <f>IFERROR(__xludf.DUMMYFUNCTION("""COMPUTED_VALUE"""),22.0)</f>
        <v>22</v>
      </c>
      <c r="L192" s="15" t="str">
        <f>IFERROR(__xludf.DUMMYFUNCTION("""COMPUTED_VALUE"""),"YES")</f>
        <v>YES</v>
      </c>
      <c r="M192" s="15" t="str">
        <f>IFERROR(__xludf.DUMMYFUNCTION("""COMPUTED_VALUE"""),"NYCT")</f>
        <v>NYCT</v>
      </c>
      <c r="N192" s="15" t="str">
        <f>IFERROR(__xludf.DUMMYFUNCTION("""COMPUTED_VALUE"""),"KONE")</f>
        <v>KONE</v>
      </c>
      <c r="O192" s="15" t="str">
        <f>IFERROR(__xludf.DUMMYFUNCTION("""COMPUTED_VALUE"""),"YES")</f>
        <v>YES</v>
      </c>
      <c r="P192" s="15" t="str">
        <f>IFERROR(__xludf.DUMMYFUNCTION("""COMPUTED_VALUE"""),"YES")</f>
        <v>YES</v>
      </c>
      <c r="Q192" s="15" t="str">
        <f>IFERROR(__xludf.DUMMYFUNCTION("""COMPUTED_VALUE"""),"YES")</f>
        <v>YES</v>
      </c>
      <c r="R192" s="15" t="str">
        <f>IFERROR(__xludf.DUMMYFUNCTION("""COMPUTED_VALUE"""),"8220mm (26' 11 5/8in)")</f>
        <v>8220mm (26' 11 5/8in)</v>
      </c>
      <c r="S192" s="15">
        <f>IFERROR(__xludf.DUMMYFUNCTION("""COMPUTED_VALUE"""),108.0)</f>
        <v>108</v>
      </c>
      <c r="T192" s="15" t="str">
        <f>IFERROR(__xludf.DUMMYFUNCTION("""COMPUTED_VALUE"""),"1000 mm (39 3/8in)")</f>
        <v>1000 mm (39 3/8in)</v>
      </c>
      <c r="U192" s="15" t="str">
        <f>IFERROR(__xludf.DUMMYFUNCTION("""COMPUTED_VALUE"""),"96 St &amp; 2nd Ave (SW corner) to mezzanine")</f>
        <v>96 St &amp; 2nd Ave (SW corner) to mezzanine</v>
      </c>
      <c r="V192" s="15" t="str">
        <f>IFERROR(__xludf.DUMMYFUNCTION("""COMPUTED_VALUE"""),"POINT (-73.947464 40.78409)")</f>
        <v>POINT (-73.947464 40.78409)</v>
      </c>
    </row>
    <row r="193" ht="22.5" customHeight="1">
      <c r="A193" s="7" t="str">
        <f>IFERROR(__xludf.DUMMYFUNCTION("""COMPUTED_VALUE"""),"Gun Hill Rd")</f>
        <v>Gun Hill Rd</v>
      </c>
      <c r="B193" s="23" t="str">
        <f>IFERROR(__xludf.DUMMYFUNCTION("""COMPUTED_VALUE"""),"Dyre Av Line")</f>
        <v>Dyre Av Line</v>
      </c>
      <c r="C193" s="8" t="str">
        <f>IFERROR(__xludf.DUMMYFUNCTION("""COMPUTED_VALUE"""),"The Bronx")</f>
        <v>The Bronx</v>
      </c>
      <c r="D193" s="8" t="str">
        <f>IFERROR(__xludf.DUMMYFUNCTION("""COMPUTED_VALUE"""),"Baychester")</f>
        <v>Baychester</v>
      </c>
      <c r="E193" s="33">
        <f>IFERROR(__xludf.DUMMYFUNCTION("""COMPUTED_VALUE"""),15111.0)</f>
        <v>15111</v>
      </c>
      <c r="F193" s="8">
        <f>IFERROR(__xludf.DUMMYFUNCTION("""COMPUTED_VALUE"""),829717.0)</f>
        <v>829717</v>
      </c>
      <c r="G193" s="19">
        <f>IFERROR(__xludf.DUMMYFUNCTION("""COMPUTED_VALUE"""),325.0)</f>
        <v>325</v>
      </c>
      <c r="H193" s="10" t="str">
        <f>IFERROR(__xludf.DUMMYFUNCTION("""COMPUTED_VALUE"""),"↗️")</f>
        <v>↗️</v>
      </c>
      <c r="I193" s="13">
        <f>IFERROR(__xludf.DUMMYFUNCTION("""COMPUTED_VALUE"""),38653.0)</f>
        <v>38653</v>
      </c>
      <c r="J193" s="32">
        <f>IFERROR(__xludf.DUMMYFUNCTION("""COMPUTED_VALUE"""),38653.0)</f>
        <v>38653</v>
      </c>
      <c r="K193" s="8">
        <f>IFERROR(__xludf.DUMMYFUNCTION("""COMPUTED_VALUE"""),22.0)</f>
        <v>22</v>
      </c>
      <c r="L193" s="15" t="str">
        <f>IFERROR(__xludf.DUMMYFUNCTION("""COMPUTED_VALUE"""),"YES")</f>
        <v>YES</v>
      </c>
      <c r="M193" s="15" t="str">
        <f>IFERROR(__xludf.DUMMYFUNCTION("""COMPUTED_VALUE"""),"NYCT")</f>
        <v>NYCT</v>
      </c>
      <c r="N193" s="15" t="str">
        <f>IFERROR(__xludf.DUMMYFUNCTION("""COMPUTED_VALUE"""),"FUJITEC")</f>
        <v>FUJITEC</v>
      </c>
      <c r="O193" s="15" t="str">
        <f>IFERROR(__xludf.DUMMYFUNCTION("""COMPUTED_VALUE"""),"YES")</f>
        <v>YES</v>
      </c>
      <c r="P193" s="15" t="str">
        <f>IFERROR(__xludf.DUMMYFUNCTION("""COMPUTED_VALUE"""),"YES")</f>
        <v>YES</v>
      </c>
      <c r="Q193" s="15" t="str">
        <f>IFERROR(__xludf.DUMMYFUNCTION("""COMPUTED_VALUE"""),"NO")</f>
        <v>NO</v>
      </c>
      <c r="R193" s="15" t="str">
        <f>IFERROR(__xludf.DUMMYFUNCTION("""COMPUTED_VALUE"""),"31'")</f>
        <v>31'</v>
      </c>
      <c r="S193" s="15">
        <f>IFERROR(__xludf.DUMMYFUNCTION("""COMPUTED_VALUE"""),115.0)</f>
        <v>115</v>
      </c>
      <c r="T193" s="15">
        <f>IFERROR(__xludf.DUMMYFUNCTION("""COMPUTED_VALUE"""),40.0)</f>
        <v>40</v>
      </c>
      <c r="U193" s="15" t="str">
        <f>IFERROR(__xludf.DUMMYFUNCTION("""COMPUTED_VALUE"""),"Gun Hill Rd &amp; White Plains Rd entrance to mezzanine")</f>
        <v>Gun Hill Rd &amp; White Plains Rd entrance to mezzanine</v>
      </c>
      <c r="V193" s="15" t="str">
        <f>IFERROR(__xludf.DUMMYFUNCTION("""COMPUTED_VALUE"""),"POINT (-73.866295 40.877777)")</f>
        <v>POINT (-73.866295 40.877777)</v>
      </c>
    </row>
    <row r="194" ht="22.5" customHeight="1">
      <c r="A194" s="7" t="str">
        <f>IFERROR(__xludf.DUMMYFUNCTION("""COMPUTED_VALUE"""),"Park Place")</f>
        <v>Park Place</v>
      </c>
      <c r="B194" s="8" t="str">
        <f>IFERROR(__xludf.DUMMYFUNCTION("""COMPUTED_VALUE"""),"Franklin Av Line")</f>
        <v>Franklin Av Line</v>
      </c>
      <c r="C194" s="8" t="str">
        <f>IFERROR(__xludf.DUMMYFUNCTION("""COMPUTED_VALUE"""),"Brooklyn")</f>
        <v>Brooklyn</v>
      </c>
      <c r="D194" s="8" t="str">
        <f>IFERROR(__xludf.DUMMYFUNCTION("""COMPUTED_VALUE"""),"Crown Heights")</f>
        <v>Crown Heights</v>
      </c>
      <c r="E194" s="33">
        <f>IFERROR(__xludf.DUMMYFUNCTION("""COMPUTED_VALUE"""),1921.0)</f>
        <v>1921</v>
      </c>
      <c r="F194" s="10">
        <f>IFERROR(__xludf.DUMMYFUNCTION("""COMPUTED_VALUE"""),362630.0)</f>
        <v>362630</v>
      </c>
      <c r="G194" s="19">
        <f>IFERROR(__xludf.DUMMYFUNCTION("""COMPUTED_VALUE"""),405.0)</f>
        <v>405</v>
      </c>
      <c r="H194" s="10" t="str">
        <f>IFERROR(__xludf.DUMMYFUNCTION("""COMPUTED_VALUE"""),"↗️")</f>
        <v>↗️</v>
      </c>
      <c r="I194" s="13">
        <f>IFERROR(__xludf.DUMMYFUNCTION("""COMPUTED_VALUE"""),24259.0)</f>
        <v>24259</v>
      </c>
      <c r="J194" s="32">
        <f>IFERROR(__xludf.DUMMYFUNCTION("""COMPUTED_VALUE"""),45975.0)</f>
        <v>45975</v>
      </c>
      <c r="K194" s="8">
        <f>IFERROR(__xludf.DUMMYFUNCTION("""COMPUTED_VALUE"""),22.0)</f>
        <v>22</v>
      </c>
      <c r="L194" s="15" t="str">
        <f>IFERROR(__xludf.DUMMYFUNCTION("""COMPUTED_VALUE"""),"YES")</f>
        <v>YES</v>
      </c>
      <c r="M194" s="15" t="str">
        <f>IFERROR(__xludf.DUMMYFUNCTION("""COMPUTED_VALUE"""),"NYCT")</f>
        <v>NYCT</v>
      </c>
      <c r="N194" s="15" t="str">
        <f>IFERROR(__xludf.DUMMYFUNCTION("""COMPUTED_VALUE"""),"KONE")</f>
        <v>KONE</v>
      </c>
      <c r="O194" s="15" t="str">
        <f>IFERROR(__xludf.DUMMYFUNCTION("""COMPUTED_VALUE"""),"YES")</f>
        <v>YES</v>
      </c>
      <c r="P194" s="15" t="str">
        <f>IFERROR(__xludf.DUMMYFUNCTION("""COMPUTED_VALUE"""),"NO")</f>
        <v>NO</v>
      </c>
      <c r="Q194" s="15" t="str">
        <f>IFERROR(__xludf.DUMMYFUNCTION("""COMPUTED_VALUE"""),"NO")</f>
        <v>NO</v>
      </c>
      <c r="R194" s="15" t="str">
        <f>IFERROR(__xludf.DUMMYFUNCTION("""COMPUTED_VALUE"""),"30'")</f>
        <v>30'</v>
      </c>
      <c r="S194" s="15">
        <f>IFERROR(__xludf.DUMMYFUNCTION("""COMPUTED_VALUE"""),110.0)</f>
        <v>110</v>
      </c>
      <c r="T194" s="15" t="str">
        <f>IFERROR(__xludf.DUMMYFUNCTION("""COMPUTED_VALUE"""),"40'")</f>
        <v>40'</v>
      </c>
      <c r="U194" s="15" t="str">
        <f>IFERROR(__xludf.DUMMYFUNCTION("""COMPUTED_VALUE"""),"2/3 platform to mezzanine for Park Pl &amp; Broadway exit")</f>
        <v>2/3 platform to mezzanine for Park Pl &amp; Broadway exit</v>
      </c>
      <c r="V194" s="15" t="str">
        <f>IFERROR(__xludf.DUMMYFUNCTION("""COMPUTED_VALUE"""),"POINT (-74.0085 40.712917)")</f>
        <v>POINT (-74.0085 40.712917)</v>
      </c>
    </row>
    <row r="195" ht="22.5" customHeight="1">
      <c r="A195" s="7" t="str">
        <f>IFERROR(__xludf.DUMMYFUNCTION("""COMPUTED_VALUE"""),"Flushing-Main St")</f>
        <v>Flushing-Main St</v>
      </c>
      <c r="B195" s="8" t="str">
        <f>IFERROR(__xludf.DUMMYFUNCTION("""COMPUTED_VALUE"""),"Flushing Line")</f>
        <v>Flushing Line</v>
      </c>
      <c r="C195" s="8" t="str">
        <f>IFERROR(__xludf.DUMMYFUNCTION("""COMPUTED_VALUE"""),"Queens")</f>
        <v>Queens</v>
      </c>
      <c r="D195" s="8" t="str">
        <f>IFERROR(__xludf.DUMMYFUNCTION("""COMPUTED_VALUE"""),"Flushing")</f>
        <v>Flushing</v>
      </c>
      <c r="E195" s="33">
        <f>IFERROR(__xludf.DUMMYFUNCTION("""COMPUTED_VALUE"""),10248.0)</f>
        <v>10248</v>
      </c>
      <c r="F195" s="10">
        <f>IFERROR(__xludf.DUMMYFUNCTION("""COMPUTED_VALUE"""),1.4592853E7)</f>
        <v>14592853</v>
      </c>
      <c r="G195" s="19">
        <f>IFERROR(__xludf.DUMMYFUNCTION("""COMPUTED_VALUE"""),10.0)</f>
        <v>10</v>
      </c>
      <c r="H195" s="10" t="str">
        <f>IFERROR(__xludf.DUMMYFUNCTION("""COMPUTED_VALUE"""),"↗️")</f>
        <v>↗️</v>
      </c>
      <c r="I195" s="13">
        <f>IFERROR(__xludf.DUMMYFUNCTION("""COMPUTED_VALUE"""),36235.0)</f>
        <v>36235</v>
      </c>
      <c r="J195" s="32">
        <f>IFERROR(__xludf.DUMMYFUNCTION("""COMPUTED_VALUE"""),44247.0)</f>
        <v>44247</v>
      </c>
      <c r="K195" s="8">
        <f>IFERROR(__xludf.DUMMYFUNCTION("""COMPUTED_VALUE"""),22.0)</f>
        <v>22</v>
      </c>
      <c r="L195" s="15" t="str">
        <f>IFERROR(__xludf.DUMMYFUNCTION("""COMPUTED_VALUE"""),"YES")</f>
        <v>YES</v>
      </c>
      <c r="M195" s="15" t="str">
        <f>IFERROR(__xludf.DUMMYFUNCTION("""COMPUTED_VALUE"""),"NYCT")</f>
        <v>NYCT</v>
      </c>
      <c r="N195" s="15" t="str">
        <f>IFERROR(__xludf.DUMMYFUNCTION("""COMPUTED_VALUE"""),"KONE")</f>
        <v>KONE</v>
      </c>
      <c r="O195" s="15" t="str">
        <f>IFERROR(__xludf.DUMMYFUNCTION("""COMPUTED_VALUE"""),"YES")</f>
        <v>YES</v>
      </c>
      <c r="P195" s="15" t="str">
        <f>IFERROR(__xludf.DUMMYFUNCTION("""COMPUTED_VALUE"""),"YES")</f>
        <v>YES</v>
      </c>
      <c r="Q195" s="15" t="str">
        <f>IFERROR(__xludf.DUMMYFUNCTION("""COMPUTED_VALUE"""),"YES")</f>
        <v>YES</v>
      </c>
      <c r="R195" s="15" t="str">
        <f>IFERROR(__xludf.DUMMYFUNCTION("""COMPUTED_VALUE"""),"40'")</f>
        <v>40'</v>
      </c>
      <c r="S195" s="15">
        <f>IFERROR(__xludf.DUMMYFUNCTION("""COMPUTED_VALUE"""),150.0)</f>
        <v>150</v>
      </c>
      <c r="T195" s="15" t="str">
        <f>IFERROR(__xludf.DUMMYFUNCTION("""COMPUTED_VALUE"""),"40in")</f>
        <v>40in</v>
      </c>
      <c r="U195" s="15" t="str">
        <f>IFERROR(__xludf.DUMMYFUNCTION("""COMPUTED_VALUE"""),"platform to Roosevelt Ave (E of Main St)")</f>
        <v>platform to Roosevelt Ave (E of Main St)</v>
      </c>
      <c r="V195" s="15" t="str">
        <f>IFERROR(__xludf.DUMMYFUNCTION("""COMPUTED_VALUE"""),"POINT (-73.828835 40.759827)")</f>
        <v>POINT (-73.828835 40.759827)</v>
      </c>
    </row>
    <row r="196" ht="22.5" customHeight="1">
      <c r="A196" s="7" t="str">
        <f>IFERROR(__xludf.DUMMYFUNCTION("""COMPUTED_VALUE"""),"Lexington Av/59 St")</f>
        <v>Lexington Av/59 St</v>
      </c>
      <c r="B196" s="8" t="str">
        <f>IFERROR(__xludf.DUMMYFUNCTION("""COMPUTED_VALUE"""),"Broadway Line")</f>
        <v>Broadway Line</v>
      </c>
      <c r="C196" s="8" t="str">
        <f>IFERROR(__xludf.DUMMYFUNCTION("""COMPUTED_VALUE"""),"Manhattan")</f>
        <v>Manhattan</v>
      </c>
      <c r="D196" s="8" t="str">
        <f>IFERROR(__xludf.DUMMYFUNCTION("""COMPUTED_VALUE"""),"Midtown")</f>
        <v>Midtown</v>
      </c>
      <c r="E196" s="33">
        <f>IFERROR(__xludf.DUMMYFUNCTION("""COMPUTED_VALUE"""),7184.0)</f>
        <v>7184</v>
      </c>
      <c r="F196" s="10">
        <f>IFERROR(__xludf.DUMMYFUNCTION("""COMPUTED_VALUE"""),1.1961525E7)</f>
        <v>11961525</v>
      </c>
      <c r="G196" s="19">
        <f>IFERROR(__xludf.DUMMYFUNCTION("""COMPUTED_VALUE"""),14.0)</f>
        <v>14</v>
      </c>
      <c r="H196" s="10" t="str">
        <f>IFERROR(__xludf.DUMMYFUNCTION("""COMPUTED_VALUE"""),"↗️")</f>
        <v>↗️</v>
      </c>
      <c r="I196" s="13">
        <f>IFERROR(__xludf.DUMMYFUNCTION("""COMPUTED_VALUE"""),26967.0)</f>
        <v>26967</v>
      </c>
      <c r="J196" s="32">
        <f>IFERROR(__xludf.DUMMYFUNCTION("""COMPUTED_VALUE"""),37738.0)</f>
        <v>37738</v>
      </c>
      <c r="K196" s="8">
        <f>IFERROR(__xludf.DUMMYFUNCTION("""COMPUTED_VALUE"""),22.0)</f>
        <v>22</v>
      </c>
      <c r="L196" s="15" t="str">
        <f>IFERROR(__xludf.DUMMYFUNCTION("""COMPUTED_VALUE"""),"YES")</f>
        <v>YES</v>
      </c>
      <c r="M196" s="15" t="str">
        <f>IFERROR(__xludf.DUMMYFUNCTION("""COMPUTED_VALUE"""),"NYCT")</f>
        <v>NYCT</v>
      </c>
      <c r="N196" s="15" t="str">
        <f>IFERROR(__xludf.DUMMYFUNCTION("""COMPUTED_VALUE"""),"FUJITEC")</f>
        <v>FUJITEC</v>
      </c>
      <c r="O196" s="15" t="str">
        <f>IFERROR(__xludf.DUMMYFUNCTION("""COMPUTED_VALUE"""),"YES")</f>
        <v>YES</v>
      </c>
      <c r="P196" s="15" t="str">
        <f>IFERROR(__xludf.DUMMYFUNCTION("""COMPUTED_VALUE"""),"NO")</f>
        <v>NO</v>
      </c>
      <c r="Q196" s="15" t="str">
        <f>IFERROR(__xludf.DUMMYFUNCTION("""COMPUTED_VALUE"""),"NO")</f>
        <v>NO</v>
      </c>
      <c r="R196" s="15" t="str">
        <f>IFERROR(__xludf.DUMMYFUNCTION("""COMPUTED_VALUE"""),"33'")</f>
        <v>33'</v>
      </c>
      <c r="S196" s="15">
        <f>IFERROR(__xludf.DUMMYFUNCTION("""COMPUTED_VALUE"""),117.0)</f>
        <v>117</v>
      </c>
      <c r="T196" s="15">
        <f>IFERROR(__xludf.DUMMYFUNCTION("""COMPUTED_VALUE"""),40.0)</f>
        <v>40</v>
      </c>
      <c r="U196" s="15" t="str">
        <f>IFERROR(__xludf.DUMMYFUNCTION("""COMPUTED_VALUE"""),"mezzanine (3rd Ave &amp; 60 St) to N/R/W platform for service in both directions")</f>
        <v>mezzanine (3rd Ave &amp; 60 St) to N/R/W platform for service in both directions</v>
      </c>
      <c r="V196" s="15" t="str">
        <f>IFERROR(__xludf.DUMMYFUNCTION("""COMPUTED_VALUE"""),"POINT (-73.96628 40.76226)")</f>
        <v>POINT (-73.96628 40.76226)</v>
      </c>
    </row>
    <row r="197" ht="22.5" customHeight="1">
      <c r="A197" s="7" t="str">
        <f>IFERROR(__xludf.DUMMYFUNCTION("""COMPUTED_VALUE"""),"Delancey St-Essex St")</f>
        <v>Delancey St-Essex St</v>
      </c>
      <c r="B197" s="8" t="str">
        <f>IFERROR(__xludf.DUMMYFUNCTION("""COMPUTED_VALUE"""),"")</f>
        <v/>
      </c>
      <c r="C197" s="8" t="str">
        <f>IFERROR(__xludf.DUMMYFUNCTION("""COMPUTED_VALUE"""),"")</f>
        <v/>
      </c>
      <c r="D197" s="8" t="str">
        <f>IFERROR(__xludf.DUMMYFUNCTION("""COMPUTED_VALUE"""),"")</f>
        <v/>
      </c>
      <c r="E197" s="33" t="str">
        <f>IFERROR(__xludf.DUMMYFUNCTION("""COMPUTED_VALUE"""),"")</f>
        <v/>
      </c>
      <c r="F197" s="8" t="str">
        <f>IFERROR(__xludf.DUMMYFUNCTION("""COMPUTED_VALUE"""),"")</f>
        <v/>
      </c>
      <c r="G197" s="19" t="str">
        <f>IFERROR(__xludf.DUMMYFUNCTION("""COMPUTED_VALUE"""),"")</f>
        <v/>
      </c>
      <c r="H197" s="10" t="str">
        <f>IFERROR(__xludf.DUMMYFUNCTION("""COMPUTED_VALUE"""),"↗️")</f>
        <v>↗️</v>
      </c>
      <c r="I197" s="13">
        <f>IFERROR(__xludf.DUMMYFUNCTION("""COMPUTED_VALUE"""),21337.0)</f>
        <v>21337</v>
      </c>
      <c r="J197" s="32">
        <f>IFERROR(__xludf.DUMMYFUNCTION("""COMPUTED_VALUE"""),36286.0)</f>
        <v>36286</v>
      </c>
      <c r="K197" s="8">
        <f>IFERROR(__xludf.DUMMYFUNCTION("""COMPUTED_VALUE"""),22.0)</f>
        <v>22</v>
      </c>
      <c r="L197" s="15" t="str">
        <f>IFERROR(__xludf.DUMMYFUNCTION("""COMPUTED_VALUE"""),"YES")</f>
        <v>YES</v>
      </c>
      <c r="M197" s="15" t="str">
        <f>IFERROR(__xludf.DUMMYFUNCTION("""COMPUTED_VALUE"""),"NYCT")</f>
        <v>NYCT</v>
      </c>
      <c r="N197" s="15" t="str">
        <f>IFERROR(__xludf.DUMMYFUNCTION("""COMPUTED_VALUE"""),"OK")</f>
        <v>OK</v>
      </c>
      <c r="O197" s="15" t="str">
        <f>IFERROR(__xludf.DUMMYFUNCTION("""COMPUTED_VALUE"""),"YES")</f>
        <v>YES</v>
      </c>
      <c r="P197" s="15" t="str">
        <f>IFERROR(__xludf.DUMMYFUNCTION("""COMPUTED_VALUE"""),"YES")</f>
        <v>YES</v>
      </c>
      <c r="Q197" s="15" t="str">
        <f>IFERROR(__xludf.DUMMYFUNCTION("""COMPUTED_VALUE"""),"YES")</f>
        <v>YES</v>
      </c>
      <c r="R197" s="15" t="str">
        <f>IFERROR(__xludf.DUMMYFUNCTION("""COMPUTED_VALUE"""),"38'")</f>
        <v>38'</v>
      </c>
      <c r="S197" s="15">
        <f>IFERROR(__xludf.DUMMYFUNCTION("""COMPUTED_VALUE"""),131.0)</f>
        <v>131</v>
      </c>
      <c r="T197" s="15">
        <f>IFERROR(__xludf.DUMMYFUNCTION("""COMPUTED_VALUE"""),24.0)</f>
        <v>24</v>
      </c>
      <c r="U197" s="15" t="str">
        <f>IFERROR(__xludf.DUMMYFUNCTION("""COMPUTED_VALUE"""),"uptown F platform to Delancey St &amp; Essex St (SE corner)")</f>
        <v>uptown F platform to Delancey St &amp; Essex St (SE corner)</v>
      </c>
      <c r="V197" s="15" t="str">
        <f>IFERROR(__xludf.DUMMYFUNCTION("""COMPUTED_VALUE"""),"POINT (-73.98789 40.718185)")</f>
        <v>POINT (-73.98789 40.718185)</v>
      </c>
    </row>
    <row r="198" ht="22.5" customHeight="1">
      <c r="A198" s="7" t="str">
        <f>IFERROR(__xludf.DUMMYFUNCTION("""COMPUTED_VALUE"""),"125 St")</f>
        <v>125 St</v>
      </c>
      <c r="B198" s="8" t="str">
        <f>IFERROR(__xludf.DUMMYFUNCTION("""COMPUTED_VALUE"""),"Broadway-7 Av Line")</f>
        <v>Broadway-7 Av Line</v>
      </c>
      <c r="C198" s="8" t="str">
        <f>IFERROR(__xludf.DUMMYFUNCTION("""COMPUTED_VALUE"""),"Manhattan")</f>
        <v>Manhattan</v>
      </c>
      <c r="D198" s="8" t="str">
        <f>IFERROR(__xludf.DUMMYFUNCTION("""COMPUTED_VALUE"""),"Manhattanville")</f>
        <v>Manhattanville</v>
      </c>
      <c r="E198" s="33">
        <f>IFERROR(__xludf.DUMMYFUNCTION("""COMPUTED_VALUE"""),1762.0)</f>
        <v>1762</v>
      </c>
      <c r="F198" s="8">
        <f>IFERROR(__xludf.DUMMYFUNCTION("""COMPUTED_VALUE"""),1977586.0)</f>
        <v>1977586</v>
      </c>
      <c r="G198" s="19">
        <f>IFERROR(__xludf.DUMMYFUNCTION("""COMPUTED_VALUE"""),165.0)</f>
        <v>165</v>
      </c>
      <c r="H198" s="10" t="str">
        <f>IFERROR(__xludf.DUMMYFUNCTION("""COMPUTED_VALUE"""),"↗️")</f>
        <v>↗️</v>
      </c>
      <c r="I198" s="13">
        <f>IFERROR(__xludf.DUMMYFUNCTION("""COMPUTED_VALUE"""),1995.0)</f>
        <v>1995</v>
      </c>
      <c r="J198" s="32">
        <f>IFERROR(__xludf.DUMMYFUNCTION("""COMPUTED_VALUE"""),37246.0)</f>
        <v>37246</v>
      </c>
      <c r="K198" s="8">
        <f>IFERROR(__xludf.DUMMYFUNCTION("""COMPUTED_VALUE"""),22.0)</f>
        <v>22</v>
      </c>
      <c r="L198" s="15" t="str">
        <f>IFERROR(__xludf.DUMMYFUNCTION("""COMPUTED_VALUE"""),"YES")</f>
        <v>YES</v>
      </c>
      <c r="M198" s="15" t="str">
        <f>IFERROR(__xludf.DUMMYFUNCTION("""COMPUTED_VALUE"""),"NYCT")</f>
        <v>NYCT</v>
      </c>
      <c r="N198" s="15" t="str">
        <f>IFERROR(__xludf.DUMMYFUNCTION("""COMPUTED_VALUE"""),"FUJITEC")</f>
        <v>FUJITEC</v>
      </c>
      <c r="O198" s="15" t="str">
        <f>IFERROR(__xludf.DUMMYFUNCTION("""COMPUTED_VALUE"""),"YES")</f>
        <v>YES</v>
      </c>
      <c r="P198" s="15" t="str">
        <f>IFERROR(__xludf.DUMMYFUNCTION("""COMPUTED_VALUE"""),"YES")</f>
        <v>YES</v>
      </c>
      <c r="Q198" s="15" t="str">
        <f>IFERROR(__xludf.DUMMYFUNCTION("""COMPUTED_VALUE"""),"YES")</f>
        <v>YES</v>
      </c>
      <c r="R198" s="15" t="str">
        <f>IFERROR(__xludf.DUMMYFUNCTION("""COMPUTED_VALUE"""),"29'")</f>
        <v>29'</v>
      </c>
      <c r="S198" s="15">
        <f>IFERROR(__xludf.DUMMYFUNCTION("""COMPUTED_VALUE"""),101.0)</f>
        <v>101</v>
      </c>
      <c r="T198" s="15">
        <f>IFERROR(__xludf.DUMMYFUNCTION("""COMPUTED_VALUE"""),600.0)</f>
        <v>600</v>
      </c>
      <c r="U198" s="15" t="str">
        <f>IFERROR(__xludf.DUMMYFUNCTION("""COMPUTED_VALUE"""),"mezzanine to 125 St &amp; Broadway (SW corner)")</f>
        <v>mezzanine to 125 St &amp; Broadway (SW corner)</v>
      </c>
      <c r="V198" s="15" t="str">
        <f>IFERROR(__xludf.DUMMYFUNCTION("""COMPUTED_VALUE"""),"POINT (-73.95878 40.815357)")</f>
        <v>POINT (-73.95878 40.815357)</v>
      </c>
    </row>
    <row r="199" ht="22.5" customHeight="1">
      <c r="A199" s="7" t="str">
        <f>IFERROR(__xludf.DUMMYFUNCTION("""COMPUTED_VALUE"""),"South Ferry")</f>
        <v>South Ferry</v>
      </c>
      <c r="B199" s="8" t="str">
        <f>IFERROR(__xludf.DUMMYFUNCTION("""COMPUTED_VALUE"""),"")</f>
        <v/>
      </c>
      <c r="C199" s="8" t="str">
        <f>IFERROR(__xludf.DUMMYFUNCTION("""COMPUTED_VALUE"""),"")</f>
        <v/>
      </c>
      <c r="D199" s="8" t="str">
        <f>IFERROR(__xludf.DUMMYFUNCTION("""COMPUTED_VALUE"""),"")</f>
        <v/>
      </c>
      <c r="E199" s="33" t="str">
        <f>IFERROR(__xludf.DUMMYFUNCTION("""COMPUTED_VALUE"""),"")</f>
        <v/>
      </c>
      <c r="F199" s="8" t="str">
        <f>IFERROR(__xludf.DUMMYFUNCTION("""COMPUTED_VALUE"""),"")</f>
        <v/>
      </c>
      <c r="G199" s="19" t="str">
        <f>IFERROR(__xludf.DUMMYFUNCTION("""COMPUTED_VALUE"""),"")</f>
        <v/>
      </c>
      <c r="H199" s="10" t="str">
        <f>IFERROR(__xludf.DUMMYFUNCTION("""COMPUTED_VALUE"""),"↗️")</f>
        <v>↗️</v>
      </c>
      <c r="I199" s="13">
        <f>IFERROR(__xludf.DUMMYFUNCTION("""COMPUTED_VALUE"""),39888.0)</f>
        <v>39888</v>
      </c>
      <c r="J199" s="32">
        <f>IFERROR(__xludf.DUMMYFUNCTION("""COMPUTED_VALUE"""),42913.0)</f>
        <v>42913</v>
      </c>
      <c r="K199" s="8">
        <f>IFERROR(__xludf.DUMMYFUNCTION("""COMPUTED_VALUE"""),22.0)</f>
        <v>22</v>
      </c>
      <c r="L199" s="15" t="str">
        <f>IFERROR(__xludf.DUMMYFUNCTION("""COMPUTED_VALUE"""),"YES")</f>
        <v>YES</v>
      </c>
      <c r="M199" s="15" t="str">
        <f>IFERROR(__xludf.DUMMYFUNCTION("""COMPUTED_VALUE"""),"NYCT")</f>
        <v>NYCT</v>
      </c>
      <c r="N199" s="15" t="str">
        <f>IFERROR(__xludf.DUMMYFUNCTION("""COMPUTED_VALUE"""),"KONE")</f>
        <v>KONE</v>
      </c>
      <c r="O199" s="15" t="str">
        <f>IFERROR(__xludf.DUMMYFUNCTION("""COMPUTED_VALUE"""),"YES")</f>
        <v>YES</v>
      </c>
      <c r="P199" s="15" t="str">
        <f>IFERROR(__xludf.DUMMYFUNCTION("""COMPUTED_VALUE"""),"YES")</f>
        <v>YES</v>
      </c>
      <c r="Q199" s="15" t="str">
        <f>IFERROR(__xludf.DUMMYFUNCTION("""COMPUTED_VALUE"""),"YES")</f>
        <v>YES</v>
      </c>
      <c r="R199" s="15" t="str">
        <f>IFERROR(__xludf.DUMMYFUNCTION("""COMPUTED_VALUE"""),"10236 mm (33' 7in)")</f>
        <v>10236 mm (33' 7in)</v>
      </c>
      <c r="S199" s="15">
        <f>IFERROR(__xludf.DUMMYFUNCTION("""COMPUTED_VALUE"""),128.0)</f>
        <v>128</v>
      </c>
      <c r="T199" s="15" t="str">
        <f>IFERROR(__xludf.DUMMYFUNCTION("""COMPUTED_VALUE"""),"40in (NOMINAL), 996 mm")</f>
        <v>40in (NOMINAL), 996 mm</v>
      </c>
      <c r="U199" s="15" t="str">
        <f>IFERROR(__xludf.DUMMYFUNCTION("""COMPUTED_VALUE"""),"1 mezzanine to Peter Minuit Plaza")</f>
        <v>1 mezzanine to Peter Minuit Plaza</v>
      </c>
      <c r="V199" s="15" t="str">
        <f>IFERROR(__xludf.DUMMYFUNCTION("""COMPUTED_VALUE"""),"POINT (-74.01338 40.702023)")</f>
        <v>POINT (-74.01338 40.702023)</v>
      </c>
    </row>
    <row r="200" ht="22.5" customHeight="1">
      <c r="A200" s="7" t="str">
        <f>IFERROR(__xludf.DUMMYFUNCTION("""COMPUTED_VALUE"""),"96 St")</f>
        <v>96 St</v>
      </c>
      <c r="B200" s="8" t="str">
        <f>IFERROR(__xludf.DUMMYFUNCTION("""COMPUTED_VALUE"""),"Broadway-7 Av Line")</f>
        <v>Broadway-7 Av Line</v>
      </c>
      <c r="C200" s="8" t="str">
        <f>IFERROR(__xludf.DUMMYFUNCTION("""COMPUTED_VALUE"""),"Manhattan")</f>
        <v>Manhattan</v>
      </c>
      <c r="D200" s="8" t="str">
        <f>IFERROR(__xludf.DUMMYFUNCTION("""COMPUTED_VALUE"""),"Upper West Side")</f>
        <v>Upper West Side</v>
      </c>
      <c r="E200" s="33">
        <f>IFERROR(__xludf.DUMMYFUNCTION("""COMPUTED_VALUE"""),1762.0)</f>
        <v>1762</v>
      </c>
      <c r="F200" s="8">
        <f>IFERROR(__xludf.DUMMYFUNCTION("""COMPUTED_VALUE"""),8250940.0)</f>
        <v>8250940</v>
      </c>
      <c r="G200" s="19">
        <f>IFERROR(__xludf.DUMMYFUNCTION("""COMPUTED_VALUE"""),26.0)</f>
        <v>26</v>
      </c>
      <c r="H200" s="10" t="str">
        <f>IFERROR(__xludf.DUMMYFUNCTION("""COMPUTED_VALUE"""),"↗️")</f>
        <v>↗️</v>
      </c>
      <c r="I200" s="13">
        <f>IFERROR(__xludf.DUMMYFUNCTION("""COMPUTED_VALUE"""),42736.0)</f>
        <v>42736</v>
      </c>
      <c r="J200" s="32">
        <f>IFERROR(__xludf.DUMMYFUNCTION("""COMPUTED_VALUE"""),42736.0)</f>
        <v>42736</v>
      </c>
      <c r="K200" s="8">
        <f>IFERROR(__xludf.DUMMYFUNCTION("""COMPUTED_VALUE"""),22.0)</f>
        <v>22</v>
      </c>
      <c r="L200" s="15" t="str">
        <f>IFERROR(__xludf.DUMMYFUNCTION("""COMPUTED_VALUE"""),"YES")</f>
        <v>YES</v>
      </c>
      <c r="M200" s="15" t="str">
        <f>IFERROR(__xludf.DUMMYFUNCTION("""COMPUTED_VALUE"""),"NYCT")</f>
        <v>NYCT</v>
      </c>
      <c r="N200" s="15" t="str">
        <f>IFERROR(__xludf.DUMMYFUNCTION("""COMPUTED_VALUE"""),"KONE")</f>
        <v>KONE</v>
      </c>
      <c r="O200" s="15" t="str">
        <f>IFERROR(__xludf.DUMMYFUNCTION("""COMPUTED_VALUE"""),"YES")</f>
        <v>YES</v>
      </c>
      <c r="P200" s="15" t="str">
        <f>IFERROR(__xludf.DUMMYFUNCTION("""COMPUTED_VALUE"""),"NO")</f>
        <v>NO</v>
      </c>
      <c r="Q200" s="15" t="str">
        <f>IFERROR(__xludf.DUMMYFUNCTION("""COMPUTED_VALUE"""),"NO")</f>
        <v>NO</v>
      </c>
      <c r="R200" s="15" t="str">
        <f>IFERROR(__xludf.DUMMYFUNCTION("""COMPUTED_VALUE"""),"5137mm (16' 6 1/2in)")</f>
        <v>5137mm (16' 6 1/2in)</v>
      </c>
      <c r="S200" s="15">
        <f>IFERROR(__xludf.DUMMYFUNCTION("""COMPUTED_VALUE"""),76.0)</f>
        <v>76</v>
      </c>
      <c r="T200" s="15" t="str">
        <f>IFERROR(__xludf.DUMMYFUNCTION("""COMPUTED_VALUE"""),"1000 mm (39 3/8in)")</f>
        <v>1000 mm (39 3/8in)</v>
      </c>
      <c r="U200" s="15" t="str">
        <f>IFERROR(__xludf.DUMMYFUNCTION("""COMPUTED_VALUE"""),"mezzanine (96 St &amp; 2nd Ave) to platform for downtown service")</f>
        <v>mezzanine (96 St &amp; 2nd Ave) to platform for downtown service</v>
      </c>
      <c r="V200" s="15" t="str">
        <f>IFERROR(__xludf.DUMMYFUNCTION("""COMPUTED_VALUE"""),"POINT (-73.94722 40.78397)")</f>
        <v>POINT (-73.94722 40.78397)</v>
      </c>
    </row>
    <row r="201" ht="22.5" customHeight="1">
      <c r="A201" s="7" t="str">
        <f>IFERROR(__xludf.DUMMYFUNCTION("""COMPUTED_VALUE"""),"Times Sq-42 St")</f>
        <v>Times Sq-42 St</v>
      </c>
      <c r="B201" s="8" t="str">
        <f>IFERROR(__xludf.DUMMYFUNCTION("""COMPUTED_VALUE"""),"42nd St Line")</f>
        <v>42nd St Line</v>
      </c>
      <c r="C201" s="8" t="str">
        <f>IFERROR(__xludf.DUMMYFUNCTION("""COMPUTED_VALUE"""),"Manhattan")</f>
        <v>Manhattan</v>
      </c>
      <c r="D201" s="8" t="str">
        <f>IFERROR(__xludf.DUMMYFUNCTION("""COMPUTED_VALUE"""),"Times Square")</f>
        <v>Times Square</v>
      </c>
      <c r="E201" s="33">
        <f>IFERROR(__xludf.DUMMYFUNCTION("""COMPUTED_VALUE"""),1762.0)</f>
        <v>1762</v>
      </c>
      <c r="F201" s="8">
        <f>IFERROR(__xludf.DUMMYFUNCTION("""COMPUTED_VALUE"""),5.7743486E7)</f>
        <v>57743486</v>
      </c>
      <c r="G201" s="19">
        <f>IFERROR(__xludf.DUMMYFUNCTION("""COMPUTED_VALUE"""),1.0)</f>
        <v>1</v>
      </c>
      <c r="H201" s="10" t="str">
        <f>IFERROR(__xludf.DUMMYFUNCTION("""COMPUTED_VALUE"""),"↗️")</f>
        <v>↗️</v>
      </c>
      <c r="I201" s="13"/>
      <c r="J201" s="32">
        <f>IFERROR(__xludf.DUMMYFUNCTION("""COMPUTED_VALUE"""),33086.0)</f>
        <v>33086</v>
      </c>
      <c r="K201" s="8">
        <f>IFERROR(__xludf.DUMMYFUNCTION("""COMPUTED_VALUE"""),22.0)</f>
        <v>22</v>
      </c>
      <c r="L201" s="15" t="str">
        <f>IFERROR(__xludf.DUMMYFUNCTION("""COMPUTED_VALUE"""),"NO")</f>
        <v>NO</v>
      </c>
      <c r="M201" s="15" t="str">
        <f>IFERROR(__xludf.DUMMYFUNCTION("""COMPUTED_VALUE"""),"Private Contractor")</f>
        <v>Private Contractor</v>
      </c>
      <c r="N201" s="15" t="str">
        <f>IFERROR(__xludf.DUMMYFUNCTION("""COMPUTED_VALUE"""),"AM")</f>
        <v>AM</v>
      </c>
      <c r="O201" s="15" t="str">
        <f>IFERROR(__xludf.DUMMYFUNCTION("""COMPUTED_VALUE"""),"YES")</f>
        <v>YES</v>
      </c>
      <c r="P201" s="15" t="str">
        <f>IFERROR(__xludf.DUMMYFUNCTION("""COMPUTED_VALUE"""),"NO")</f>
        <v>NO</v>
      </c>
      <c r="Q201" s="15" t="str">
        <f>IFERROR(__xludf.DUMMYFUNCTION("""COMPUTED_VALUE"""),"NO")</f>
        <v>NO</v>
      </c>
      <c r="R201" s="15"/>
      <c r="S201" s="15"/>
      <c r="T201" s="15"/>
      <c r="U201" s="15" t="str">
        <f>IFERROR(__xludf.DUMMYFUNCTION("""COMPUTED_VALUE"""),"42 St &amp; 7th Ave (SW corner) to mezzanine for 1/2/3 service and access to rest of complex")</f>
        <v>42 St &amp; 7th Ave (SW corner) to mezzanine for 1/2/3 service and access to rest of complex</v>
      </c>
      <c r="V201" s="15" t="str">
        <f>IFERROR(__xludf.DUMMYFUNCTION("""COMPUTED_VALUE"""),"POINT (-73.9875 40.756054)")</f>
        <v>POINT (-73.9875 40.756054)</v>
      </c>
    </row>
    <row r="202" ht="22.5" customHeight="1">
      <c r="A202" s="7" t="str">
        <f>IFERROR(__xludf.DUMMYFUNCTION("""COMPUTED_VALUE"""),"96 St")</f>
        <v>96 St</v>
      </c>
      <c r="B202" s="8" t="str">
        <f>IFERROR(__xludf.DUMMYFUNCTION("""COMPUTED_VALUE"""),"Broadway-7 Av Line")</f>
        <v>Broadway-7 Av Line</v>
      </c>
      <c r="C202" s="8" t="str">
        <f>IFERROR(__xludf.DUMMYFUNCTION("""COMPUTED_VALUE"""),"Manhattan")</f>
        <v>Manhattan</v>
      </c>
      <c r="D202" s="8" t="str">
        <f>IFERROR(__xludf.DUMMYFUNCTION("""COMPUTED_VALUE"""),"Upper West Side")</f>
        <v>Upper West Side</v>
      </c>
      <c r="E202" s="33">
        <f>IFERROR(__xludf.DUMMYFUNCTION("""COMPUTED_VALUE"""),1762.0)</f>
        <v>1762</v>
      </c>
      <c r="F202" s="8">
        <f>IFERROR(__xludf.DUMMYFUNCTION("""COMPUTED_VALUE"""),8250940.0)</f>
        <v>8250940</v>
      </c>
      <c r="G202" s="17">
        <f>IFERROR(__xludf.DUMMYFUNCTION("""COMPUTED_VALUE"""),26.0)</f>
        <v>26</v>
      </c>
      <c r="H202" s="10" t="str">
        <f>IFERROR(__xludf.DUMMYFUNCTION("""COMPUTED_VALUE"""),"↗️")</f>
        <v>↗️</v>
      </c>
      <c r="I202" s="13">
        <f>IFERROR(__xludf.DUMMYFUNCTION("""COMPUTED_VALUE"""),42736.0)</f>
        <v>42736</v>
      </c>
      <c r="J202" s="32">
        <f>IFERROR(__xludf.DUMMYFUNCTION("""COMPUTED_VALUE"""),42736.0)</f>
        <v>42736</v>
      </c>
      <c r="K202" s="8">
        <f>IFERROR(__xludf.DUMMYFUNCTION("""COMPUTED_VALUE"""),22.0)</f>
        <v>22</v>
      </c>
      <c r="L202" s="15" t="str">
        <f>IFERROR(__xludf.DUMMYFUNCTION("""COMPUTED_VALUE"""),"YES")</f>
        <v>YES</v>
      </c>
      <c r="M202" s="15" t="str">
        <f>IFERROR(__xludf.DUMMYFUNCTION("""COMPUTED_VALUE"""),"NYCT")</f>
        <v>NYCT</v>
      </c>
      <c r="N202" s="15" t="str">
        <f>IFERROR(__xludf.DUMMYFUNCTION("""COMPUTED_VALUE"""),"KONE")</f>
        <v>KONE</v>
      </c>
      <c r="O202" s="15" t="str">
        <f>IFERROR(__xludf.DUMMYFUNCTION("""COMPUTED_VALUE"""),"YES")</f>
        <v>YES</v>
      </c>
      <c r="P202" s="15" t="str">
        <f>IFERROR(__xludf.DUMMYFUNCTION("""COMPUTED_VALUE"""),"YES")</f>
        <v>YES</v>
      </c>
      <c r="Q202" s="15" t="str">
        <f>IFERROR(__xludf.DUMMYFUNCTION("""COMPUTED_VALUE"""),"YES")</f>
        <v>YES</v>
      </c>
      <c r="R202" s="15" t="str">
        <f>IFERROR(__xludf.DUMMYFUNCTION("""COMPUTED_VALUE"""),"8220mm (26' 11 5/8in)")</f>
        <v>8220mm (26' 11 5/8in)</v>
      </c>
      <c r="S202" s="15">
        <f>IFERROR(__xludf.DUMMYFUNCTION("""COMPUTED_VALUE"""),108.0)</f>
        <v>108</v>
      </c>
      <c r="T202" s="15" t="str">
        <f>IFERROR(__xludf.DUMMYFUNCTION("""COMPUTED_VALUE"""),"1000 mm (39 3/8in)")</f>
        <v>1000 mm (39 3/8in)</v>
      </c>
      <c r="U202" s="15" t="str">
        <f>IFERROR(__xludf.DUMMYFUNCTION("""COMPUTED_VALUE"""),"mezzanine to 96 St &amp; 2nd Ave (SW corner)")</f>
        <v>mezzanine to 96 St &amp; 2nd Ave (SW corner)</v>
      </c>
      <c r="V202" s="15" t="str">
        <f>IFERROR(__xludf.DUMMYFUNCTION("""COMPUTED_VALUE"""),"POINT (-73.94745 40.78408)")</f>
        <v>POINT (-73.94745 40.78408)</v>
      </c>
    </row>
    <row r="203" ht="22.5" customHeight="1">
      <c r="A203" s="7" t="str">
        <f>IFERROR(__xludf.DUMMYFUNCTION("""COMPUTED_VALUE"""),"Grand Central-42 St")</f>
        <v>Grand Central-42 St</v>
      </c>
      <c r="B203" s="8" t="str">
        <f>IFERROR(__xludf.DUMMYFUNCTION("""COMPUTED_VALUE"""),"42nd St Line")</f>
        <v>42nd St Line</v>
      </c>
      <c r="C203" s="8" t="str">
        <f>IFERROR(__xludf.DUMMYFUNCTION("""COMPUTED_VALUE"""),"Manhattan")</f>
        <v>Manhattan</v>
      </c>
      <c r="D203" s="8" t="str">
        <f>IFERROR(__xludf.DUMMYFUNCTION("""COMPUTED_VALUE"""),"Midtown")</f>
        <v>Midtown</v>
      </c>
      <c r="E203" s="33">
        <f>IFERROR(__xludf.DUMMYFUNCTION("""COMPUTED_VALUE"""),1762.0)</f>
        <v>1762</v>
      </c>
      <c r="F203" s="10">
        <f>IFERROR(__xludf.DUMMYFUNCTION("""COMPUTED_VALUE"""),3.3496874E7)</f>
        <v>33496874</v>
      </c>
      <c r="G203" s="19">
        <f>IFERROR(__xludf.DUMMYFUNCTION("""COMPUTED_VALUE"""),2.0)</f>
        <v>2</v>
      </c>
      <c r="H203" s="10" t="str">
        <f>IFERROR(__xludf.DUMMYFUNCTION("""COMPUTED_VALUE"""),"↗️")</f>
        <v>↗️</v>
      </c>
      <c r="I203" s="13"/>
      <c r="J203" s="32">
        <f>IFERROR(__xludf.DUMMYFUNCTION("""COMPUTED_VALUE"""),41091.0)</f>
        <v>41091</v>
      </c>
      <c r="K203" s="8">
        <f>IFERROR(__xludf.DUMMYFUNCTION("""COMPUTED_VALUE"""),22.0)</f>
        <v>22</v>
      </c>
      <c r="L203" s="15" t="str">
        <f>IFERROR(__xludf.DUMMYFUNCTION("""COMPUTED_VALUE"""),"NO")</f>
        <v>NO</v>
      </c>
      <c r="M203" s="15" t="str">
        <f>IFERROR(__xludf.DUMMYFUNCTION("""COMPUTED_VALUE"""),"Private Contractor")</f>
        <v>Private Contractor</v>
      </c>
      <c r="N203" s="15" t="str">
        <f>IFERROR(__xludf.DUMMYFUNCTION("""COMPUTED_VALUE"""),"AM")</f>
        <v>AM</v>
      </c>
      <c r="O203" s="15" t="str">
        <f>IFERROR(__xludf.DUMMYFUNCTION("""COMPUTED_VALUE"""),"YES")</f>
        <v>YES</v>
      </c>
      <c r="P203" s="15" t="str">
        <f>IFERROR(__xludf.DUMMYFUNCTION("""COMPUTED_VALUE"""),"NO")</f>
        <v>NO</v>
      </c>
      <c r="Q203" s="15" t="str">
        <f>IFERROR(__xludf.DUMMYFUNCTION("""COMPUTED_VALUE"""),"NO")</f>
        <v>NO</v>
      </c>
      <c r="R203" s="15"/>
      <c r="S203" s="15"/>
      <c r="T203" s="15"/>
      <c r="U203" s="15" t="str">
        <f>IFERROR(__xludf.DUMMYFUNCTION("""COMPUTED_VALUE"""),"Intermediate mezzanine to Bowery Building (SE corner of 42 St &amp; Park Ave)")</f>
        <v>Intermediate mezzanine to Bowery Building (SE corner of 42 St &amp; Park Ave)</v>
      </c>
      <c r="V203" s="15"/>
    </row>
    <row r="204" ht="22.5" customHeight="1">
      <c r="A204" s="7" t="str">
        <f>IFERROR(__xludf.DUMMYFUNCTION("""COMPUTED_VALUE"""),"42St/Port Authority-Bus Terminal")</f>
        <v>42St/Port Authority-Bus Terminal</v>
      </c>
      <c r="B204" s="8" t="str">
        <f>IFERROR(__xludf.DUMMYFUNCTION("""COMPUTED_VALUE"""),"")</f>
        <v/>
      </c>
      <c r="C204" s="8" t="str">
        <f>IFERROR(__xludf.DUMMYFUNCTION("""COMPUTED_VALUE"""),"")</f>
        <v/>
      </c>
      <c r="D204" s="8" t="str">
        <f>IFERROR(__xludf.DUMMYFUNCTION("""COMPUTED_VALUE"""),"")</f>
        <v/>
      </c>
      <c r="E204" s="33" t="str">
        <f>IFERROR(__xludf.DUMMYFUNCTION("""COMPUTED_VALUE"""),"")</f>
        <v/>
      </c>
      <c r="F204" s="10" t="str">
        <f>IFERROR(__xludf.DUMMYFUNCTION("""COMPUTED_VALUE"""),"")</f>
        <v/>
      </c>
      <c r="G204" s="19" t="str">
        <f>IFERROR(__xludf.DUMMYFUNCTION("""COMPUTED_VALUE"""),"")</f>
        <v/>
      </c>
      <c r="H204" s="10" t="str">
        <f>IFERROR(__xludf.DUMMYFUNCTION("""COMPUTED_VALUE"""),"↗️")</f>
        <v>↗️</v>
      </c>
      <c r="I204" s="13"/>
      <c r="J204" s="32">
        <f>IFERROR(__xludf.DUMMYFUNCTION("""COMPUTED_VALUE"""),41064.0)</f>
        <v>41064</v>
      </c>
      <c r="K204" s="8">
        <f>IFERROR(__xludf.DUMMYFUNCTION("""COMPUTED_VALUE"""),22.0)</f>
        <v>22</v>
      </c>
      <c r="L204" s="15" t="str">
        <f>IFERROR(__xludf.DUMMYFUNCTION("""COMPUTED_VALUE"""),"NO")</f>
        <v>NO</v>
      </c>
      <c r="M204" s="15" t="str">
        <f>IFERROR(__xludf.DUMMYFUNCTION("""COMPUTED_VALUE"""),"Private Contractor")</f>
        <v>Private Contractor</v>
      </c>
      <c r="N204" s="15" t="str">
        <f>IFERROR(__xludf.DUMMYFUNCTION("""COMPUTED_VALUE"""),"KONE")</f>
        <v>KONE</v>
      </c>
      <c r="O204" s="15" t="str">
        <f>IFERROR(__xludf.DUMMYFUNCTION("""COMPUTED_VALUE"""),"YES")</f>
        <v>YES</v>
      </c>
      <c r="P204" s="15" t="str">
        <f>IFERROR(__xludf.DUMMYFUNCTION("""COMPUTED_VALUE"""),"NO")</f>
        <v>NO</v>
      </c>
      <c r="Q204" s="15" t="str">
        <f>IFERROR(__xludf.DUMMYFUNCTION("""COMPUTED_VALUE"""),"NO")</f>
        <v>NO</v>
      </c>
      <c r="R204" s="15"/>
      <c r="S204" s="15"/>
      <c r="T204" s="15"/>
      <c r="U204" s="15" t="str">
        <f>IFERROR(__xludf.DUMMYFUNCTION("""COMPUTED_VALUE"""),"A/C/E intermediate mezzanine to 42 St &amp; 8th Ave (SE corner)")</f>
        <v>A/C/E intermediate mezzanine to 42 St &amp; 8th Ave (SE corner)</v>
      </c>
      <c r="V204" s="15" t="str">
        <f>IFERROR(__xludf.DUMMYFUNCTION("""COMPUTED_VALUE"""),"POINT (-73.98953 40.756985)")</f>
        <v>POINT (-73.98953 40.756985)</v>
      </c>
    </row>
    <row r="205" ht="22.5" customHeight="1">
      <c r="A205" s="7" t="str">
        <f>IFERROR(__xludf.DUMMYFUNCTION("""COMPUTED_VALUE"""),"86 St")</f>
        <v>86 St</v>
      </c>
      <c r="B205" s="8" t="str">
        <f>IFERROR(__xludf.DUMMYFUNCTION("""COMPUTED_VALUE"""),"4 Av Line")</f>
        <v>4 Av Line</v>
      </c>
      <c r="C205" s="8" t="str">
        <f>IFERROR(__xludf.DUMMYFUNCTION("""COMPUTED_VALUE"""),"Brooklyn")</f>
        <v>Brooklyn</v>
      </c>
      <c r="D205" s="8" t="str">
        <f>IFERROR(__xludf.DUMMYFUNCTION("""COMPUTED_VALUE"""),"Bay Ridge")</f>
        <v>Bay Ridge</v>
      </c>
      <c r="E205" s="33">
        <f>IFERROR(__xludf.DUMMYFUNCTION("""COMPUTED_VALUE"""),5859.0)</f>
        <v>5859</v>
      </c>
      <c r="F205" s="8">
        <f>IFERROR(__xludf.DUMMYFUNCTION("""COMPUTED_VALUE"""),2580130.0)</f>
        <v>2580130</v>
      </c>
      <c r="G205" s="17">
        <f>IFERROR(__xludf.DUMMYFUNCTION("""COMPUTED_VALUE"""),135.0)</f>
        <v>135</v>
      </c>
      <c r="H205" s="10" t="str">
        <f>IFERROR(__xludf.DUMMYFUNCTION("""COMPUTED_VALUE"""),"↗️")</f>
        <v>↗️</v>
      </c>
      <c r="I205" s="13">
        <f>IFERROR(__xludf.DUMMYFUNCTION("""COMPUTED_VALUE"""),42736.0)</f>
        <v>42736</v>
      </c>
      <c r="J205" s="32">
        <f>IFERROR(__xludf.DUMMYFUNCTION("""COMPUTED_VALUE"""),42736.0)</f>
        <v>42736</v>
      </c>
      <c r="K205" s="8">
        <f>IFERROR(__xludf.DUMMYFUNCTION("""COMPUTED_VALUE"""),22.0)</f>
        <v>22</v>
      </c>
      <c r="L205" s="15" t="str">
        <f>IFERROR(__xludf.DUMMYFUNCTION("""COMPUTED_VALUE"""),"YES")</f>
        <v>YES</v>
      </c>
      <c r="M205" s="15" t="str">
        <f>IFERROR(__xludf.DUMMYFUNCTION("""COMPUTED_VALUE"""),"NYCT")</f>
        <v>NYCT</v>
      </c>
      <c r="N205" s="15" t="str">
        <f>IFERROR(__xludf.DUMMYFUNCTION("""COMPUTED_VALUE"""),"KONE")</f>
        <v>KONE</v>
      </c>
      <c r="O205" s="15" t="str">
        <f>IFERROR(__xludf.DUMMYFUNCTION("""COMPUTED_VALUE"""),"YES")</f>
        <v>YES</v>
      </c>
      <c r="P205" s="15" t="str">
        <f>IFERROR(__xludf.DUMMYFUNCTION("""COMPUTED_VALUE"""),"YES")</f>
        <v>YES</v>
      </c>
      <c r="Q205" s="15" t="str">
        <f>IFERROR(__xludf.DUMMYFUNCTION("""COMPUTED_VALUE"""),"YES")</f>
        <v>YES</v>
      </c>
      <c r="R205" s="15" t="str">
        <f>IFERROR(__xludf.DUMMYFUNCTION("""COMPUTED_VALUE"""),"8768 mm (28 ' 9 3/16in)")</f>
        <v>8768 mm (28 ' 9 3/16in)</v>
      </c>
      <c r="S205" s="15">
        <f>IFERROR(__xludf.DUMMYFUNCTION("""COMPUTED_VALUE"""),113.0)</f>
        <v>113</v>
      </c>
      <c r="T205" s="15"/>
      <c r="U205" s="15" t="str">
        <f>IFERROR(__xludf.DUMMYFUNCTION("""COMPUTED_VALUE"""),"86 St &amp; 2nd Ave (NE corner) to upper mezzanine")</f>
        <v>86 St &amp; 2nd Ave (NE corner) to upper mezzanine</v>
      </c>
      <c r="V205" s="15" t="str">
        <f>IFERROR(__xludf.DUMMYFUNCTION("""COMPUTED_VALUE"""),"POINT (-73.95084 40.77761)")</f>
        <v>POINT (-73.95084 40.77761)</v>
      </c>
    </row>
    <row r="206" ht="22.5" customHeight="1">
      <c r="A206" s="7" t="str">
        <f>IFERROR(__xludf.DUMMYFUNCTION("""COMPUTED_VALUE"""),"59 St-Columbus Circle")</f>
        <v>59 St-Columbus Circle</v>
      </c>
      <c r="B206" s="8" t="str">
        <f>IFERROR(__xludf.DUMMYFUNCTION("""COMPUTED_VALUE"""),"Broadway-7 Av Line")</f>
        <v>Broadway-7 Av Line</v>
      </c>
      <c r="C206" s="8" t="str">
        <f>IFERROR(__xludf.DUMMYFUNCTION("""COMPUTED_VALUE"""),"Manhattan")</f>
        <v>Manhattan</v>
      </c>
      <c r="D206" s="8" t="str">
        <f>IFERROR(__xludf.DUMMYFUNCTION("""COMPUTED_VALUE"""),"Midtown")</f>
        <v>Midtown</v>
      </c>
      <c r="E206" s="33">
        <f>IFERROR(__xludf.DUMMYFUNCTION("""COMPUTED_VALUE"""),1762.0)</f>
        <v>1762</v>
      </c>
      <c r="F206" s="8">
        <f>IFERROR(__xludf.DUMMYFUNCTION("""COMPUTED_VALUE"""),1.6884912E7)</f>
        <v>16884912</v>
      </c>
      <c r="G206" s="19">
        <f>IFERROR(__xludf.DUMMYFUNCTION("""COMPUTED_VALUE"""),7.0)</f>
        <v>7</v>
      </c>
      <c r="H206" s="10" t="str">
        <f>IFERROR(__xludf.DUMMYFUNCTION("""COMPUTED_VALUE"""),"↗️")</f>
        <v>↗️</v>
      </c>
      <c r="I206" s="13"/>
      <c r="J206" s="32">
        <f>IFERROR(__xludf.DUMMYFUNCTION("""COMPUTED_VALUE"""),40674.0)</f>
        <v>40674</v>
      </c>
      <c r="K206" s="8">
        <f>IFERROR(__xludf.DUMMYFUNCTION("""COMPUTED_VALUE"""),22.0)</f>
        <v>22</v>
      </c>
      <c r="L206" s="15" t="str">
        <f>IFERROR(__xludf.DUMMYFUNCTION("""COMPUTED_VALUE"""),"NO")</f>
        <v>NO</v>
      </c>
      <c r="M206" s="15" t="str">
        <f>IFERROR(__xludf.DUMMYFUNCTION("""COMPUTED_VALUE"""),"Private Contractor")</f>
        <v>Private Contractor</v>
      </c>
      <c r="N206" s="15" t="str">
        <f>IFERROR(__xludf.DUMMYFUNCTION("""COMPUTED_VALUE"""),"AM")</f>
        <v>AM</v>
      </c>
      <c r="O206" s="15" t="str">
        <f>IFERROR(__xludf.DUMMYFUNCTION("""COMPUTED_VALUE"""),"YES")</f>
        <v>YES</v>
      </c>
      <c r="P206" s="15" t="str">
        <f>IFERROR(__xludf.DUMMYFUNCTION("""COMPUTED_VALUE"""),"NO")</f>
        <v>NO</v>
      </c>
      <c r="Q206" s="15" t="str">
        <f>IFERROR(__xludf.DUMMYFUNCTION("""COMPUTED_VALUE"""),"NO")</f>
        <v>NO</v>
      </c>
      <c r="R206" s="15"/>
      <c r="S206" s="15">
        <f>IFERROR(__xludf.DUMMYFUNCTION("""COMPUTED_VALUE"""),0.0)</f>
        <v>0</v>
      </c>
      <c r="T206" s="15"/>
      <c r="U206" s="15" t="str">
        <f>IFERROR(__xludf.DUMMYFUNCTION("""COMPUTED_VALUE"""),"8th Ave &amp; 58 St (NW corner) to mezzanine for A/B/C/D &amp; downtown 1 service and access to uptown 1")</f>
        <v>8th Ave &amp; 58 St (NW corner) to mezzanine for A/B/C/D &amp; downtown 1 service and access to uptown 1</v>
      </c>
      <c r="V206" s="15" t="str">
        <f>IFERROR(__xludf.DUMMYFUNCTION("""COMPUTED_VALUE"""),"POINT (-73.982506 40.767662)")</f>
        <v>POINT (-73.982506 40.767662)</v>
      </c>
    </row>
    <row r="207" ht="22.5" customHeight="1">
      <c r="A207" s="7" t="str">
        <f>IFERROR(__xludf.DUMMYFUNCTION("""COMPUTED_VALUE"""),"86 St")</f>
        <v>86 St</v>
      </c>
      <c r="B207" s="8" t="str">
        <f>IFERROR(__xludf.DUMMYFUNCTION("""COMPUTED_VALUE"""),"4 Av Line")</f>
        <v>4 Av Line</v>
      </c>
      <c r="C207" s="8" t="str">
        <f>IFERROR(__xludf.DUMMYFUNCTION("""COMPUTED_VALUE"""),"Brooklyn")</f>
        <v>Brooklyn</v>
      </c>
      <c r="D207" s="8" t="str">
        <f>IFERROR(__xludf.DUMMYFUNCTION("""COMPUTED_VALUE"""),"Bay Ridge")</f>
        <v>Bay Ridge</v>
      </c>
      <c r="E207" s="33">
        <f>IFERROR(__xludf.DUMMYFUNCTION("""COMPUTED_VALUE"""),5859.0)</f>
        <v>5859</v>
      </c>
      <c r="F207" s="8">
        <f>IFERROR(__xludf.DUMMYFUNCTION("""COMPUTED_VALUE"""),2580130.0)</f>
        <v>2580130</v>
      </c>
      <c r="G207" s="19">
        <f>IFERROR(__xludf.DUMMYFUNCTION("""COMPUTED_VALUE"""),135.0)</f>
        <v>135</v>
      </c>
      <c r="H207" s="10" t="str">
        <f>IFERROR(__xludf.DUMMYFUNCTION("""COMPUTED_VALUE"""),"↗️")</f>
        <v>↗️</v>
      </c>
      <c r="I207" s="13">
        <f>IFERROR(__xludf.DUMMYFUNCTION("""COMPUTED_VALUE"""),42736.0)</f>
        <v>42736</v>
      </c>
      <c r="J207" s="32">
        <f>IFERROR(__xludf.DUMMYFUNCTION("""COMPUTED_VALUE"""),42736.0)</f>
        <v>42736</v>
      </c>
      <c r="K207" s="8">
        <f>IFERROR(__xludf.DUMMYFUNCTION("""COMPUTED_VALUE"""),22.0)</f>
        <v>22</v>
      </c>
      <c r="L207" s="15" t="str">
        <f>IFERROR(__xludf.DUMMYFUNCTION("""COMPUTED_VALUE"""),"YES")</f>
        <v>YES</v>
      </c>
      <c r="M207" s="15" t="str">
        <f>IFERROR(__xludf.DUMMYFUNCTION("""COMPUTED_VALUE"""),"NYCT")</f>
        <v>NYCT</v>
      </c>
      <c r="N207" s="15" t="str">
        <f>IFERROR(__xludf.DUMMYFUNCTION("""COMPUTED_VALUE"""),"KONE")</f>
        <v>KONE</v>
      </c>
      <c r="O207" s="15" t="str">
        <f>IFERROR(__xludf.DUMMYFUNCTION("""COMPUTED_VALUE"""),"YES")</f>
        <v>YES</v>
      </c>
      <c r="P207" s="15" t="str">
        <f>IFERROR(__xludf.DUMMYFUNCTION("""COMPUTED_VALUE"""),"NO")</f>
        <v>NO</v>
      </c>
      <c r="Q207" s="15" t="str">
        <f>IFERROR(__xludf.DUMMYFUNCTION("""COMPUTED_VALUE"""),"NO")</f>
        <v>NO</v>
      </c>
      <c r="R207" s="15" t="str">
        <f>IFERROR(__xludf.DUMMYFUNCTION("""COMPUTED_VALUE"""),"4953 mm (16' 3in)")</f>
        <v>4953 mm (16' 3in)</v>
      </c>
      <c r="S207" s="15">
        <f>IFERROR(__xludf.DUMMYFUNCTION("""COMPUTED_VALUE"""),75.0)</f>
        <v>75</v>
      </c>
      <c r="T207" s="15" t="str">
        <f>IFERROR(__xludf.DUMMYFUNCTION("""COMPUTED_VALUE"""),"40in (NOMINAL), 996 mm")</f>
        <v>40in (NOMINAL), 996 mm</v>
      </c>
      <c r="U207" s="15" t="str">
        <f>IFERROR(__xludf.DUMMYFUNCTION("""COMPUTED_VALUE"""),"lower mezzanine to platform for service in both directions")</f>
        <v>lower mezzanine to platform for service in both directions</v>
      </c>
      <c r="V207" s="15" t="str">
        <f>IFERROR(__xludf.DUMMYFUNCTION("""COMPUTED_VALUE"""),"POINT (-73.952126 40.77729)")</f>
        <v>POINT (-73.952126 40.77729)</v>
      </c>
    </row>
    <row r="208" ht="22.5" customHeight="1">
      <c r="A208" s="7" t="str">
        <f>IFERROR(__xludf.DUMMYFUNCTION("""COMPUTED_VALUE"""),"Sutphin Blvd-Archer Av-JFK Airport")</f>
        <v>Sutphin Blvd-Archer Av-JFK Airport</v>
      </c>
      <c r="B208" s="8" t="str">
        <f>IFERROR(__xludf.DUMMYFUNCTION("""COMPUTED_VALUE"""),"Archer Av Line")</f>
        <v>Archer Av Line</v>
      </c>
      <c r="C208" s="8" t="str">
        <f>IFERROR(__xludf.DUMMYFUNCTION("""COMPUTED_VALUE"""),"Queens")</f>
        <v>Queens</v>
      </c>
      <c r="D208" s="8" t="str">
        <f>IFERROR(__xludf.DUMMYFUNCTION("""COMPUTED_VALUE"""),"Jamaica")</f>
        <v>Jamaica</v>
      </c>
      <c r="E208" s="33">
        <f>IFERROR(__xludf.DUMMYFUNCTION("""COMPUTED_VALUE"""),32488.0)</f>
        <v>32488</v>
      </c>
      <c r="F208" s="8">
        <f>IFERROR(__xludf.DUMMYFUNCTION("""COMPUTED_VALUE"""),6496357.0)</f>
        <v>6496357</v>
      </c>
      <c r="G208" s="19">
        <f>IFERROR(__xludf.DUMMYFUNCTION("""COMPUTED_VALUE"""),32.0)</f>
        <v>32</v>
      </c>
      <c r="H208" s="10" t="str">
        <f>IFERROR(__xludf.DUMMYFUNCTION("""COMPUTED_VALUE"""),"↗️")</f>
        <v>↗️</v>
      </c>
      <c r="I208" s="13">
        <f>IFERROR(__xludf.DUMMYFUNCTION("""COMPUTED_VALUE"""),32478.0)</f>
        <v>32478</v>
      </c>
      <c r="J208" s="32">
        <f>IFERROR(__xludf.DUMMYFUNCTION("""COMPUTED_VALUE"""),45859.0)</f>
        <v>45859</v>
      </c>
      <c r="K208" s="8">
        <f>IFERROR(__xludf.DUMMYFUNCTION("""COMPUTED_VALUE"""),22.0)</f>
        <v>22</v>
      </c>
      <c r="L208" s="15" t="str">
        <f>IFERROR(__xludf.DUMMYFUNCTION("""COMPUTED_VALUE"""),"YES")</f>
        <v>YES</v>
      </c>
      <c r="M208" s="15" t="str">
        <f>IFERROR(__xludf.DUMMYFUNCTION("""COMPUTED_VALUE"""),"NYCT")</f>
        <v>NYCT</v>
      </c>
      <c r="N208" s="15" t="str">
        <f>IFERROR(__xludf.DUMMYFUNCTION("""COMPUTED_VALUE"""),"KONE")</f>
        <v>KONE</v>
      </c>
      <c r="O208" s="15" t="str">
        <f>IFERROR(__xludf.DUMMYFUNCTION("""COMPUTED_VALUE"""),"YES")</f>
        <v>YES</v>
      </c>
      <c r="P208" s="15" t="str">
        <f>IFERROR(__xludf.DUMMYFUNCTION("""COMPUTED_VALUE"""),"NO")</f>
        <v>NO</v>
      </c>
      <c r="Q208" s="15" t="str">
        <f>IFERROR(__xludf.DUMMYFUNCTION("""COMPUTED_VALUE"""),"NO")</f>
        <v>NO</v>
      </c>
      <c r="R208" s="15" t="str">
        <f>IFERROR(__xludf.DUMMYFUNCTION("""COMPUTED_VALUE"""),"17'- 3 5/8in")</f>
        <v>17'- 3 5/8in</v>
      </c>
      <c r="S208" s="15">
        <f>IFERROR(__xludf.DUMMYFUNCTION("""COMPUTED_VALUE"""),71.0)</f>
        <v>71</v>
      </c>
      <c r="T208" s="15" t="str">
        <f>IFERROR(__xludf.DUMMYFUNCTION("""COMPUTED_VALUE"""),"40in")</f>
        <v>40in</v>
      </c>
      <c r="U208" s="15" t="str">
        <f>IFERROR(__xludf.DUMMYFUNCTION("""COMPUTED_VALUE"""),"J/Z platform to E platform for service in both directions and access to mezzanine")</f>
        <v>J/Z platform to E platform for service in both directions and access to mezzanine</v>
      </c>
      <c r="V208" s="15" t="str">
        <f>IFERROR(__xludf.DUMMYFUNCTION("""COMPUTED_VALUE"""),"POINT (-73.80808 40.70043)")</f>
        <v>POINT (-73.80808 40.70043)</v>
      </c>
    </row>
    <row r="209" ht="22.5" customHeight="1">
      <c r="A209" s="7" t="str">
        <f>IFERROR(__xludf.DUMMYFUNCTION("""COMPUTED_VALUE"""),"South Ferry")</f>
        <v>South Ferry</v>
      </c>
      <c r="B209" s="8" t="str">
        <f>IFERROR(__xludf.DUMMYFUNCTION("""COMPUTED_VALUE"""),"")</f>
        <v/>
      </c>
      <c r="C209" s="8" t="str">
        <f>IFERROR(__xludf.DUMMYFUNCTION("""COMPUTED_VALUE"""),"")</f>
        <v/>
      </c>
      <c r="D209" s="8" t="str">
        <f>IFERROR(__xludf.DUMMYFUNCTION("""COMPUTED_VALUE"""),"")</f>
        <v/>
      </c>
      <c r="E209" s="33" t="str">
        <f>IFERROR(__xludf.DUMMYFUNCTION("""COMPUTED_VALUE"""),"")</f>
        <v/>
      </c>
      <c r="F209" s="8" t="str">
        <f>IFERROR(__xludf.DUMMYFUNCTION("""COMPUTED_VALUE"""),"")</f>
        <v/>
      </c>
      <c r="G209" s="19" t="str">
        <f>IFERROR(__xludf.DUMMYFUNCTION("""COMPUTED_VALUE"""),"")</f>
        <v/>
      </c>
      <c r="H209" s="10" t="str">
        <f>IFERROR(__xludf.DUMMYFUNCTION("""COMPUTED_VALUE"""),"↗️")</f>
        <v>↗️</v>
      </c>
      <c r="I209" s="13">
        <f>IFERROR(__xludf.DUMMYFUNCTION("""COMPUTED_VALUE"""),39888.0)</f>
        <v>39888</v>
      </c>
      <c r="J209" s="32">
        <f>IFERROR(__xludf.DUMMYFUNCTION("""COMPUTED_VALUE"""),42913.0)</f>
        <v>42913</v>
      </c>
      <c r="K209" s="8">
        <f>IFERROR(__xludf.DUMMYFUNCTION("""COMPUTED_VALUE"""),22.0)</f>
        <v>22</v>
      </c>
      <c r="L209" s="15" t="str">
        <f>IFERROR(__xludf.DUMMYFUNCTION("""COMPUTED_VALUE"""),"YES")</f>
        <v>YES</v>
      </c>
      <c r="M209" s="15" t="str">
        <f>IFERROR(__xludf.DUMMYFUNCTION("""COMPUTED_VALUE"""),"NYCT")</f>
        <v>NYCT</v>
      </c>
      <c r="N209" s="15" t="str">
        <f>IFERROR(__xludf.DUMMYFUNCTION("""COMPUTED_VALUE"""),"KONE")</f>
        <v>KONE</v>
      </c>
      <c r="O209" s="15" t="str">
        <f>IFERROR(__xludf.DUMMYFUNCTION("""COMPUTED_VALUE"""),"YES")</f>
        <v>YES</v>
      </c>
      <c r="P209" s="15" t="str">
        <f>IFERROR(__xludf.DUMMYFUNCTION("""COMPUTED_VALUE"""),"YES")</f>
        <v>YES</v>
      </c>
      <c r="Q209" s="15" t="str">
        <f>IFERROR(__xludf.DUMMYFUNCTION("""COMPUTED_VALUE"""),"YES")</f>
        <v>YES</v>
      </c>
      <c r="R209" s="15" t="str">
        <f>IFERROR(__xludf.DUMMYFUNCTION("""COMPUTED_VALUE"""),"7408 mm (24' 6in)")</f>
        <v>7408 mm (24' 6in)</v>
      </c>
      <c r="S209" s="15">
        <f>IFERROR(__xludf.DUMMYFUNCTION("""COMPUTED_VALUE"""),118.0)</f>
        <v>118</v>
      </c>
      <c r="T209" s="15" t="str">
        <f>IFERROR(__xludf.DUMMYFUNCTION("""COMPUTED_VALUE"""),"40in (NOMINAL), 996 mm")</f>
        <v>40in (NOMINAL), 996 mm</v>
      </c>
      <c r="U209" s="15" t="str">
        <f>IFERROR(__xludf.DUMMYFUNCTION("""COMPUTED_VALUE"""),"1 mezzanine to State St &amp; Pearl St (SW corner)")</f>
        <v>1 mezzanine to State St &amp; Pearl St (SW corner)</v>
      </c>
      <c r="V209" s="15" t="str">
        <f>IFERROR(__xludf.DUMMYFUNCTION("""COMPUTED_VALUE"""),"POINT (-74.01446 40.702705)")</f>
        <v>POINT (-74.01446 40.702705)</v>
      </c>
    </row>
    <row r="210" ht="22.5" customHeight="1">
      <c r="A210" s="7" t="str">
        <f>IFERROR(__xludf.DUMMYFUNCTION("""COMPUTED_VALUE"""),"Gun Hill Rd")</f>
        <v>Gun Hill Rd</v>
      </c>
      <c r="B210" s="8" t="str">
        <f>IFERROR(__xludf.DUMMYFUNCTION("""COMPUTED_VALUE"""),"Dyre Av Line")</f>
        <v>Dyre Av Line</v>
      </c>
      <c r="C210" s="8" t="str">
        <f>IFERROR(__xludf.DUMMYFUNCTION("""COMPUTED_VALUE"""),"The Bronx")</f>
        <v>The Bronx</v>
      </c>
      <c r="D210" s="8" t="str">
        <f>IFERROR(__xludf.DUMMYFUNCTION("""COMPUTED_VALUE"""),"Baychester")</f>
        <v>Baychester</v>
      </c>
      <c r="E210" s="33">
        <f>IFERROR(__xludf.DUMMYFUNCTION("""COMPUTED_VALUE"""),15111.0)</f>
        <v>15111</v>
      </c>
      <c r="F210" s="8">
        <f>IFERROR(__xludf.DUMMYFUNCTION("""COMPUTED_VALUE"""),829717.0)</f>
        <v>829717</v>
      </c>
      <c r="G210" s="19">
        <f>IFERROR(__xludf.DUMMYFUNCTION("""COMPUTED_VALUE"""),325.0)</f>
        <v>325</v>
      </c>
      <c r="H210" s="10" t="str">
        <f>IFERROR(__xludf.DUMMYFUNCTION("""COMPUTED_VALUE"""),"↗️")</f>
        <v>↗️</v>
      </c>
      <c r="I210" s="13">
        <f>IFERROR(__xludf.DUMMYFUNCTION("""COMPUTED_VALUE"""),14446.0)</f>
        <v>14446</v>
      </c>
      <c r="J210" s="32">
        <f>IFERROR(__xludf.DUMMYFUNCTION("""COMPUTED_VALUE"""),38653.0)</f>
        <v>38653</v>
      </c>
      <c r="K210" s="8">
        <f>IFERROR(__xludf.DUMMYFUNCTION("""COMPUTED_VALUE"""),22.0)</f>
        <v>22</v>
      </c>
      <c r="L210" s="15" t="str">
        <f>IFERROR(__xludf.DUMMYFUNCTION("""COMPUTED_VALUE"""),"YES")</f>
        <v>YES</v>
      </c>
      <c r="M210" s="15" t="str">
        <f>IFERROR(__xludf.DUMMYFUNCTION("""COMPUTED_VALUE"""),"NYCT")</f>
        <v>NYCT</v>
      </c>
      <c r="N210" s="15" t="str">
        <f>IFERROR(__xludf.DUMMYFUNCTION("""COMPUTED_VALUE"""),"FUJITEC")</f>
        <v>FUJITEC</v>
      </c>
      <c r="O210" s="15" t="str">
        <f>IFERROR(__xludf.DUMMYFUNCTION("""COMPUTED_VALUE"""),"YES")</f>
        <v>YES</v>
      </c>
      <c r="P210" s="15" t="str">
        <f>IFERROR(__xludf.DUMMYFUNCTION("""COMPUTED_VALUE"""),"YES")</f>
        <v>YES</v>
      </c>
      <c r="Q210" s="15" t="str">
        <f>IFERROR(__xludf.DUMMYFUNCTION("""COMPUTED_VALUE"""),"NO")</f>
        <v>NO</v>
      </c>
      <c r="R210" s="15" t="str">
        <f>IFERROR(__xludf.DUMMYFUNCTION("""COMPUTED_VALUE"""),"20'")</f>
        <v>20'</v>
      </c>
      <c r="S210" s="15">
        <f>IFERROR(__xludf.DUMMYFUNCTION("""COMPUTED_VALUE"""),78.0)</f>
        <v>78</v>
      </c>
      <c r="T210" s="15">
        <f>IFERROR(__xludf.DUMMYFUNCTION("""COMPUTED_VALUE"""),40.0)</f>
        <v>40</v>
      </c>
      <c r="U210" s="15" t="str">
        <f>IFERROR(__xludf.DUMMYFUNCTION("""COMPUTED_VALUE"""),"mezzanine to Gun Hill Rd &amp; White Plains Rd exit")</f>
        <v>mezzanine to Gun Hill Rd &amp; White Plains Rd exit</v>
      </c>
      <c r="V210" s="15" t="str">
        <f>IFERROR(__xludf.DUMMYFUNCTION("""COMPUTED_VALUE"""),"POINT (-73.86631 40.877785)")</f>
        <v>POINT (-73.86631 40.877785)</v>
      </c>
    </row>
    <row r="211" ht="22.5" customHeight="1">
      <c r="A211" s="7" t="str">
        <f>IFERROR(__xludf.DUMMYFUNCTION("""COMPUTED_VALUE"""),"Sutphin Blvd-Archer Av-JFK Airport")</f>
        <v>Sutphin Blvd-Archer Av-JFK Airport</v>
      </c>
      <c r="B211" s="8" t="str">
        <f>IFERROR(__xludf.DUMMYFUNCTION("""COMPUTED_VALUE"""),"Archer Av Line")</f>
        <v>Archer Av Line</v>
      </c>
      <c r="C211" s="8" t="str">
        <f>IFERROR(__xludf.DUMMYFUNCTION("""COMPUTED_VALUE"""),"Queens")</f>
        <v>Queens</v>
      </c>
      <c r="D211" s="8" t="str">
        <f>IFERROR(__xludf.DUMMYFUNCTION("""COMPUTED_VALUE"""),"Jamaica")</f>
        <v>Jamaica</v>
      </c>
      <c r="E211" s="33">
        <f>IFERROR(__xludf.DUMMYFUNCTION("""COMPUTED_VALUE"""),32488.0)</f>
        <v>32488</v>
      </c>
      <c r="F211" s="10">
        <f>IFERROR(__xludf.DUMMYFUNCTION("""COMPUTED_VALUE"""),6496357.0)</f>
        <v>6496357</v>
      </c>
      <c r="G211" s="19">
        <f>IFERROR(__xludf.DUMMYFUNCTION("""COMPUTED_VALUE"""),32.0)</f>
        <v>32</v>
      </c>
      <c r="H211" s="10" t="str">
        <f>IFERROR(__xludf.DUMMYFUNCTION("""COMPUTED_VALUE"""),"↗️")</f>
        <v>↗️</v>
      </c>
      <c r="I211" s="13">
        <f>IFERROR(__xludf.DUMMYFUNCTION("""COMPUTED_VALUE"""),32478.0)</f>
        <v>32478</v>
      </c>
      <c r="J211" s="32">
        <f>IFERROR(__xludf.DUMMYFUNCTION("""COMPUTED_VALUE"""),45859.0)</f>
        <v>45859</v>
      </c>
      <c r="K211" s="8">
        <f>IFERROR(__xludf.DUMMYFUNCTION("""COMPUTED_VALUE"""),22.0)</f>
        <v>22</v>
      </c>
      <c r="L211" s="15" t="str">
        <f>IFERROR(__xludf.DUMMYFUNCTION("""COMPUTED_VALUE"""),"YES")</f>
        <v>YES</v>
      </c>
      <c r="M211" s="15" t="str">
        <f>IFERROR(__xludf.DUMMYFUNCTION("""COMPUTED_VALUE"""),"NYCT")</f>
        <v>NYCT</v>
      </c>
      <c r="N211" s="15" t="str">
        <f>IFERROR(__xludf.DUMMYFUNCTION("""COMPUTED_VALUE"""),"KONE")</f>
        <v>KONE</v>
      </c>
      <c r="O211" s="15" t="str">
        <f>IFERROR(__xludf.DUMMYFUNCTION("""COMPUTED_VALUE"""),"YES")</f>
        <v>YES</v>
      </c>
      <c r="P211" s="15" t="str">
        <f>IFERROR(__xludf.DUMMYFUNCTION("""COMPUTED_VALUE"""),"NO")</f>
        <v>NO</v>
      </c>
      <c r="Q211" s="15" t="str">
        <f>IFERROR(__xludf.DUMMYFUNCTION("""COMPUTED_VALUE"""),"NO")</f>
        <v>NO</v>
      </c>
      <c r="R211" s="15" t="str">
        <f>IFERROR(__xludf.DUMMYFUNCTION("""COMPUTED_VALUE"""),"17' - 3 5/8in")</f>
        <v>17' - 3 5/8in</v>
      </c>
      <c r="S211" s="15">
        <f>IFERROR(__xludf.DUMMYFUNCTION("""COMPUTED_VALUE"""),71.0)</f>
        <v>71</v>
      </c>
      <c r="T211" s="15" t="str">
        <f>IFERROR(__xludf.DUMMYFUNCTION("""COMPUTED_VALUE"""),"40in")</f>
        <v>40in</v>
      </c>
      <c r="U211" s="15" t="str">
        <f>IFERROR(__xludf.DUMMYFUNCTION("""COMPUTED_VALUE"""),"E platform to J/Z platform for service in both directions")</f>
        <v>E platform to J/Z platform for service in both directions</v>
      </c>
      <c r="V211" s="15" t="str">
        <f>IFERROR(__xludf.DUMMYFUNCTION("""COMPUTED_VALUE"""),"POINT (-73.80809 40.700455)")</f>
        <v>POINT (-73.80809 40.700455)</v>
      </c>
    </row>
    <row r="212" ht="22.5" customHeight="1">
      <c r="A212" s="7" t="str">
        <f>IFERROR(__xludf.DUMMYFUNCTION("""COMPUTED_VALUE"""),"Grand Central-42 St")</f>
        <v>Grand Central-42 St</v>
      </c>
      <c r="B212" s="8" t="str">
        <f>IFERROR(__xludf.DUMMYFUNCTION("""COMPUTED_VALUE"""),"42nd St Line")</f>
        <v>42nd St Line</v>
      </c>
      <c r="C212" s="8" t="str">
        <f>IFERROR(__xludf.DUMMYFUNCTION("""COMPUTED_VALUE"""),"Manhattan")</f>
        <v>Manhattan</v>
      </c>
      <c r="D212" s="8" t="str">
        <f>IFERROR(__xludf.DUMMYFUNCTION("""COMPUTED_VALUE"""),"Midtown")</f>
        <v>Midtown</v>
      </c>
      <c r="E212" s="33">
        <f>IFERROR(__xludf.DUMMYFUNCTION("""COMPUTED_VALUE"""),1762.0)</f>
        <v>1762</v>
      </c>
      <c r="F212" s="8">
        <f>IFERROR(__xludf.DUMMYFUNCTION("""COMPUTED_VALUE"""),3.3496874E7)</f>
        <v>33496874</v>
      </c>
      <c r="G212" s="19">
        <f>IFERROR(__xludf.DUMMYFUNCTION("""COMPUTED_VALUE"""),2.0)</f>
        <v>2</v>
      </c>
      <c r="H212" s="10" t="str">
        <f>IFERROR(__xludf.DUMMYFUNCTION("""COMPUTED_VALUE"""),"↗️")</f>
        <v>↗️</v>
      </c>
      <c r="I212" s="13">
        <f>IFERROR(__xludf.DUMMYFUNCTION("""COMPUTED_VALUE"""),44174.0)</f>
        <v>44174</v>
      </c>
      <c r="J212" s="32">
        <f>IFERROR(__xludf.DUMMYFUNCTION("""COMPUTED_VALUE"""),44174.0)</f>
        <v>44174</v>
      </c>
      <c r="K212" s="8">
        <f>IFERROR(__xludf.DUMMYFUNCTION("""COMPUTED_VALUE"""),22.0)</f>
        <v>22</v>
      </c>
      <c r="L212" s="15" t="str">
        <f>IFERROR(__xludf.DUMMYFUNCTION("""COMPUTED_VALUE"""),"NO")</f>
        <v>NO</v>
      </c>
      <c r="M212" s="15" t="str">
        <f>IFERROR(__xludf.DUMMYFUNCTION("""COMPUTED_VALUE"""),"Private Contractor")</f>
        <v>Private Contractor</v>
      </c>
      <c r="N212" s="15"/>
      <c r="O212" s="15" t="str">
        <f>IFERROR(__xludf.DUMMYFUNCTION("""COMPUTED_VALUE"""),"YES")</f>
        <v>YES</v>
      </c>
      <c r="P212" s="15"/>
      <c r="Q212" s="15"/>
      <c r="R212" s="15"/>
      <c r="S212" s="15"/>
      <c r="T212" s="15"/>
      <c r="U212" s="15" t="str">
        <f>IFERROR(__xludf.DUMMYFUNCTION("""COMPUTED_VALUE"""),"Shuttle platform to LIRR â€œMadison Concourseâ€ below.")</f>
        <v>Shuttle platform to LIRR â€œMadison Concourseâ€_x009d_ below.</v>
      </c>
      <c r="V212" s="15" t="str">
        <f>IFERROR(__xludf.DUMMYFUNCTION("""COMPUTED_VALUE"""),"POINT (-73.93359 40.849506)")</f>
        <v>POINT (-73.93359 40.849506)</v>
      </c>
    </row>
    <row r="213" ht="22.5" customHeight="1">
      <c r="A213" s="7" t="str">
        <f>IFERROR(__xludf.DUMMYFUNCTION("""COMPUTED_VALUE"""),"Fulton St")</f>
        <v>Fulton St</v>
      </c>
      <c r="B213" s="8" t="str">
        <f>IFERROR(__xludf.DUMMYFUNCTION("""COMPUTED_VALUE"""),"Broadway-7 Av Line")</f>
        <v>Broadway-7 Av Line</v>
      </c>
      <c r="C213" s="8" t="str">
        <f>IFERROR(__xludf.DUMMYFUNCTION("""COMPUTED_VALUE"""),"Manhattan")</f>
        <v>Manhattan</v>
      </c>
      <c r="D213" s="8" t="str">
        <f>IFERROR(__xludf.DUMMYFUNCTION("""COMPUTED_VALUE"""),"Financial District")</f>
        <v>Financial District</v>
      </c>
      <c r="E213" s="33">
        <f>IFERROR(__xludf.DUMMYFUNCTION("""COMPUTED_VALUE"""),6757.0)</f>
        <v>6757</v>
      </c>
      <c r="F213" s="8">
        <f>IFERROR(__xludf.DUMMYFUNCTION("""COMPUTED_VALUE"""),1.9221396E7)</f>
        <v>19221396</v>
      </c>
      <c r="G213" s="19">
        <f>IFERROR(__xludf.DUMMYFUNCTION("""COMPUTED_VALUE"""),5.0)</f>
        <v>5</v>
      </c>
      <c r="H213" s="10" t="str">
        <f>IFERROR(__xludf.DUMMYFUNCTION("""COMPUTED_VALUE"""),"↗️")</f>
        <v>↗️</v>
      </c>
      <c r="I213" s="13">
        <f>IFERROR(__xludf.DUMMYFUNCTION("""COMPUTED_VALUE"""),41590.0)</f>
        <v>41590</v>
      </c>
      <c r="J213" s="32">
        <f>IFERROR(__xludf.DUMMYFUNCTION("""COMPUTED_VALUE"""),41590.0)</f>
        <v>41590</v>
      </c>
      <c r="K213" s="8">
        <f>IFERROR(__xludf.DUMMYFUNCTION("""COMPUTED_VALUE"""),22.0)</f>
        <v>22</v>
      </c>
      <c r="L213" s="15" t="str">
        <f>IFERROR(__xludf.DUMMYFUNCTION("""COMPUTED_VALUE"""),"YES")</f>
        <v>YES</v>
      </c>
      <c r="M213" s="15" t="str">
        <f>IFERROR(__xludf.DUMMYFUNCTION("""COMPUTED_VALUE"""),"NYCT")</f>
        <v>NYCT</v>
      </c>
      <c r="N213" s="15" t="str">
        <f>IFERROR(__xludf.DUMMYFUNCTION("""COMPUTED_VALUE"""),"KONE")</f>
        <v>KONE</v>
      </c>
      <c r="O213" s="15" t="str">
        <f>IFERROR(__xludf.DUMMYFUNCTION("""COMPUTED_VALUE"""),"YES")</f>
        <v>YES</v>
      </c>
      <c r="P213" s="15" t="str">
        <f>IFERROR(__xludf.DUMMYFUNCTION("""COMPUTED_VALUE"""),"NO")</f>
        <v>NO</v>
      </c>
      <c r="Q213" s="15" t="str">
        <f>IFERROR(__xludf.DUMMYFUNCTION("""COMPUTED_VALUE"""),"NO")</f>
        <v>NO</v>
      </c>
      <c r="R213" s="15" t="str">
        <f>IFERROR(__xludf.DUMMYFUNCTION("""COMPUTED_VALUE"""),"17' 2in")</f>
        <v>17' 2in</v>
      </c>
      <c r="S213" s="15">
        <f>IFERROR(__xludf.DUMMYFUNCTION("""COMPUTED_VALUE"""),72.0)</f>
        <v>72</v>
      </c>
      <c r="T213" s="15" t="str">
        <f>IFERROR(__xludf.DUMMYFUNCTION("""COMPUTED_VALUE"""),"1000 mm")</f>
        <v>1000 mm</v>
      </c>
      <c r="U213" s="15" t="str">
        <f>IFERROR(__xludf.DUMMYFUNCTION("""COMPUTED_VALUE"""),"2/3 mezzanine (William St &amp; Fulton St) to transfer mezzanine for A/C &amp; Broad St-bound J/Z service and access to rest of complex")</f>
        <v>2/3 mezzanine (William St &amp; Fulton St) to transfer mezzanine for A/C &amp; Broad St-bound J/Z service and access to rest of complex</v>
      </c>
      <c r="V213" s="15" t="str">
        <f>IFERROR(__xludf.DUMMYFUNCTION("""COMPUTED_VALUE"""),"POINT (-74.006836 40.709774)")</f>
        <v>POINT (-74.006836 40.709774)</v>
      </c>
    </row>
    <row r="214" ht="22.5" customHeight="1">
      <c r="A214" s="7" t="str">
        <f>IFERROR(__xludf.DUMMYFUNCTION("""COMPUTED_VALUE"""),"Myrtle-Wyckoff Avs")</f>
        <v>Myrtle-Wyckoff Avs</v>
      </c>
      <c r="B214" s="8" t="str">
        <f>IFERROR(__xludf.DUMMYFUNCTION("""COMPUTED_VALUE"""),"Canarsie Line")</f>
        <v>Canarsie Line</v>
      </c>
      <c r="C214" s="8" t="str">
        <f>IFERROR(__xludf.DUMMYFUNCTION("""COMPUTED_VALUE"""),"Brooklyn")</f>
        <v>Brooklyn</v>
      </c>
      <c r="D214" s="8" t="str">
        <f>IFERROR(__xludf.DUMMYFUNCTION("""COMPUTED_VALUE"""),"Bushwick")</f>
        <v>Bushwick</v>
      </c>
      <c r="E214" s="33">
        <f>IFERROR(__xludf.DUMMYFUNCTION("""COMPUTED_VALUE"""),10423.0)</f>
        <v>10423</v>
      </c>
      <c r="F214" s="8">
        <f>IFERROR(__xludf.DUMMYFUNCTION("""COMPUTED_VALUE"""),5230944.0)</f>
        <v>5230944</v>
      </c>
      <c r="G214" s="19">
        <f>IFERROR(__xludf.DUMMYFUNCTION("""COMPUTED_VALUE"""),54.0)</f>
        <v>54</v>
      </c>
      <c r="H214" s="10" t="str">
        <f>IFERROR(__xludf.DUMMYFUNCTION("""COMPUTED_VALUE"""),"↗️")</f>
        <v>↗️</v>
      </c>
      <c r="I214" s="13">
        <f>IFERROR(__xludf.DUMMYFUNCTION("""COMPUTED_VALUE"""),10393.0)</f>
        <v>10393</v>
      </c>
      <c r="J214" s="32">
        <f>IFERROR(__xludf.DUMMYFUNCTION("""COMPUTED_VALUE"""),37666.0)</f>
        <v>37666</v>
      </c>
      <c r="K214" s="8">
        <f>IFERROR(__xludf.DUMMYFUNCTION("""COMPUTED_VALUE"""),22.0)</f>
        <v>22</v>
      </c>
      <c r="L214" s="15" t="str">
        <f>IFERROR(__xludf.DUMMYFUNCTION("""COMPUTED_VALUE"""),"YES")</f>
        <v>YES</v>
      </c>
      <c r="M214" s="15" t="str">
        <f>IFERROR(__xludf.DUMMYFUNCTION("""COMPUTED_VALUE"""),"NYCT")</f>
        <v>NYCT</v>
      </c>
      <c r="N214" s="15" t="str">
        <f>IFERROR(__xludf.DUMMYFUNCTION("""COMPUTED_VALUE"""),"FUJITEC")</f>
        <v>FUJITEC</v>
      </c>
      <c r="O214" s="15" t="str">
        <f>IFERROR(__xludf.DUMMYFUNCTION("""COMPUTED_VALUE"""),"YES")</f>
        <v>YES</v>
      </c>
      <c r="P214" s="15" t="str">
        <f>IFERROR(__xludf.DUMMYFUNCTION("""COMPUTED_VALUE"""),"NO")</f>
        <v>NO</v>
      </c>
      <c r="Q214" s="15" t="str">
        <f>IFERROR(__xludf.DUMMYFUNCTION("""COMPUTED_VALUE"""),"NO")</f>
        <v>NO</v>
      </c>
      <c r="R214" s="15" t="str">
        <f>IFERROR(__xludf.DUMMYFUNCTION("""COMPUTED_VALUE"""),"26'")</f>
        <v>26'</v>
      </c>
      <c r="S214" s="15">
        <f>IFERROR(__xludf.DUMMYFUNCTION("""COMPUTED_VALUE"""),95.0)</f>
        <v>95</v>
      </c>
      <c r="T214" s="15">
        <f>IFERROR(__xludf.DUMMYFUNCTION("""COMPUTED_VALUE"""),24.0)</f>
        <v>24</v>
      </c>
      <c r="U214" s="15" t="str">
        <f>IFERROR(__xludf.DUMMYFUNCTION("""COMPUTED_VALUE"""),"M upper mezzanine to lower mezzanine for L service")</f>
        <v>M upper mezzanine to lower mezzanine for L service</v>
      </c>
      <c r="V214" s="15" t="str">
        <f>IFERROR(__xludf.DUMMYFUNCTION("""COMPUTED_VALUE"""),"POINT (-73.91183 40.6997)")</f>
        <v>POINT (-73.91183 40.6997)</v>
      </c>
    </row>
    <row r="215" ht="22.5" customHeight="1">
      <c r="A215" s="7" t="str">
        <f>IFERROR(__xludf.DUMMYFUNCTION("""COMPUTED_VALUE"""),"Parkchester")</f>
        <v>Parkchester</v>
      </c>
      <c r="B215" s="8" t="str">
        <f>IFERROR(__xludf.DUMMYFUNCTION("""COMPUTED_VALUE"""),"Pelham Line")</f>
        <v>Pelham Line</v>
      </c>
      <c r="C215" s="8" t="str">
        <f>IFERROR(__xludf.DUMMYFUNCTION("""COMPUTED_VALUE"""),"The Bronx")</f>
        <v>The Bronx</v>
      </c>
      <c r="D215" s="8" t="str">
        <f>IFERROR(__xludf.DUMMYFUNCTION("""COMPUTED_VALUE"""),"Parkchester")</f>
        <v>Parkchester</v>
      </c>
      <c r="E215" s="33">
        <f>IFERROR(__xludf.DUMMYFUNCTION("""COMPUTED_VALUE"""),7456.0)</f>
        <v>7456</v>
      </c>
      <c r="F215" s="10">
        <f>IFERROR(__xludf.DUMMYFUNCTION("""COMPUTED_VALUE"""),2775161.0)</f>
        <v>2775161</v>
      </c>
      <c r="G215" s="19">
        <f>IFERROR(__xludf.DUMMYFUNCTION("""COMPUTED_VALUE"""),128.0)</f>
        <v>128</v>
      </c>
      <c r="H215" s="10" t="str">
        <f>IFERROR(__xludf.DUMMYFUNCTION("""COMPUTED_VALUE"""),"↗️")</f>
        <v>↗️</v>
      </c>
      <c r="I215" s="13">
        <f>IFERROR(__xludf.DUMMYFUNCTION("""COMPUTED_VALUE"""),24473.0)</f>
        <v>24473</v>
      </c>
      <c r="J215" s="32">
        <f>IFERROR(__xludf.DUMMYFUNCTION("""COMPUTED_VALUE"""),46136.0)</f>
        <v>46136</v>
      </c>
      <c r="K215" s="8">
        <f>IFERROR(__xludf.DUMMYFUNCTION("""COMPUTED_VALUE"""),22.0)</f>
        <v>22</v>
      </c>
      <c r="L215" s="15" t="str">
        <f>IFERROR(__xludf.DUMMYFUNCTION("""COMPUTED_VALUE"""),"YES")</f>
        <v>YES</v>
      </c>
      <c r="M215" s="15" t="str">
        <f>IFERROR(__xludf.DUMMYFUNCTION("""COMPUTED_VALUE"""),"NYCT")</f>
        <v>NYCT</v>
      </c>
      <c r="N215" s="15" t="str">
        <f>IFERROR(__xludf.DUMMYFUNCTION("""COMPUTED_VALUE"""),"SMARTRISE")</f>
        <v>SMARTRISE</v>
      </c>
      <c r="O215" s="15" t="str">
        <f>IFERROR(__xludf.DUMMYFUNCTION("""COMPUTED_VALUE"""),"YES")</f>
        <v>YES</v>
      </c>
      <c r="P215" s="15" t="str">
        <f>IFERROR(__xludf.DUMMYFUNCTION("""COMPUTED_VALUE"""),"YES")</f>
        <v>YES</v>
      </c>
      <c r="Q215" s="15" t="str">
        <f>IFERROR(__xludf.DUMMYFUNCTION("""COMPUTED_VALUE"""),"YES")</f>
        <v>YES</v>
      </c>
      <c r="R215" s="15" t="str">
        <f>IFERROR(__xludf.DUMMYFUNCTION("""COMPUTED_VALUE"""),"30'")</f>
        <v>30'</v>
      </c>
      <c r="S215" s="15">
        <f>IFERROR(__xludf.DUMMYFUNCTION("""COMPUTED_VALUE"""),115.0)</f>
        <v>115</v>
      </c>
      <c r="T215" s="15">
        <f>IFERROR(__xludf.DUMMYFUNCTION("""COMPUTED_VALUE"""),40.0)</f>
        <v>40</v>
      </c>
      <c r="U215" s="15" t="str">
        <f>IFERROR(__xludf.DUMMYFUNCTION("""COMPUTED_VALUE"""),"Westchester Ave entrance to Manhattan-bound platform")</f>
        <v>Westchester Ave entrance to Manhattan-bound platform</v>
      </c>
      <c r="V215" s="15" t="str">
        <f>IFERROR(__xludf.DUMMYFUNCTION("""COMPUTED_VALUE"""),"POINT (-73.86119 40.83322)")</f>
        <v>POINT (-73.86119 40.83322)</v>
      </c>
    </row>
    <row r="216" ht="22.5" customHeight="1">
      <c r="A216" s="7" t="str">
        <f>IFERROR(__xludf.DUMMYFUNCTION("""COMPUTED_VALUE"""),"34 St-Hudson Yards")</f>
        <v>34 St-Hudson Yards</v>
      </c>
      <c r="B216" s="8" t="str">
        <f>IFERROR(__xludf.DUMMYFUNCTION("""COMPUTED_VALUE"""),"Flushing Line")</f>
        <v>Flushing Line</v>
      </c>
      <c r="C216" s="8" t="str">
        <f>IFERROR(__xludf.DUMMYFUNCTION("""COMPUTED_VALUE"""),"Manhattan")</f>
        <v>Manhattan</v>
      </c>
      <c r="D216" s="8" t="str">
        <f>IFERROR(__xludf.DUMMYFUNCTION("""COMPUTED_VALUE"""),"Hell's Kitchen")</f>
        <v>Hell's Kitchen</v>
      </c>
      <c r="E216" s="33">
        <f>IFERROR(__xludf.DUMMYFUNCTION("""COMPUTED_VALUE"""),42260.0)</f>
        <v>42260</v>
      </c>
      <c r="F216" s="8">
        <f>IFERROR(__xludf.DUMMYFUNCTION("""COMPUTED_VALUE"""),6082370.0)</f>
        <v>6082370</v>
      </c>
      <c r="G216" s="19">
        <f>IFERROR(__xludf.DUMMYFUNCTION("""COMPUTED_VALUE"""),39.0)</f>
        <v>39</v>
      </c>
      <c r="H216" s="10" t="str">
        <f>IFERROR(__xludf.DUMMYFUNCTION("""COMPUTED_VALUE"""),"↗️")</f>
        <v>↗️</v>
      </c>
      <c r="I216" s="13">
        <f>IFERROR(__xludf.DUMMYFUNCTION("""COMPUTED_VALUE"""),43343.0)</f>
        <v>43343</v>
      </c>
      <c r="J216" s="32">
        <f>IFERROR(__xludf.DUMMYFUNCTION("""COMPUTED_VALUE"""),43343.0)</f>
        <v>43343</v>
      </c>
      <c r="K216" s="8">
        <f>IFERROR(__xludf.DUMMYFUNCTION("""COMPUTED_VALUE"""),22.0)</f>
        <v>22</v>
      </c>
      <c r="L216" s="15" t="str">
        <f>IFERROR(__xludf.DUMMYFUNCTION("""COMPUTED_VALUE"""),"YES")</f>
        <v>YES</v>
      </c>
      <c r="M216" s="15" t="str">
        <f>IFERROR(__xludf.DUMMYFUNCTION("""COMPUTED_VALUE"""),"NYCT")</f>
        <v>NYCT</v>
      </c>
      <c r="N216" s="15" t="str">
        <f>IFERROR(__xludf.DUMMYFUNCTION("""COMPUTED_VALUE"""),"SCHINDLER")</f>
        <v>SCHINDLER</v>
      </c>
      <c r="O216" s="15" t="str">
        <f>IFERROR(__xludf.DUMMYFUNCTION("""COMPUTED_VALUE"""),"YES")</f>
        <v>YES</v>
      </c>
      <c r="P216" s="15" t="str">
        <f>IFERROR(__xludf.DUMMYFUNCTION("""COMPUTED_VALUE"""),"NO")</f>
        <v>NO</v>
      </c>
      <c r="Q216" s="15" t="str">
        <f>IFERROR(__xludf.DUMMYFUNCTION("""COMPUTED_VALUE"""),"NO")</f>
        <v>NO</v>
      </c>
      <c r="R216" s="15">
        <f>IFERROR(__xludf.DUMMYFUNCTION("""COMPUTED_VALUE"""),83.3)</f>
        <v>83.3</v>
      </c>
      <c r="S216" s="15">
        <f>IFERROR(__xludf.DUMMYFUNCTION("""COMPUTED_VALUE"""),288.0)</f>
        <v>288</v>
      </c>
      <c r="T216" s="15">
        <f>IFERROR(__xludf.DUMMYFUNCTION("""COMPUTED_VALUE"""),1000.0)</f>
        <v>1000</v>
      </c>
      <c r="U216" s="15" t="str">
        <f>IFERROR(__xludf.DUMMYFUNCTION("""COMPUTED_VALUE"""),"lower mezzanine to upper mezzanine for Hudson Blvd E &amp; 35 St exit")</f>
        <v>lower mezzanine to upper mezzanine for Hudson Blvd E &amp; 35 St exit</v>
      </c>
      <c r="V216" s="15" t="str">
        <f>IFERROR(__xludf.DUMMYFUNCTION("""COMPUTED_VALUE"""),"POINT (-74.001114 40.756115)")</f>
        <v>POINT (-74.001114 40.756115)</v>
      </c>
    </row>
    <row r="217" ht="22.5" customHeight="1">
      <c r="A217" s="7" t="str">
        <f>IFERROR(__xludf.DUMMYFUNCTION("""COMPUTED_VALUE"""),"50 St")</f>
        <v>50 St</v>
      </c>
      <c r="B217" s="8" t="str">
        <f>IFERROR(__xludf.DUMMYFUNCTION("""COMPUTED_VALUE"""),"8 Av Line,Queens Blvd Line")</f>
        <v>8 Av Line,Queens Blvd Line</v>
      </c>
      <c r="C217" s="8" t="str">
        <f>IFERROR(__xludf.DUMMYFUNCTION("""COMPUTED_VALUE"""),"Manhattan")</f>
        <v>Manhattan</v>
      </c>
      <c r="D217" s="8" t="str">
        <f>IFERROR(__xludf.DUMMYFUNCTION("""COMPUTED_VALUE"""),"Midtown")</f>
        <v>Midtown</v>
      </c>
      <c r="E217" s="33">
        <f>IFERROR(__xludf.DUMMYFUNCTION("""COMPUTED_VALUE"""),11942.0)</f>
        <v>11942</v>
      </c>
      <c r="F217" s="8">
        <f>IFERROR(__xludf.DUMMYFUNCTION("""COMPUTED_VALUE"""),5542652.0)</f>
        <v>5542652</v>
      </c>
      <c r="G217" s="19">
        <f>IFERROR(__xludf.DUMMYFUNCTION("""COMPUTED_VALUE"""),49.0)</f>
        <v>49</v>
      </c>
      <c r="H217" s="10" t="str">
        <f>IFERROR(__xludf.DUMMYFUNCTION("""COMPUTED_VALUE"""),"↗️")</f>
        <v>↗️</v>
      </c>
      <c r="I217" s="13"/>
      <c r="J217" s="32">
        <f>IFERROR(__xludf.DUMMYFUNCTION("""COMPUTED_VALUE"""),40906.0)</f>
        <v>40906</v>
      </c>
      <c r="K217" s="8">
        <f>IFERROR(__xludf.DUMMYFUNCTION("""COMPUTED_VALUE"""),22.0)</f>
        <v>22</v>
      </c>
      <c r="L217" s="15" t="str">
        <f>IFERROR(__xludf.DUMMYFUNCTION("""COMPUTED_VALUE"""),"NO")</f>
        <v>NO</v>
      </c>
      <c r="M217" s="15" t="str">
        <f>IFERROR(__xludf.DUMMYFUNCTION("""COMPUTED_VALUE"""),"Private Contractor")</f>
        <v>Private Contractor</v>
      </c>
      <c r="N217" s="15" t="str">
        <f>IFERROR(__xludf.DUMMYFUNCTION("""COMPUTED_VALUE"""),"AM")</f>
        <v>AM</v>
      </c>
      <c r="O217" s="15" t="str">
        <f>IFERROR(__xludf.DUMMYFUNCTION("""COMPUTED_VALUE"""),"YES")</f>
        <v>YES</v>
      </c>
      <c r="P217" s="15" t="str">
        <f>IFERROR(__xludf.DUMMYFUNCTION("""COMPUTED_VALUE"""),"NO")</f>
        <v>NO</v>
      </c>
      <c r="Q217" s="15" t="str">
        <f>IFERROR(__xludf.DUMMYFUNCTION("""COMPUTED_VALUE"""),"NO")</f>
        <v>NO</v>
      </c>
      <c r="R217" s="15"/>
      <c r="S217" s="15"/>
      <c r="T217" s="15"/>
      <c r="U217" s="15" t="str">
        <f>IFERROR(__xludf.DUMMYFUNCTION("""COMPUTED_VALUE"""),"downtown C platform to 50 St &amp; 8th Ave (SW corner)")</f>
        <v>downtown C platform to 50 St &amp; 8th Ave (SW corner)</v>
      </c>
      <c r="V217" s="15" t="str">
        <f>IFERROR(__xludf.DUMMYFUNCTION("""COMPUTED_VALUE"""),"POINT (-73.986404 40.762215)")</f>
        <v>POINT (-73.986404 40.762215)</v>
      </c>
    </row>
    <row r="218" ht="22.5" customHeight="1">
      <c r="A218" s="7" t="str">
        <f>IFERROR(__xludf.DUMMYFUNCTION("""COMPUTED_VALUE"""),"Jamaica Center-Parsons/Archer")</f>
        <v>Jamaica Center-Parsons/Archer</v>
      </c>
      <c r="B218" s="8" t="str">
        <f>IFERROR(__xludf.DUMMYFUNCTION("""COMPUTED_VALUE"""),"Archer Av Line")</f>
        <v>Archer Av Line</v>
      </c>
      <c r="C218" s="8" t="str">
        <f>IFERROR(__xludf.DUMMYFUNCTION("""COMPUTED_VALUE"""),"Queens")</f>
        <v>Queens</v>
      </c>
      <c r="D218" s="8" t="str">
        <f>IFERROR(__xludf.DUMMYFUNCTION("""COMPUTED_VALUE"""),"Jamaica")</f>
        <v>Jamaica</v>
      </c>
      <c r="E218" s="33">
        <f>IFERROR(__xludf.DUMMYFUNCTION("""COMPUTED_VALUE"""),32488.0)</f>
        <v>32488</v>
      </c>
      <c r="F218" s="8">
        <f>IFERROR(__xludf.DUMMYFUNCTION("""COMPUTED_VALUE"""),6137267.0)</f>
        <v>6137267</v>
      </c>
      <c r="G218" s="17">
        <f>IFERROR(__xludf.DUMMYFUNCTION("""COMPUTED_VALUE"""),38.0)</f>
        <v>38</v>
      </c>
      <c r="H218" s="10" t="str">
        <f>IFERROR(__xludf.DUMMYFUNCTION("""COMPUTED_VALUE"""),"↗️")</f>
        <v>↗️</v>
      </c>
      <c r="I218" s="13">
        <f>IFERROR(__xludf.DUMMYFUNCTION("""COMPUTED_VALUE"""),32478.0)</f>
        <v>32478</v>
      </c>
      <c r="J218" s="32">
        <f>IFERROR(__xludf.DUMMYFUNCTION("""COMPUTED_VALUE"""),39419.0)</f>
        <v>39419</v>
      </c>
      <c r="K218" s="8">
        <f>IFERROR(__xludf.DUMMYFUNCTION("""COMPUTED_VALUE"""),22.0)</f>
        <v>22</v>
      </c>
      <c r="L218" s="15" t="str">
        <f>IFERROR(__xludf.DUMMYFUNCTION("""COMPUTED_VALUE"""),"YES")</f>
        <v>YES</v>
      </c>
      <c r="M218" s="15" t="str">
        <f>IFERROR(__xludf.DUMMYFUNCTION("""COMPUTED_VALUE"""),"NYCT")</f>
        <v>NYCT</v>
      </c>
      <c r="N218" s="15" t="str">
        <f>IFERROR(__xludf.DUMMYFUNCTION("""COMPUTED_VALUE"""),"KONE")</f>
        <v>KONE</v>
      </c>
      <c r="O218" s="15" t="str">
        <f>IFERROR(__xludf.DUMMYFUNCTION("""COMPUTED_VALUE"""),"YES")</f>
        <v>YES</v>
      </c>
      <c r="P218" s="15" t="str">
        <f>IFERROR(__xludf.DUMMYFUNCTION("""COMPUTED_VALUE"""),"NO")</f>
        <v>NO</v>
      </c>
      <c r="Q218" s="15" t="str">
        <f>IFERROR(__xludf.DUMMYFUNCTION("""COMPUTED_VALUE"""),"NO")</f>
        <v>NO</v>
      </c>
      <c r="R218" s="15" t="str">
        <f>IFERROR(__xludf.DUMMYFUNCTION("""COMPUTED_VALUE"""),"12'")</f>
        <v>12'</v>
      </c>
      <c r="S218" s="15">
        <f>IFERROR(__xludf.DUMMYFUNCTION("""COMPUTED_VALUE"""),55.0)</f>
        <v>55</v>
      </c>
      <c r="T218" s="15" t="str">
        <f>IFERROR(__xludf.DUMMYFUNCTION("""COMPUTED_VALUE"""),"40in")</f>
        <v>40in</v>
      </c>
      <c r="U218" s="15" t="str">
        <f>IFERROR(__xludf.DUMMYFUNCTION("""COMPUTED_VALUE"""),"E platform to mezzanine for Parsons Blvd &amp; Archer Ave exit")</f>
        <v>E platform to mezzanine for Parsons Blvd &amp; Archer Ave exit</v>
      </c>
      <c r="V218" s="15" t="str">
        <f>IFERROR(__xludf.DUMMYFUNCTION("""COMPUTED_VALUE"""),"POINT (-73.80049 40.70228)")</f>
        <v>POINT (-73.80049 40.70228)</v>
      </c>
    </row>
    <row r="219" ht="22.5" customHeight="1">
      <c r="A219" s="7" t="str">
        <f>IFERROR(__xludf.DUMMYFUNCTION("""COMPUTED_VALUE"""),"Fulton St")</f>
        <v>Fulton St</v>
      </c>
      <c r="B219" s="8" t="str">
        <f>IFERROR(__xludf.DUMMYFUNCTION("""COMPUTED_VALUE"""),"Broadway-7 Av Line")</f>
        <v>Broadway-7 Av Line</v>
      </c>
      <c r="C219" s="8" t="str">
        <f>IFERROR(__xludf.DUMMYFUNCTION("""COMPUTED_VALUE"""),"Manhattan")</f>
        <v>Manhattan</v>
      </c>
      <c r="D219" s="8" t="str">
        <f>IFERROR(__xludf.DUMMYFUNCTION("""COMPUTED_VALUE"""),"Financial District")</f>
        <v>Financial District</v>
      </c>
      <c r="E219" s="33">
        <f>IFERROR(__xludf.DUMMYFUNCTION("""COMPUTED_VALUE"""),6757.0)</f>
        <v>6757</v>
      </c>
      <c r="F219" s="10">
        <f>IFERROR(__xludf.DUMMYFUNCTION("""COMPUTED_VALUE"""),1.9221396E7)</f>
        <v>19221396</v>
      </c>
      <c r="G219" s="19">
        <f>IFERROR(__xludf.DUMMYFUNCTION("""COMPUTED_VALUE"""),5.0)</f>
        <v>5</v>
      </c>
      <c r="H219" s="10" t="str">
        <f>IFERROR(__xludf.DUMMYFUNCTION("""COMPUTED_VALUE"""),"↗️")</f>
        <v>↗️</v>
      </c>
      <c r="I219" s="13"/>
      <c r="J219" s="32">
        <f>IFERROR(__xludf.DUMMYFUNCTION("""COMPUTED_VALUE"""),41953.0)</f>
        <v>41953</v>
      </c>
      <c r="K219" s="8">
        <f>IFERROR(__xludf.DUMMYFUNCTION("""COMPUTED_VALUE"""),22.0)</f>
        <v>22</v>
      </c>
      <c r="L219" s="15" t="str">
        <f>IFERROR(__xludf.DUMMYFUNCTION("""COMPUTED_VALUE"""),"NO")</f>
        <v>NO</v>
      </c>
      <c r="M219" s="15" t="str">
        <f>IFERROR(__xludf.DUMMYFUNCTION("""COMPUTED_VALUE"""),"Private Contractor")</f>
        <v>Private Contractor</v>
      </c>
      <c r="N219" s="15" t="str">
        <f>IFERROR(__xludf.DUMMYFUNCTION("""COMPUTED_VALUE"""),"THYSSEN-KRUPP")</f>
        <v>THYSSEN-KRUPP</v>
      </c>
      <c r="O219" s="15" t="str">
        <f>IFERROR(__xludf.DUMMYFUNCTION("""COMPUTED_VALUE"""),"YES")</f>
        <v>YES</v>
      </c>
      <c r="P219" s="15" t="str">
        <f>IFERROR(__xludf.DUMMYFUNCTION("""COMPUTED_VALUE"""),"NO")</f>
        <v>NO</v>
      </c>
      <c r="Q219" s="15" t="str">
        <f>IFERROR(__xludf.DUMMYFUNCTION("""COMPUTED_VALUE"""),"NO")</f>
        <v>NO</v>
      </c>
      <c r="R219" s="15"/>
      <c r="S219" s="15">
        <f>IFERROR(__xludf.DUMMYFUNCTION("""COMPUTED_VALUE"""),0.0)</f>
        <v>0</v>
      </c>
      <c r="T219" s="15"/>
      <c r="U219" s="15" t="str">
        <f>IFERROR(__xludf.DUMMYFUNCTION("""COMPUTED_VALUE"""),"Transit Center entrance (SE corner of Fulton St &amp; Broadway) to uptown 4/5 platform and access to rest of complex")</f>
        <v>Transit Center entrance (SE corner of Fulton St &amp; Broadway) to uptown 4/5 platform and access to rest of complex</v>
      </c>
      <c r="V219" s="15" t="str">
        <f>IFERROR(__xludf.DUMMYFUNCTION("""COMPUTED_VALUE"""),"POINT (-74.00898 40.710598)")</f>
        <v>POINT (-74.00898 40.710598)</v>
      </c>
    </row>
    <row r="220" ht="22.5" customHeight="1">
      <c r="A220" s="7" t="str">
        <f>IFERROR(__xludf.DUMMYFUNCTION("""COMPUTED_VALUE"""),"86 St")</f>
        <v>86 St</v>
      </c>
      <c r="B220" s="8" t="str">
        <f>IFERROR(__xludf.DUMMYFUNCTION("""COMPUTED_VALUE"""),"4 Av Line")</f>
        <v>4 Av Line</v>
      </c>
      <c r="C220" s="8" t="str">
        <f>IFERROR(__xludf.DUMMYFUNCTION("""COMPUTED_VALUE"""),"Brooklyn")</f>
        <v>Brooklyn</v>
      </c>
      <c r="D220" s="8" t="str">
        <f>IFERROR(__xludf.DUMMYFUNCTION("""COMPUTED_VALUE"""),"Bay Ridge")</f>
        <v>Bay Ridge</v>
      </c>
      <c r="E220" s="33">
        <f>IFERROR(__xludf.DUMMYFUNCTION("""COMPUTED_VALUE"""),5859.0)</f>
        <v>5859</v>
      </c>
      <c r="F220" s="10">
        <f>IFERROR(__xludf.DUMMYFUNCTION("""COMPUTED_VALUE"""),2580130.0)</f>
        <v>2580130</v>
      </c>
      <c r="G220" s="19">
        <f>IFERROR(__xludf.DUMMYFUNCTION("""COMPUTED_VALUE"""),135.0)</f>
        <v>135</v>
      </c>
      <c r="H220" s="10" t="str">
        <f>IFERROR(__xludf.DUMMYFUNCTION("""COMPUTED_VALUE"""),"↗️")</f>
        <v>↗️</v>
      </c>
      <c r="I220" s="13">
        <f>IFERROR(__xludf.DUMMYFUNCTION("""COMPUTED_VALUE"""),42736.0)</f>
        <v>42736</v>
      </c>
      <c r="J220" s="32">
        <f>IFERROR(__xludf.DUMMYFUNCTION("""COMPUTED_VALUE"""),42736.0)</f>
        <v>42736</v>
      </c>
      <c r="K220" s="8">
        <f>IFERROR(__xludf.DUMMYFUNCTION("""COMPUTED_VALUE"""),22.0)</f>
        <v>22</v>
      </c>
      <c r="L220" s="15" t="str">
        <f>IFERROR(__xludf.DUMMYFUNCTION("""COMPUTED_VALUE"""),"YES")</f>
        <v>YES</v>
      </c>
      <c r="M220" s="15" t="str">
        <f>IFERROR(__xludf.DUMMYFUNCTION("""COMPUTED_VALUE"""),"NYCT")</f>
        <v>NYCT</v>
      </c>
      <c r="N220" s="15" t="str">
        <f>IFERROR(__xludf.DUMMYFUNCTION("""COMPUTED_VALUE"""),"KONE")</f>
        <v>KONE</v>
      </c>
      <c r="O220" s="15" t="str">
        <f>IFERROR(__xludf.DUMMYFUNCTION("""COMPUTED_VALUE"""),"YES")</f>
        <v>YES</v>
      </c>
      <c r="P220" s="15" t="str">
        <f>IFERROR(__xludf.DUMMYFUNCTION("""COMPUTED_VALUE"""),"YES")</f>
        <v>YES</v>
      </c>
      <c r="Q220" s="15" t="str">
        <f>IFERROR(__xludf.DUMMYFUNCTION("""COMPUTED_VALUE"""),"YES")</f>
        <v>YES</v>
      </c>
      <c r="R220" s="15" t="str">
        <f>IFERROR(__xludf.DUMMYFUNCTION("""COMPUTED_VALUE"""),"9950 mm (32 ' 7 3/4in)")</f>
        <v>9950 mm (32 ' 7 3/4in)</v>
      </c>
      <c r="S220" s="15">
        <f>IFERROR(__xludf.DUMMYFUNCTION("""COMPUTED_VALUE"""),125.0)</f>
        <v>125</v>
      </c>
      <c r="T220" s="15"/>
      <c r="U220" s="15" t="str">
        <f>IFERROR(__xludf.DUMMYFUNCTION("""COMPUTED_VALUE"""),"86 St &amp; 2nd Ave (NE corner) to upper mezzanine")</f>
        <v>86 St &amp; 2nd Ave (NE corner) to upper mezzanine</v>
      </c>
      <c r="V220" s="15" t="str">
        <f>IFERROR(__xludf.DUMMYFUNCTION("""COMPUTED_VALUE"""),"POINT (-73.95141 40.777824)")</f>
        <v>POINT (-73.95141 40.777824)</v>
      </c>
    </row>
    <row r="221" ht="22.5" customHeight="1">
      <c r="A221" s="7" t="str">
        <f>IFERROR(__xludf.DUMMYFUNCTION("""COMPUTED_VALUE"""),"High St")</f>
        <v>High St</v>
      </c>
      <c r="B221" s="8" t="str">
        <f>IFERROR(__xludf.DUMMYFUNCTION("""COMPUTED_VALUE"""),"8 Av Line")</f>
        <v>8 Av Line</v>
      </c>
      <c r="C221" s="8" t="str">
        <f>IFERROR(__xludf.DUMMYFUNCTION("""COMPUTED_VALUE"""),"Brooklyn")</f>
        <v>Brooklyn</v>
      </c>
      <c r="D221" s="8" t="str">
        <f>IFERROR(__xludf.DUMMYFUNCTION("""COMPUTED_VALUE"""),"Brooklyn Heights")</f>
        <v>Brooklyn Heights</v>
      </c>
      <c r="E221" s="33">
        <f>IFERROR(__xludf.DUMMYFUNCTION("""COMPUTED_VALUE"""),12229.0)</f>
        <v>12229</v>
      </c>
      <c r="F221" s="10">
        <f>IFERROR(__xludf.DUMMYFUNCTION("""COMPUTED_VALUE"""),2213320.0)</f>
        <v>2213320</v>
      </c>
      <c r="G221" s="19">
        <f>IFERROR(__xludf.DUMMYFUNCTION("""COMPUTED_VALUE"""),150.0)</f>
        <v>150</v>
      </c>
      <c r="H221" s="10" t="str">
        <f>IFERROR(__xludf.DUMMYFUNCTION("""COMPUTED_VALUE"""),"↗️")</f>
        <v>↗️</v>
      </c>
      <c r="I221" s="13">
        <f>IFERROR(__xludf.DUMMYFUNCTION("""COMPUTED_VALUE"""),12229.0)</f>
        <v>12229</v>
      </c>
      <c r="J221" s="32">
        <f>IFERROR(__xludf.DUMMYFUNCTION("""COMPUTED_VALUE"""),45792.0)</f>
        <v>45792</v>
      </c>
      <c r="K221" s="8">
        <f>IFERROR(__xludf.DUMMYFUNCTION("""COMPUTED_VALUE"""),22.0)</f>
        <v>22</v>
      </c>
      <c r="L221" s="15" t="str">
        <f>IFERROR(__xludf.DUMMYFUNCTION("""COMPUTED_VALUE"""),"YES")</f>
        <v>YES</v>
      </c>
      <c r="M221" s="15" t="str">
        <f>IFERROR(__xludf.DUMMYFUNCTION("""COMPUTED_VALUE"""),"NYCT")</f>
        <v>NYCT</v>
      </c>
      <c r="N221" s="15" t="str">
        <f>IFERROR(__xludf.DUMMYFUNCTION("""COMPUTED_VALUE"""),"KONE")</f>
        <v>KONE</v>
      </c>
      <c r="O221" s="15" t="str">
        <f>IFERROR(__xludf.DUMMYFUNCTION("""COMPUTED_VALUE"""),"YES")</f>
        <v>YES</v>
      </c>
      <c r="P221" s="15" t="str">
        <f>IFERROR(__xludf.DUMMYFUNCTION("""COMPUTED_VALUE"""),"NO")</f>
        <v>NO</v>
      </c>
      <c r="Q221" s="15" t="str">
        <f>IFERROR(__xludf.DUMMYFUNCTION("""COMPUTED_VALUE"""),"NO")</f>
        <v>NO</v>
      </c>
      <c r="R221" s="15" t="str">
        <f>IFERROR(__xludf.DUMMYFUNCTION("""COMPUTED_VALUE"""),"39' 11/5in")</f>
        <v>39' 11/5in</v>
      </c>
      <c r="S221" s="15">
        <f>IFERROR(__xludf.DUMMYFUNCTION("""COMPUTED_VALUE"""),140.0)</f>
        <v>140</v>
      </c>
      <c r="T221" s="15">
        <f>IFERROR(__xludf.DUMMYFUNCTION("""COMPUTED_VALUE"""),24.0)</f>
        <v>24</v>
      </c>
      <c r="U221" s="15" t="str">
        <f>IFERROR(__xludf.DUMMYFUNCTION("""COMPUTED_VALUE"""),"upper mezzanine (Cadman Plaza West &amp; Middagh St) to lower mezzanine")</f>
        <v>upper mezzanine (Cadman Plaza West &amp; Middagh St) to lower mezzanine</v>
      </c>
      <c r="V221" s="15" t="str">
        <f>IFERROR(__xludf.DUMMYFUNCTION("""COMPUTED_VALUE"""),"POINT (-73.991104 40.699528)")</f>
        <v>POINT (-73.991104 40.699528)</v>
      </c>
    </row>
    <row r="222" ht="22.5" customHeight="1">
      <c r="A222" s="7" t="str">
        <f>IFERROR(__xludf.DUMMYFUNCTION("""COMPUTED_VALUE"""),"34 St-Hudson Yards")</f>
        <v>34 St-Hudson Yards</v>
      </c>
      <c r="B222" s="8" t="str">
        <f>IFERROR(__xludf.DUMMYFUNCTION("""COMPUTED_VALUE"""),"Flushing Line")</f>
        <v>Flushing Line</v>
      </c>
      <c r="C222" s="8" t="str">
        <f>IFERROR(__xludf.DUMMYFUNCTION("""COMPUTED_VALUE"""),"Manhattan")</f>
        <v>Manhattan</v>
      </c>
      <c r="D222" s="8" t="str">
        <f>IFERROR(__xludf.DUMMYFUNCTION("""COMPUTED_VALUE"""),"Hell's Kitchen")</f>
        <v>Hell's Kitchen</v>
      </c>
      <c r="E222" s="33">
        <f>IFERROR(__xludf.DUMMYFUNCTION("""COMPUTED_VALUE"""),42260.0)</f>
        <v>42260</v>
      </c>
      <c r="F222" s="10">
        <f>IFERROR(__xludf.DUMMYFUNCTION("""COMPUTED_VALUE"""),6082370.0)</f>
        <v>6082370</v>
      </c>
      <c r="G222" s="19">
        <f>IFERROR(__xludf.DUMMYFUNCTION("""COMPUTED_VALUE"""),39.0)</f>
        <v>39</v>
      </c>
      <c r="H222" s="10" t="str">
        <f>IFERROR(__xludf.DUMMYFUNCTION("""COMPUTED_VALUE"""),"↗️")</f>
        <v>↗️</v>
      </c>
      <c r="I222" s="13">
        <f>IFERROR(__xludf.DUMMYFUNCTION("""COMPUTED_VALUE"""),42260.0)</f>
        <v>42260</v>
      </c>
      <c r="J222" s="32">
        <f>IFERROR(__xludf.DUMMYFUNCTION("""COMPUTED_VALUE"""),42260.0)</f>
        <v>42260</v>
      </c>
      <c r="K222" s="8">
        <f>IFERROR(__xludf.DUMMYFUNCTION("""COMPUTED_VALUE"""),22.0)</f>
        <v>22</v>
      </c>
      <c r="L222" s="15" t="str">
        <f>IFERROR(__xludf.DUMMYFUNCTION("""COMPUTED_VALUE"""),"YES")</f>
        <v>YES</v>
      </c>
      <c r="M222" s="15" t="str">
        <f>IFERROR(__xludf.DUMMYFUNCTION("""COMPUTED_VALUE"""),"NYCT")</f>
        <v>NYCT</v>
      </c>
      <c r="N222" s="15" t="str">
        <f>IFERROR(__xludf.DUMMYFUNCTION("""COMPUTED_VALUE"""),"KONE")</f>
        <v>KONE</v>
      </c>
      <c r="O222" s="15" t="str">
        <f>IFERROR(__xludf.DUMMYFUNCTION("""COMPUTED_VALUE"""),"YES")</f>
        <v>YES</v>
      </c>
      <c r="P222" s="15" t="str">
        <f>IFERROR(__xludf.DUMMYFUNCTION("""COMPUTED_VALUE"""),"NO")</f>
        <v>NO</v>
      </c>
      <c r="Q222" s="15" t="str">
        <f>IFERROR(__xludf.DUMMYFUNCTION("""COMPUTED_VALUE"""),"NO")</f>
        <v>NO</v>
      </c>
      <c r="R222" s="15" t="str">
        <f>IFERROR(__xludf.DUMMYFUNCTION("""COMPUTED_VALUE"""),"24,892 mm (81' 8in)")</f>
        <v>24,892 mm (81' 8in)</v>
      </c>
      <c r="S222" s="15">
        <f>IFERROR(__xludf.DUMMYFUNCTION("""COMPUTED_VALUE"""),283.0)</f>
        <v>283</v>
      </c>
      <c r="T222" s="15" t="str">
        <f>IFERROR(__xludf.DUMMYFUNCTION("""COMPUTED_VALUE"""),"1000 mm (40in)")</f>
        <v>1000 mm (40in)</v>
      </c>
      <c r="U222" s="15" t="str">
        <f>IFERROR(__xludf.DUMMYFUNCTION("""COMPUTED_VALUE"""),"upper mezzanine (between 33 St &amp; 34 St) to lower mezzanine")</f>
        <v>upper mezzanine (between 33 St &amp; 34 St) to lower mezzanine</v>
      </c>
      <c r="V222" s="15" t="str">
        <f>IFERROR(__xludf.DUMMYFUNCTION("""COMPUTED_VALUE"""),"POINT (-74.00176 40.755405)")</f>
        <v>POINT (-74.00176 40.755405)</v>
      </c>
    </row>
    <row r="223" ht="22.5" customHeight="1">
      <c r="A223" s="7" t="str">
        <f>IFERROR(__xludf.DUMMYFUNCTION("""COMPUTED_VALUE"""),"Atlantic Av-Barclays Ctr")</f>
        <v>Atlantic Av-Barclays Ctr</v>
      </c>
      <c r="B223" s="8" t="str">
        <f>IFERROR(__xludf.DUMMYFUNCTION("""COMPUTED_VALUE"""),"")</f>
        <v/>
      </c>
      <c r="C223" s="8" t="str">
        <f>IFERROR(__xludf.DUMMYFUNCTION("""COMPUTED_VALUE"""),"")</f>
        <v/>
      </c>
      <c r="D223" s="8" t="str">
        <f>IFERROR(__xludf.DUMMYFUNCTION("""COMPUTED_VALUE"""),"")</f>
        <v/>
      </c>
      <c r="E223" s="33" t="str">
        <f>IFERROR(__xludf.DUMMYFUNCTION("""COMPUTED_VALUE"""),"")</f>
        <v/>
      </c>
      <c r="F223" s="10" t="str">
        <f>IFERROR(__xludf.DUMMYFUNCTION("""COMPUTED_VALUE"""),"")</f>
        <v/>
      </c>
      <c r="G223" s="19" t="str">
        <f>IFERROR(__xludf.DUMMYFUNCTION("""COMPUTED_VALUE"""),"")</f>
        <v/>
      </c>
      <c r="H223" s="10" t="str">
        <f>IFERROR(__xludf.DUMMYFUNCTION("""COMPUTED_VALUE"""),"↗️")</f>
        <v>↗️</v>
      </c>
      <c r="I223" s="13"/>
      <c r="J223" s="32">
        <f>IFERROR(__xludf.DUMMYFUNCTION("""COMPUTED_VALUE"""),41187.0)</f>
        <v>41187</v>
      </c>
      <c r="K223" s="8">
        <f>IFERROR(__xludf.DUMMYFUNCTION("""COMPUTED_VALUE"""),22.0)</f>
        <v>22</v>
      </c>
      <c r="L223" s="15" t="str">
        <f>IFERROR(__xludf.DUMMYFUNCTION("""COMPUTED_VALUE"""),"NO")</f>
        <v>NO</v>
      </c>
      <c r="M223" s="15" t="str">
        <f>IFERROR(__xludf.DUMMYFUNCTION("""COMPUTED_VALUE"""),"Private Contractor")</f>
        <v>Private Contractor</v>
      </c>
      <c r="N223" s="15" t="str">
        <f>IFERROR(__xludf.DUMMYFUNCTION("""COMPUTED_VALUE"""),"SCHINDLER")</f>
        <v>SCHINDLER</v>
      </c>
      <c r="O223" s="15" t="str">
        <f>IFERROR(__xludf.DUMMYFUNCTION("""COMPUTED_VALUE"""),"YES")</f>
        <v>YES</v>
      </c>
      <c r="P223" s="15" t="str">
        <f>IFERROR(__xludf.DUMMYFUNCTION("""COMPUTED_VALUE"""),"NO")</f>
        <v>NO</v>
      </c>
      <c r="Q223" s="15" t="str">
        <f>IFERROR(__xludf.DUMMYFUNCTION("""COMPUTED_VALUE"""),"NO")</f>
        <v>NO</v>
      </c>
      <c r="R223" s="15"/>
      <c r="S223" s="15"/>
      <c r="T223" s="15"/>
      <c r="U223" s="15" t="str">
        <f>IFERROR(__xludf.DUMMYFUNCTION("""COMPUTED_VALUE"""),"Barclays Center plaza (SE corner of Atlantic Ave &amp; Flatbush Ave) to mezzanine for B/Q service and access to Manhattan-bound 2/3, 4/5, and rest of complex")</f>
        <v>Barclays Center plaza (SE corner of Atlantic Ave &amp; Flatbush Ave) to mezzanine for B/Q service and access to Manhattan-bound 2/3, 4/5, and rest of complex</v>
      </c>
      <c r="V223" s="15" t="str">
        <f>IFERROR(__xludf.DUMMYFUNCTION("""COMPUTED_VALUE"""),"POINT (-73.976585 40.68361)")</f>
        <v>POINT (-73.976585 40.68361)</v>
      </c>
    </row>
    <row r="224" ht="22.5" customHeight="1">
      <c r="A224" s="7" t="str">
        <f>IFERROR(__xludf.DUMMYFUNCTION("""COMPUTED_VALUE"""),"145 St")</f>
        <v>145 St</v>
      </c>
      <c r="B224" s="8" t="str">
        <f>IFERROR(__xludf.DUMMYFUNCTION("""COMPUTED_VALUE"""),"Broadway-7 Av Line")</f>
        <v>Broadway-7 Av Line</v>
      </c>
      <c r="C224" s="8" t="str">
        <f>IFERROR(__xludf.DUMMYFUNCTION("""COMPUTED_VALUE"""),"Manhattan")</f>
        <v>Manhattan</v>
      </c>
      <c r="D224" s="8" t="str">
        <f>IFERROR(__xludf.DUMMYFUNCTION("""COMPUTED_VALUE"""),"Hamilton Heights")</f>
        <v>Hamilton Heights</v>
      </c>
      <c r="E224" s="33">
        <f>IFERROR(__xludf.DUMMYFUNCTION("""COMPUTED_VALUE"""),1762.0)</f>
        <v>1762</v>
      </c>
      <c r="F224" s="8">
        <f>IFERROR(__xludf.DUMMYFUNCTION("""COMPUTED_VALUE"""),2114398.0)</f>
        <v>2114398</v>
      </c>
      <c r="G224" s="19">
        <f>IFERROR(__xludf.DUMMYFUNCTION("""COMPUTED_VALUE"""),158.0)</f>
        <v>158</v>
      </c>
      <c r="H224" s="10" t="str">
        <f>IFERROR(__xludf.DUMMYFUNCTION("""COMPUTED_VALUE"""),"↗️")</f>
        <v>↗️</v>
      </c>
      <c r="I224" s="13">
        <f>IFERROR(__xludf.DUMMYFUNCTION("""COMPUTED_VALUE"""),12236.0)</f>
        <v>12236</v>
      </c>
      <c r="J224" s="32">
        <f>IFERROR(__xludf.DUMMYFUNCTION("""COMPUTED_VALUE"""),46109.0)</f>
        <v>46109</v>
      </c>
      <c r="K224" s="8">
        <f>IFERROR(__xludf.DUMMYFUNCTION("""COMPUTED_VALUE"""),22.0)</f>
        <v>22</v>
      </c>
      <c r="L224" s="15" t="str">
        <f>IFERROR(__xludf.DUMMYFUNCTION("""COMPUTED_VALUE"""),"YES")</f>
        <v>YES</v>
      </c>
      <c r="M224" s="15" t="str">
        <f>IFERROR(__xludf.DUMMYFUNCTION("""COMPUTED_VALUE"""),"NYCT")</f>
        <v>NYCT</v>
      </c>
      <c r="N224" s="15" t="str">
        <f>IFERROR(__xludf.DUMMYFUNCTION("""COMPUTED_VALUE"""),"KONE")</f>
        <v>KONE</v>
      </c>
      <c r="O224" s="15" t="str">
        <f>IFERROR(__xludf.DUMMYFUNCTION("""COMPUTED_VALUE"""),"YES")</f>
        <v>YES</v>
      </c>
      <c r="P224" s="15" t="str">
        <f>IFERROR(__xludf.DUMMYFUNCTION("""COMPUTED_VALUE"""),"NO")</f>
        <v>NO</v>
      </c>
      <c r="Q224" s="15" t="str">
        <f>IFERROR(__xludf.DUMMYFUNCTION("""COMPUTED_VALUE"""),"NO")</f>
        <v>NO</v>
      </c>
      <c r="R224" s="15" t="str">
        <f>IFERROR(__xludf.DUMMYFUNCTION("""COMPUTED_VALUE"""),"39'")</f>
        <v>39'</v>
      </c>
      <c r="S224" s="15">
        <f>IFERROR(__xludf.DUMMYFUNCTION("""COMPUTED_VALUE"""),135.0)</f>
        <v>135</v>
      </c>
      <c r="T224" s="15">
        <f>IFERROR(__xludf.DUMMYFUNCTION("""COMPUTED_VALUE"""),24.0)</f>
        <v>24</v>
      </c>
      <c r="U224" s="15" t="str">
        <f>IFERROR(__xludf.DUMMYFUNCTION("""COMPUTED_VALUE"""),"uptown B/D platform to mezzanine for 147 St &amp; St Nicholas Av exit")</f>
        <v>uptown B/D platform to mezzanine for 147 St &amp; St Nicholas Av exit</v>
      </c>
      <c r="V224" s="15" t="str">
        <f>IFERROR(__xludf.DUMMYFUNCTION("""COMPUTED_VALUE"""),"POINT (-73.94374 40.825314)")</f>
        <v>POINT (-73.94374 40.825314)</v>
      </c>
    </row>
    <row r="225" ht="22.5" customHeight="1">
      <c r="A225" s="7" t="str">
        <f>IFERROR(__xludf.DUMMYFUNCTION("""COMPUTED_VALUE"""),"96 St")</f>
        <v>96 St</v>
      </c>
      <c r="B225" s="8" t="str">
        <f>IFERROR(__xludf.DUMMYFUNCTION("""COMPUTED_VALUE"""),"Broadway-7 Av Line")</f>
        <v>Broadway-7 Av Line</v>
      </c>
      <c r="C225" s="8" t="str">
        <f>IFERROR(__xludf.DUMMYFUNCTION("""COMPUTED_VALUE"""),"Manhattan")</f>
        <v>Manhattan</v>
      </c>
      <c r="D225" s="8" t="str">
        <f>IFERROR(__xludf.DUMMYFUNCTION("""COMPUTED_VALUE"""),"Upper West Side")</f>
        <v>Upper West Side</v>
      </c>
      <c r="E225" s="33">
        <f>IFERROR(__xludf.DUMMYFUNCTION("""COMPUTED_VALUE"""),1762.0)</f>
        <v>1762</v>
      </c>
      <c r="F225" s="8">
        <f>IFERROR(__xludf.DUMMYFUNCTION("""COMPUTED_VALUE"""),8250940.0)</f>
        <v>8250940</v>
      </c>
      <c r="G225" s="19">
        <f>IFERROR(__xludf.DUMMYFUNCTION("""COMPUTED_VALUE"""),26.0)</f>
        <v>26</v>
      </c>
      <c r="H225" s="10" t="str">
        <f>IFERROR(__xludf.DUMMYFUNCTION("""COMPUTED_VALUE"""),"↗️")</f>
        <v>↗️</v>
      </c>
      <c r="I225" s="13">
        <f>IFERROR(__xludf.DUMMYFUNCTION("""COMPUTED_VALUE"""),42736.0)</f>
        <v>42736</v>
      </c>
      <c r="J225" s="32">
        <f>IFERROR(__xludf.DUMMYFUNCTION("""COMPUTED_VALUE"""),42736.0)</f>
        <v>42736</v>
      </c>
      <c r="K225" s="8">
        <f>IFERROR(__xludf.DUMMYFUNCTION("""COMPUTED_VALUE"""),22.0)</f>
        <v>22</v>
      </c>
      <c r="L225" s="15" t="str">
        <f>IFERROR(__xludf.DUMMYFUNCTION("""COMPUTED_VALUE"""),"YES")</f>
        <v>YES</v>
      </c>
      <c r="M225" s="15" t="str">
        <f>IFERROR(__xludf.DUMMYFUNCTION("""COMPUTED_VALUE"""),"NYCT")</f>
        <v>NYCT</v>
      </c>
      <c r="N225" s="15" t="str">
        <f>IFERROR(__xludf.DUMMYFUNCTION("""COMPUTED_VALUE"""),"KONE")</f>
        <v>KONE</v>
      </c>
      <c r="O225" s="15" t="str">
        <f>IFERROR(__xludf.DUMMYFUNCTION("""COMPUTED_VALUE"""),"YES")</f>
        <v>YES</v>
      </c>
      <c r="P225" s="15" t="str">
        <f>IFERROR(__xludf.DUMMYFUNCTION("""COMPUTED_VALUE"""),"YES")</f>
        <v>YES</v>
      </c>
      <c r="Q225" s="15" t="str">
        <f>IFERROR(__xludf.DUMMYFUNCTION("""COMPUTED_VALUE"""),"YES")</f>
        <v>YES</v>
      </c>
      <c r="R225" s="15" t="str">
        <f>IFERROR(__xludf.DUMMYFUNCTION("""COMPUTED_VALUE"""),"8,519mm (27' 11 3/8in)")</f>
        <v>8,519mm (27' 11 3/8in)</v>
      </c>
      <c r="S225" s="15">
        <f>IFERROR(__xludf.DUMMYFUNCTION("""COMPUTED_VALUE"""),111.0)</f>
        <v>111</v>
      </c>
      <c r="T225" s="15" t="str">
        <f>IFERROR(__xludf.DUMMYFUNCTION("""COMPUTED_VALUE"""),"1000 mm (39 3/8in)")</f>
        <v>1000 mm (39 3/8in)</v>
      </c>
      <c r="U225" s="15" t="str">
        <f>IFERROR(__xludf.DUMMYFUNCTION("""COMPUTED_VALUE"""),"mezzanine to 94 St &amp; 2nd Ave (NE corner)")</f>
        <v>mezzanine to 94 St &amp; 2nd Ave (NE corner)</v>
      </c>
      <c r="V225" s="15" t="str">
        <f>IFERROR(__xludf.DUMMYFUNCTION("""COMPUTED_VALUE"""),"POINT (-73.94777 40.782978)")</f>
        <v>POINT (-73.94777 40.782978)</v>
      </c>
    </row>
    <row r="226" ht="22.5" customHeight="1">
      <c r="A226" s="7" t="str">
        <f>IFERROR(__xludf.DUMMYFUNCTION("""COMPUTED_VALUE"""),"Lexington Av/53 St")</f>
        <v>Lexington Av/53 St</v>
      </c>
      <c r="B226" s="8" t="str">
        <f>IFERROR(__xludf.DUMMYFUNCTION("""COMPUTED_VALUE"""),"")</f>
        <v/>
      </c>
      <c r="C226" s="8" t="str">
        <f>IFERROR(__xludf.DUMMYFUNCTION("""COMPUTED_VALUE"""),"")</f>
        <v/>
      </c>
      <c r="D226" s="8" t="str">
        <f>IFERROR(__xludf.DUMMYFUNCTION("""COMPUTED_VALUE"""),"")</f>
        <v/>
      </c>
      <c r="E226" s="33" t="str">
        <f>IFERROR(__xludf.DUMMYFUNCTION("""COMPUTED_VALUE"""),"")</f>
        <v/>
      </c>
      <c r="F226" s="8" t="str">
        <f>IFERROR(__xludf.DUMMYFUNCTION("""COMPUTED_VALUE"""),"")</f>
        <v/>
      </c>
      <c r="G226" s="19" t="str">
        <f>IFERROR(__xludf.DUMMYFUNCTION("""COMPUTED_VALUE"""),"")</f>
        <v/>
      </c>
      <c r="H226" s="10" t="str">
        <f>IFERROR(__xludf.DUMMYFUNCTION("""COMPUTED_VALUE"""),"↗️")</f>
        <v>↗️</v>
      </c>
      <c r="I226" s="13">
        <f>IFERROR(__xludf.DUMMYFUNCTION("""COMPUTED_VALUE"""),23427.0)</f>
        <v>23427</v>
      </c>
      <c r="J226" s="32">
        <f>IFERROR(__xludf.DUMMYFUNCTION("""COMPUTED_VALUE"""),45239.0)</f>
        <v>45239</v>
      </c>
      <c r="K226" s="8">
        <f>IFERROR(__xludf.DUMMYFUNCTION("""COMPUTED_VALUE"""),22.0)</f>
        <v>22</v>
      </c>
      <c r="L226" s="15" t="str">
        <f>IFERROR(__xludf.DUMMYFUNCTION("""COMPUTED_VALUE"""),"YES")</f>
        <v>YES</v>
      </c>
      <c r="M226" s="15" t="str">
        <f>IFERROR(__xludf.DUMMYFUNCTION("""COMPUTED_VALUE"""),"NYCT")</f>
        <v>NYCT</v>
      </c>
      <c r="N226" s="15" t="str">
        <f>IFERROR(__xludf.DUMMYFUNCTION("""COMPUTED_VALUE"""),"OK")</f>
        <v>OK</v>
      </c>
      <c r="O226" s="15" t="str">
        <f>IFERROR(__xludf.DUMMYFUNCTION("""COMPUTED_VALUE"""),"YES")</f>
        <v>YES</v>
      </c>
      <c r="P226" s="15" t="str">
        <f>IFERROR(__xludf.DUMMYFUNCTION("""COMPUTED_VALUE"""),"NO")</f>
        <v>NO</v>
      </c>
      <c r="Q226" s="15" t="str">
        <f>IFERROR(__xludf.DUMMYFUNCTION("""COMPUTED_VALUE"""),"NO")</f>
        <v>NO</v>
      </c>
      <c r="R226" s="15" t="str">
        <f>IFERROR(__xludf.DUMMYFUNCTION("""COMPUTED_VALUE"""),"53'")</f>
        <v>53'</v>
      </c>
      <c r="S226" s="15">
        <f>IFERROR(__xludf.DUMMYFUNCTION("""COMPUTED_VALUE"""),185.0)</f>
        <v>185</v>
      </c>
      <c r="T226" s="15">
        <f>IFERROR(__xludf.DUMMYFUNCTION("""COMPUTED_VALUE"""),40.0)</f>
        <v>40</v>
      </c>
      <c r="U226" s="15" t="str">
        <f>IFERROR(__xludf.DUMMYFUNCTION("""COMPUTED_VALUE"""),"E/F platform to mezzanine for 53 St &amp; 3rd Av exit.")</f>
        <v>E/F platform to mezzanine for 53 St &amp; 3rd Av exit.</v>
      </c>
      <c r="V226" s="15" t="str">
        <f>IFERROR(__xludf.DUMMYFUNCTION("""COMPUTED_VALUE"""),"POINT (-73.96899 40.75753)")</f>
        <v>POINT (-73.96899 40.75753)</v>
      </c>
    </row>
    <row r="227" ht="22.5" customHeight="1">
      <c r="A227" s="7" t="str">
        <f>IFERROR(__xludf.DUMMYFUNCTION("""COMPUTED_VALUE"""),"5 Av/53 St")</f>
        <v>5 Av/53 St</v>
      </c>
      <c r="B227" s="8" t="str">
        <f>IFERROR(__xludf.DUMMYFUNCTION("""COMPUTED_VALUE"""),"Queens Blvd Line")</f>
        <v>Queens Blvd Line</v>
      </c>
      <c r="C227" s="8" t="str">
        <f>IFERROR(__xludf.DUMMYFUNCTION("""COMPUTED_VALUE"""),"Manhattan")</f>
        <v>Manhattan</v>
      </c>
      <c r="D227" s="8" t="str">
        <f>IFERROR(__xludf.DUMMYFUNCTION("""COMPUTED_VALUE"""),"Midtown")</f>
        <v>Midtown</v>
      </c>
      <c r="E227" s="33">
        <f>IFERROR(__xludf.DUMMYFUNCTION("""COMPUTED_VALUE"""),12359.0)</f>
        <v>12359</v>
      </c>
      <c r="F227" s="10">
        <f>IFERROR(__xludf.DUMMYFUNCTION("""COMPUTED_VALUE"""),4590651.0)</f>
        <v>4590651</v>
      </c>
      <c r="G227" s="19">
        <f>IFERROR(__xludf.DUMMYFUNCTION("""COMPUTED_VALUE"""),64.0)</f>
        <v>64</v>
      </c>
      <c r="H227" s="10" t="str">
        <f>IFERROR(__xludf.DUMMYFUNCTION("""COMPUTED_VALUE"""),"↗️")</f>
        <v>↗️</v>
      </c>
      <c r="I227" s="13">
        <f>IFERROR(__xludf.DUMMYFUNCTION("""COMPUTED_VALUE"""),22087.0)</f>
        <v>22087</v>
      </c>
      <c r="J227" s="32">
        <f>IFERROR(__xludf.DUMMYFUNCTION("""COMPUTED_VALUE"""),45744.0)</f>
        <v>45744</v>
      </c>
      <c r="K227" s="8">
        <f>IFERROR(__xludf.DUMMYFUNCTION("""COMPUTED_VALUE"""),22.0)</f>
        <v>22</v>
      </c>
      <c r="L227" s="15" t="str">
        <f>IFERROR(__xludf.DUMMYFUNCTION("""COMPUTED_VALUE"""),"YES")</f>
        <v>YES</v>
      </c>
      <c r="M227" s="15" t="str">
        <f>IFERROR(__xludf.DUMMYFUNCTION("""COMPUTED_VALUE"""),"NYCT")</f>
        <v>NYCT</v>
      </c>
      <c r="N227" s="15" t="str">
        <f>IFERROR(__xludf.DUMMYFUNCTION("""COMPUTED_VALUE"""),"KONE")</f>
        <v>KONE</v>
      </c>
      <c r="O227" s="15" t="str">
        <f>IFERROR(__xludf.DUMMYFUNCTION("""COMPUTED_VALUE"""),"YES")</f>
        <v>YES</v>
      </c>
      <c r="P227" s="15" t="str">
        <f>IFERROR(__xludf.DUMMYFUNCTION("""COMPUTED_VALUE"""),"NO")</f>
        <v>NO</v>
      </c>
      <c r="Q227" s="15" t="str">
        <f>IFERROR(__xludf.DUMMYFUNCTION("""COMPUTED_VALUE"""),"NO")</f>
        <v>NO</v>
      </c>
      <c r="R227" s="15" t="str">
        <f>IFERROR(__xludf.DUMMYFUNCTION("""COMPUTED_VALUE"""),"48'")</f>
        <v>48'</v>
      </c>
      <c r="S227" s="15">
        <f>IFERROR(__xludf.DUMMYFUNCTION("""COMPUTED_VALUE"""),166.0)</f>
        <v>166</v>
      </c>
      <c r="T227" s="15">
        <f>IFERROR(__xludf.DUMMYFUNCTION("""COMPUTED_VALUE"""),40.0)</f>
        <v>40</v>
      </c>
      <c r="U227" s="15" t="str">
        <f>IFERROR(__xludf.DUMMYFUNCTION("""COMPUTED_VALUE"""),"mezzanine (5th Ave &amp; 53 St) to downtown platform")</f>
        <v>mezzanine (5th Ave &amp; 53 St) to downtown platform</v>
      </c>
      <c r="V227" s="15" t="str">
        <f>IFERROR(__xludf.DUMMYFUNCTION("""COMPUTED_VALUE"""),"POINT (-73.976295 40.760567)")</f>
        <v>POINT (-73.976295 40.760567)</v>
      </c>
    </row>
    <row r="228" ht="22.5" customHeight="1">
      <c r="A228" s="7" t="str">
        <f>IFERROR(__xludf.DUMMYFUNCTION("""COMPUTED_VALUE"""),"Court St")</f>
        <v>Court St</v>
      </c>
      <c r="B228" s="8" t="str">
        <f>IFERROR(__xludf.DUMMYFUNCTION("""COMPUTED_VALUE"""),"")</f>
        <v/>
      </c>
      <c r="C228" s="8" t="str">
        <f>IFERROR(__xludf.DUMMYFUNCTION("""COMPUTED_VALUE"""),"")</f>
        <v/>
      </c>
      <c r="D228" s="8" t="str">
        <f>IFERROR(__xludf.DUMMYFUNCTION("""COMPUTED_VALUE"""),"")</f>
        <v/>
      </c>
      <c r="E228" s="33" t="str">
        <f>IFERROR(__xludf.DUMMYFUNCTION("""COMPUTED_VALUE"""),"")</f>
        <v/>
      </c>
      <c r="F228" s="8" t="str">
        <f>IFERROR(__xludf.DUMMYFUNCTION("""COMPUTED_VALUE"""),"")</f>
        <v/>
      </c>
      <c r="G228" s="19" t="str">
        <f>IFERROR(__xludf.DUMMYFUNCTION("""COMPUTED_VALUE"""),"")</f>
        <v/>
      </c>
      <c r="H228" s="10" t="str">
        <f>IFERROR(__xludf.DUMMYFUNCTION("""COMPUTED_VALUE"""),"↗️")</f>
        <v>↗️</v>
      </c>
      <c r="I228" s="13">
        <f>IFERROR(__xludf.DUMMYFUNCTION("""COMPUTED_VALUE"""),11273.0)</f>
        <v>11273</v>
      </c>
      <c r="J228" s="32">
        <f>IFERROR(__xludf.DUMMYFUNCTION("""COMPUTED_VALUE"""),37819.0)</f>
        <v>37819</v>
      </c>
      <c r="K228" s="8">
        <f>IFERROR(__xludf.DUMMYFUNCTION("""COMPUTED_VALUE"""),22.0)</f>
        <v>22</v>
      </c>
      <c r="L228" s="15" t="str">
        <f>IFERROR(__xludf.DUMMYFUNCTION("""COMPUTED_VALUE"""),"YES")</f>
        <v>YES</v>
      </c>
      <c r="M228" s="15" t="str">
        <f>IFERROR(__xludf.DUMMYFUNCTION("""COMPUTED_VALUE"""),"NYCT")</f>
        <v>NYCT</v>
      </c>
      <c r="N228" s="15" t="str">
        <f>IFERROR(__xludf.DUMMYFUNCTION("""COMPUTED_VALUE"""),"FUJITEC")</f>
        <v>FUJITEC</v>
      </c>
      <c r="O228" s="15" t="str">
        <f>IFERROR(__xludf.DUMMYFUNCTION("""COMPUTED_VALUE"""),"YES")</f>
        <v>YES</v>
      </c>
      <c r="P228" s="15" t="str">
        <f>IFERROR(__xludf.DUMMYFUNCTION("""COMPUTED_VALUE"""),"NO")</f>
        <v>NO</v>
      </c>
      <c r="Q228" s="15" t="str">
        <f>IFERROR(__xludf.DUMMYFUNCTION("""COMPUTED_VALUE"""),"NO")</f>
        <v>NO</v>
      </c>
      <c r="R228" s="15" t="str">
        <f>IFERROR(__xludf.DUMMYFUNCTION("""COMPUTED_VALUE"""),"22'")</f>
        <v>22'</v>
      </c>
      <c r="S228" s="15">
        <f>IFERROR(__xludf.DUMMYFUNCTION("""COMPUTED_VALUE"""),78.0)</f>
        <v>78</v>
      </c>
      <c r="T228" s="15">
        <f>IFERROR(__xludf.DUMMYFUNCTION("""COMPUTED_VALUE"""),40.0)</f>
        <v>40</v>
      </c>
      <c r="U228" s="15" t="str">
        <f>IFERROR(__xludf.DUMMYFUNCTION("""COMPUTED_VALUE"""),"R lower mezzanine to mezzanine for Court St &amp; Montague St exit and 2/3/4/5 service")</f>
        <v>R lower mezzanine to mezzanine for Court St &amp; Montague St exit and 2/3/4/5 service</v>
      </c>
      <c r="V228" s="15" t="str">
        <f>IFERROR(__xludf.DUMMYFUNCTION("""COMPUTED_VALUE"""),"POINT (-73.99119 40.69391)")</f>
        <v>POINT (-73.99119 40.69391)</v>
      </c>
    </row>
    <row r="229" ht="22.5" customHeight="1">
      <c r="A229" s="7" t="str">
        <f>IFERROR(__xludf.DUMMYFUNCTION("""COMPUTED_VALUE"""),"Pelham Pkwy")</f>
        <v>Pelham Pkwy</v>
      </c>
      <c r="B229" s="8" t="str">
        <f>IFERROR(__xludf.DUMMYFUNCTION("""COMPUTED_VALUE"""),"White Plains Rd Line")</f>
        <v>White Plains Rd Line</v>
      </c>
      <c r="C229" s="8" t="str">
        <f>IFERROR(__xludf.DUMMYFUNCTION("""COMPUTED_VALUE"""),"The Bronx")</f>
        <v>The Bronx</v>
      </c>
      <c r="D229" s="8" t="str">
        <f>IFERROR(__xludf.DUMMYFUNCTION("""COMPUTED_VALUE"""),"Pelham Parkway")</f>
        <v>Pelham Parkway</v>
      </c>
      <c r="E229" s="33">
        <f>IFERROR(__xludf.DUMMYFUNCTION("""COMPUTED_VALUE"""),6272.0)</f>
        <v>6272</v>
      </c>
      <c r="F229" s="8">
        <f>IFERROR(__xludf.DUMMYFUNCTION("""COMPUTED_VALUE"""),1514724.0)</f>
        <v>1514724</v>
      </c>
      <c r="G229" s="19">
        <f>IFERROR(__xludf.DUMMYFUNCTION("""COMPUTED_VALUE"""),212.0)</f>
        <v>212</v>
      </c>
      <c r="H229" s="10" t="str">
        <f>IFERROR(__xludf.DUMMYFUNCTION("""COMPUTED_VALUE"""),"↗️")</f>
        <v>↗️</v>
      </c>
      <c r="I229" s="13">
        <f>IFERROR(__xludf.DUMMYFUNCTION("""COMPUTED_VALUE"""),35247.0)</f>
        <v>35247</v>
      </c>
      <c r="J229" s="32">
        <f>IFERROR(__xludf.DUMMYFUNCTION("""COMPUTED_VALUE"""),44991.0)</f>
        <v>44991</v>
      </c>
      <c r="K229" s="8">
        <f>IFERROR(__xludf.DUMMYFUNCTION("""COMPUTED_VALUE"""),22.0)</f>
        <v>22</v>
      </c>
      <c r="L229" s="15" t="str">
        <f>IFERROR(__xludf.DUMMYFUNCTION("""COMPUTED_VALUE"""),"YES")</f>
        <v>YES</v>
      </c>
      <c r="M229" s="15" t="str">
        <f>IFERROR(__xludf.DUMMYFUNCTION("""COMPUTED_VALUE"""),"NYCT")</f>
        <v>NYCT</v>
      </c>
      <c r="N229" s="15" t="str">
        <f>IFERROR(__xludf.DUMMYFUNCTION("""COMPUTED_VALUE"""),"KONE")</f>
        <v>KONE</v>
      </c>
      <c r="O229" s="15" t="str">
        <f>IFERROR(__xludf.DUMMYFUNCTION("""COMPUTED_VALUE"""),"YES")</f>
        <v>YES</v>
      </c>
      <c r="P229" s="15" t="str">
        <f>IFERROR(__xludf.DUMMYFUNCTION("""COMPUTED_VALUE"""),"YES")</f>
        <v>YES</v>
      </c>
      <c r="Q229" s="15" t="str">
        <f>IFERROR(__xludf.DUMMYFUNCTION("""COMPUTED_VALUE"""),"YES")</f>
        <v>YES</v>
      </c>
      <c r="R229" s="15" t="str">
        <f>IFERROR(__xludf.DUMMYFUNCTION("""COMPUTED_VALUE"""),"5080 mm (16'-8in)")</f>
        <v>5080 mm (16'-8in)</v>
      </c>
      <c r="S229" s="15">
        <f>IFERROR(__xludf.DUMMYFUNCTION("""COMPUTED_VALUE"""),94.0)</f>
        <v>94</v>
      </c>
      <c r="T229" s="15" t="str">
        <f>IFERROR(__xludf.DUMMYFUNCTION("""COMPUTED_VALUE"""),"1000 mm (40in NOMINAL)")</f>
        <v>1000 mm (40in NOMINAL)</v>
      </c>
      <c r="U229" s="15" t="str">
        <f>IFERROR(__xludf.DUMMYFUNCTION("""COMPUTED_VALUE"""),"Pelham Parkway South &amp; White Plains Rd (SE corner) to mezzanine")</f>
        <v>Pelham Parkway South &amp; White Plains Rd (SE corner) to mezzanine</v>
      </c>
      <c r="V229" s="15" t="str">
        <f>IFERROR(__xludf.DUMMYFUNCTION("""COMPUTED_VALUE"""),"POINT (-73.86752 40.85639)")</f>
        <v>POINT (-73.86752 40.85639)</v>
      </c>
    </row>
    <row r="230" ht="22.5" customHeight="1">
      <c r="A230" s="7" t="str">
        <f>IFERROR(__xludf.DUMMYFUNCTION("""COMPUTED_VALUE"""),"Borough Hall")</f>
        <v>Borough Hall</v>
      </c>
      <c r="B230" s="8" t="str">
        <f>IFERROR(__xludf.DUMMYFUNCTION("""COMPUTED_VALUE"""),"")</f>
        <v/>
      </c>
      <c r="C230" s="8" t="str">
        <f>IFERROR(__xludf.DUMMYFUNCTION("""COMPUTED_VALUE"""),"")</f>
        <v/>
      </c>
      <c r="D230" s="8" t="str">
        <f>IFERROR(__xludf.DUMMYFUNCTION("""COMPUTED_VALUE"""),"")</f>
        <v/>
      </c>
      <c r="E230" s="33" t="str">
        <f>IFERROR(__xludf.DUMMYFUNCTION("""COMPUTED_VALUE"""),"")</f>
        <v/>
      </c>
      <c r="F230" s="10" t="str">
        <f>IFERROR(__xludf.DUMMYFUNCTION("""COMPUTED_VALUE"""),"")</f>
        <v/>
      </c>
      <c r="G230" s="19" t="str">
        <f>IFERROR(__xludf.DUMMYFUNCTION("""COMPUTED_VALUE"""),"")</f>
        <v/>
      </c>
      <c r="H230" s="10" t="str">
        <f>IFERROR(__xludf.DUMMYFUNCTION("""COMPUTED_VALUE"""),"↗️")</f>
        <v>↗️</v>
      </c>
      <c r="I230" s="13">
        <f>IFERROR(__xludf.DUMMYFUNCTION("""COMPUTED_VALUE"""),8591.0)</f>
        <v>8591</v>
      </c>
      <c r="J230" s="32">
        <f>IFERROR(__xludf.DUMMYFUNCTION("""COMPUTED_VALUE"""),37869.0)</f>
        <v>37869</v>
      </c>
      <c r="K230" s="8">
        <f>IFERROR(__xludf.DUMMYFUNCTION("""COMPUTED_VALUE"""),22.0)</f>
        <v>22</v>
      </c>
      <c r="L230" s="15" t="str">
        <f>IFERROR(__xludf.DUMMYFUNCTION("""COMPUTED_VALUE"""),"YES")</f>
        <v>YES</v>
      </c>
      <c r="M230" s="15" t="str">
        <f>IFERROR(__xludf.DUMMYFUNCTION("""COMPUTED_VALUE"""),"NYCT")</f>
        <v>NYCT</v>
      </c>
      <c r="N230" s="15" t="str">
        <f>IFERROR(__xludf.DUMMYFUNCTION("""COMPUTED_VALUE"""),"FUJITEC")</f>
        <v>FUJITEC</v>
      </c>
      <c r="O230" s="15" t="str">
        <f>IFERROR(__xludf.DUMMYFUNCTION("""COMPUTED_VALUE"""),"YES")</f>
        <v>YES</v>
      </c>
      <c r="P230" s="15" t="str">
        <f>IFERROR(__xludf.DUMMYFUNCTION("""COMPUTED_VALUE"""),"NO")</f>
        <v>NO</v>
      </c>
      <c r="Q230" s="15" t="str">
        <f>IFERROR(__xludf.DUMMYFUNCTION("""COMPUTED_VALUE"""),"NO")</f>
        <v>NO</v>
      </c>
      <c r="R230" s="15" t="str">
        <f>IFERROR(__xludf.DUMMYFUNCTION("""COMPUTED_VALUE"""),"29'")</f>
        <v>29'</v>
      </c>
      <c r="S230" s="15">
        <f>IFERROR(__xludf.DUMMYFUNCTION("""COMPUTED_VALUE"""),104.0)</f>
        <v>104</v>
      </c>
      <c r="T230" s="15">
        <f>IFERROR(__xludf.DUMMYFUNCTION("""COMPUTED_VALUE"""),40.0)</f>
        <v>40</v>
      </c>
      <c r="U230" s="15" t="str">
        <f>IFERROR(__xludf.DUMMYFUNCTION("""COMPUTED_VALUE"""),"Brooklyn-bound 2/3 platform to mezzanine for Court St &amp; Montague St exit and R service")</f>
        <v>Brooklyn-bound 2/3 platform to mezzanine for Court St &amp; Montague St exit and R service</v>
      </c>
      <c r="V230" s="15" t="str">
        <f>IFERROR(__xludf.DUMMYFUNCTION("""COMPUTED_VALUE"""),"POINT (-73.99026 40.693752)")</f>
        <v>POINT (-73.99026 40.693752)</v>
      </c>
    </row>
    <row r="231" ht="22.5" customHeight="1">
      <c r="A231" s="7" t="str">
        <f>IFERROR(__xludf.DUMMYFUNCTION("""COMPUTED_VALUE"""),"Lexington Av/63 St")</f>
        <v>Lexington Av/63 St</v>
      </c>
      <c r="B231" s="8" t="str">
        <f>IFERROR(__xludf.DUMMYFUNCTION("""COMPUTED_VALUE"""),"")</f>
        <v/>
      </c>
      <c r="C231" s="8" t="str">
        <f>IFERROR(__xludf.DUMMYFUNCTION("""COMPUTED_VALUE"""),"")</f>
        <v/>
      </c>
      <c r="D231" s="8" t="str">
        <f>IFERROR(__xludf.DUMMYFUNCTION("""COMPUTED_VALUE"""),"")</f>
        <v/>
      </c>
      <c r="E231" s="33" t="str">
        <f>IFERROR(__xludf.DUMMYFUNCTION("""COMPUTED_VALUE"""),"")</f>
        <v/>
      </c>
      <c r="F231" s="8" t="str">
        <f>IFERROR(__xludf.DUMMYFUNCTION("""COMPUTED_VALUE"""),"")</f>
        <v/>
      </c>
      <c r="G231" s="19" t="str">
        <f>IFERROR(__xludf.DUMMYFUNCTION("""COMPUTED_VALUE"""),"")</f>
        <v/>
      </c>
      <c r="H231" s="10" t="str">
        <f>IFERROR(__xludf.DUMMYFUNCTION("""COMPUTED_VALUE"""),"↗️")</f>
        <v>↗️</v>
      </c>
      <c r="I231" s="13">
        <f>IFERROR(__xludf.DUMMYFUNCTION("""COMPUTED_VALUE"""),32782.0)</f>
        <v>32782</v>
      </c>
      <c r="J231" s="32">
        <f>IFERROR(__xludf.DUMMYFUNCTION("""COMPUTED_VALUE"""),46045.0)</f>
        <v>46045</v>
      </c>
      <c r="K231" s="8">
        <f>IFERROR(__xludf.DUMMYFUNCTION("""COMPUTED_VALUE"""),22.0)</f>
        <v>22</v>
      </c>
      <c r="L231" s="15" t="str">
        <f>IFERROR(__xludf.DUMMYFUNCTION("""COMPUTED_VALUE"""),"YES")</f>
        <v>YES</v>
      </c>
      <c r="M231" s="15" t="str">
        <f>IFERROR(__xludf.DUMMYFUNCTION("""COMPUTED_VALUE"""),"NYCT")</f>
        <v>NYCT</v>
      </c>
      <c r="N231" s="15" t="str">
        <f>IFERROR(__xludf.DUMMYFUNCTION("""COMPUTED_VALUE"""),"KONE")</f>
        <v>KONE</v>
      </c>
      <c r="O231" s="15" t="str">
        <f>IFERROR(__xludf.DUMMYFUNCTION("""COMPUTED_VALUE"""),"YES")</f>
        <v>YES</v>
      </c>
      <c r="P231" s="15" t="str">
        <f>IFERROR(__xludf.DUMMYFUNCTION("""COMPUTED_VALUE"""),"YES")</f>
        <v>YES</v>
      </c>
      <c r="Q231" s="15" t="str">
        <f>IFERROR(__xludf.DUMMYFUNCTION("""COMPUTED_VALUE"""),"YES")</f>
        <v>YES</v>
      </c>
      <c r="R231" s="15" t="str">
        <f>IFERROR(__xludf.DUMMYFUNCTION("""COMPUTED_VALUE"""),"26'")</f>
        <v>26'</v>
      </c>
      <c r="S231" s="15">
        <f>IFERROR(__xludf.DUMMYFUNCTION("""COMPUTED_VALUE"""),91.0)</f>
        <v>91</v>
      </c>
      <c r="T231" s="15">
        <f>IFERROR(__xludf.DUMMYFUNCTION("""COMPUTED_VALUE"""),40.0)</f>
        <v>40</v>
      </c>
      <c r="U231" s="15" t="str">
        <f>IFERROR(__xludf.DUMMYFUNCTION("""COMPUTED_VALUE"""),"upper mezzanine to Lexington Ave &amp; 63 St (NW corner)")</f>
        <v>upper mezzanine to Lexington Ave &amp; 63 St (NW corner)</v>
      </c>
      <c r="V231" s="15" t="str">
        <f>IFERROR(__xludf.DUMMYFUNCTION("""COMPUTED_VALUE"""),"POINT (-73.96654 40.764946)")</f>
        <v>POINT (-73.96654 40.764946)</v>
      </c>
    </row>
    <row r="232" ht="22.5" customHeight="1">
      <c r="A232" s="7" t="str">
        <f>IFERROR(__xludf.DUMMYFUNCTION("""COMPUTED_VALUE"""),"Lexington Av/53 St")</f>
        <v>Lexington Av/53 St</v>
      </c>
      <c r="B232" s="8" t="str">
        <f>IFERROR(__xludf.DUMMYFUNCTION("""COMPUTED_VALUE"""),"")</f>
        <v/>
      </c>
      <c r="C232" s="8" t="str">
        <f>IFERROR(__xludf.DUMMYFUNCTION("""COMPUTED_VALUE"""),"")</f>
        <v/>
      </c>
      <c r="D232" s="8" t="str">
        <f>IFERROR(__xludf.DUMMYFUNCTION("""COMPUTED_VALUE"""),"")</f>
        <v/>
      </c>
      <c r="E232" s="33" t="str">
        <f>IFERROR(__xludf.DUMMYFUNCTION("""COMPUTED_VALUE"""),"")</f>
        <v/>
      </c>
      <c r="F232" s="8" t="str">
        <f>IFERROR(__xludf.DUMMYFUNCTION("""COMPUTED_VALUE"""),"")</f>
        <v/>
      </c>
      <c r="G232" s="19" t="str">
        <f>IFERROR(__xludf.DUMMYFUNCTION("""COMPUTED_VALUE"""),"")</f>
        <v/>
      </c>
      <c r="H232" s="10" t="str">
        <f>IFERROR(__xludf.DUMMYFUNCTION("""COMPUTED_VALUE"""),"↗️")</f>
        <v>↗️</v>
      </c>
      <c r="I232" s="13">
        <f>IFERROR(__xludf.DUMMYFUNCTION("""COMPUTED_VALUE"""),23268.0)</f>
        <v>23268</v>
      </c>
      <c r="J232" s="32">
        <f>IFERROR(__xludf.DUMMYFUNCTION("""COMPUTED_VALUE"""),45883.0)</f>
        <v>45883</v>
      </c>
      <c r="K232" s="8">
        <f>IFERROR(__xludf.DUMMYFUNCTION("""COMPUTED_VALUE"""),22.0)</f>
        <v>22</v>
      </c>
      <c r="L232" s="15" t="str">
        <f>IFERROR(__xludf.DUMMYFUNCTION("""COMPUTED_VALUE"""),"YES")</f>
        <v>YES</v>
      </c>
      <c r="M232" s="15" t="str">
        <f>IFERROR(__xludf.DUMMYFUNCTION("""COMPUTED_VALUE"""),"NYCT")</f>
        <v>NYCT</v>
      </c>
      <c r="N232" s="15" t="str">
        <f>IFERROR(__xludf.DUMMYFUNCTION("""COMPUTED_VALUE"""),"KONE")</f>
        <v>KONE</v>
      </c>
      <c r="O232" s="15" t="str">
        <f>IFERROR(__xludf.DUMMYFUNCTION("""COMPUTED_VALUE"""),"YES")</f>
        <v>YES</v>
      </c>
      <c r="P232" s="15" t="str">
        <f>IFERROR(__xludf.DUMMYFUNCTION("""COMPUTED_VALUE"""),"NO")</f>
        <v>NO</v>
      </c>
      <c r="Q232" s="15" t="str">
        <f>IFERROR(__xludf.DUMMYFUNCTION("""COMPUTED_VALUE"""),"NO")</f>
        <v>NO</v>
      </c>
      <c r="R232" s="15" t="str">
        <f>IFERROR(__xludf.DUMMYFUNCTION("""COMPUTED_VALUE"""),"56' - 2/25in")</f>
        <v>56' - 2/25in</v>
      </c>
      <c r="S232" s="15">
        <f>IFERROR(__xludf.DUMMYFUNCTION("""COMPUTED_VALUE"""),217.0)</f>
        <v>217</v>
      </c>
      <c r="T232" s="15">
        <f>IFERROR(__xludf.DUMMYFUNCTION("""COMPUTED_VALUE"""),40.0)</f>
        <v>40</v>
      </c>
      <c r="U232" s="15" t="str">
        <f>IFERROR(__xludf.DUMMYFUNCTION("""COMPUTED_VALUE"""),"E/F platform to mezzanine for 6 service and 53 St &amp; Lexington Ave exit")</f>
        <v>E/F platform to mezzanine for 6 service and 53 St &amp; Lexington Ave exit</v>
      </c>
      <c r="V232" s="15" t="str">
        <f>IFERROR(__xludf.DUMMYFUNCTION("""COMPUTED_VALUE"""),"POINT (-73.97041 40.758137)")</f>
        <v>POINT (-73.97041 40.758137)</v>
      </c>
    </row>
    <row r="233" ht="22.5" customHeight="1">
      <c r="A233" s="7" t="str">
        <f>IFERROR(__xludf.DUMMYFUNCTION("""COMPUTED_VALUE"""),"86 St")</f>
        <v>86 St</v>
      </c>
      <c r="B233" s="8" t="str">
        <f>IFERROR(__xludf.DUMMYFUNCTION("""COMPUTED_VALUE"""),"4 Av Line")</f>
        <v>4 Av Line</v>
      </c>
      <c r="C233" s="8" t="str">
        <f>IFERROR(__xludf.DUMMYFUNCTION("""COMPUTED_VALUE"""),"Brooklyn")</f>
        <v>Brooklyn</v>
      </c>
      <c r="D233" s="8" t="str">
        <f>IFERROR(__xludf.DUMMYFUNCTION("""COMPUTED_VALUE"""),"Bay Ridge")</f>
        <v>Bay Ridge</v>
      </c>
      <c r="E233" s="33">
        <f>IFERROR(__xludf.DUMMYFUNCTION("""COMPUTED_VALUE"""),5859.0)</f>
        <v>5859</v>
      </c>
      <c r="F233" s="8">
        <f>IFERROR(__xludf.DUMMYFUNCTION("""COMPUTED_VALUE"""),2580130.0)</f>
        <v>2580130</v>
      </c>
      <c r="G233" s="19">
        <f>IFERROR(__xludf.DUMMYFUNCTION("""COMPUTED_VALUE"""),135.0)</f>
        <v>135</v>
      </c>
      <c r="H233" s="10" t="str">
        <f>IFERROR(__xludf.DUMMYFUNCTION("""COMPUTED_VALUE"""),"↗️")</f>
        <v>↗️</v>
      </c>
      <c r="I233" s="13">
        <f>IFERROR(__xludf.DUMMYFUNCTION("""COMPUTED_VALUE"""),42736.0)</f>
        <v>42736</v>
      </c>
      <c r="J233" s="32">
        <f>IFERROR(__xludf.DUMMYFUNCTION("""COMPUTED_VALUE"""),42736.0)</f>
        <v>42736</v>
      </c>
      <c r="K233" s="8">
        <f>IFERROR(__xludf.DUMMYFUNCTION("""COMPUTED_VALUE"""),22.0)</f>
        <v>22</v>
      </c>
      <c r="L233" s="15" t="str">
        <f>IFERROR(__xludf.DUMMYFUNCTION("""COMPUTED_VALUE"""),"YES")</f>
        <v>YES</v>
      </c>
      <c r="M233" s="15" t="str">
        <f>IFERROR(__xludf.DUMMYFUNCTION("""COMPUTED_VALUE"""),"NYCT")</f>
        <v>NYCT</v>
      </c>
      <c r="N233" s="15" t="str">
        <f>IFERROR(__xludf.DUMMYFUNCTION("""COMPUTED_VALUE"""),"KONE")</f>
        <v>KONE</v>
      </c>
      <c r="O233" s="15" t="str">
        <f>IFERROR(__xludf.DUMMYFUNCTION("""COMPUTED_VALUE"""),"YES")</f>
        <v>YES</v>
      </c>
      <c r="P233" s="15" t="str">
        <f>IFERROR(__xludf.DUMMYFUNCTION("""COMPUTED_VALUE"""),"YES")</f>
        <v>YES</v>
      </c>
      <c r="Q233" s="15" t="str">
        <f>IFERROR(__xludf.DUMMYFUNCTION("""COMPUTED_VALUE"""),"YES")</f>
        <v>YES</v>
      </c>
      <c r="R233" s="15" t="str">
        <f>IFERROR(__xludf.DUMMYFUNCTION("""COMPUTED_VALUE"""),"13719 mm (45' 0 1/8in)")</f>
        <v>13719 mm (45' 0 1/8in)</v>
      </c>
      <c r="S233" s="15">
        <f>IFERROR(__xludf.DUMMYFUNCTION("""COMPUTED_VALUE"""),164.0)</f>
        <v>164</v>
      </c>
      <c r="T233" s="15" t="str">
        <f>IFERROR(__xludf.DUMMYFUNCTION("""COMPUTED_VALUE"""),"40in (NOMINAL), 996 mm")</f>
        <v>40in (NOMINAL), 996 mm</v>
      </c>
      <c r="U233" s="15" t="str">
        <f>IFERROR(__xludf.DUMMYFUNCTION("""COMPUTED_VALUE"""),"upper mezzanine (86 St &amp; 2nd Ave) to lower mezzanine")</f>
        <v>upper mezzanine (86 St &amp; 2nd Ave) to lower mezzanine</v>
      </c>
      <c r="V233" s="15" t="str">
        <f>IFERROR(__xludf.DUMMYFUNCTION("""COMPUTED_VALUE"""),"POINT (-73.951416 40.777653)")</f>
        <v>POINT (-73.951416 40.777653)</v>
      </c>
    </row>
    <row r="234" ht="22.5" customHeight="1">
      <c r="A234" s="7" t="str">
        <f>IFERROR(__xludf.DUMMYFUNCTION("""COMPUTED_VALUE"""),"Grand Central-42 St")</f>
        <v>Grand Central-42 St</v>
      </c>
      <c r="B234" s="8" t="str">
        <f>IFERROR(__xludf.DUMMYFUNCTION("""COMPUTED_VALUE"""),"42nd St Line")</f>
        <v>42nd St Line</v>
      </c>
      <c r="C234" s="8" t="str">
        <f>IFERROR(__xludf.DUMMYFUNCTION("""COMPUTED_VALUE"""),"Manhattan")</f>
        <v>Manhattan</v>
      </c>
      <c r="D234" s="8" t="str">
        <f>IFERROR(__xludf.DUMMYFUNCTION("""COMPUTED_VALUE"""),"Midtown")</f>
        <v>Midtown</v>
      </c>
      <c r="E234" s="33">
        <f>IFERROR(__xludf.DUMMYFUNCTION("""COMPUTED_VALUE"""),1762.0)</f>
        <v>1762</v>
      </c>
      <c r="F234" s="10">
        <f>IFERROR(__xludf.DUMMYFUNCTION("""COMPUTED_VALUE"""),3.3496874E7)</f>
        <v>33496874</v>
      </c>
      <c r="G234" s="19">
        <f>IFERROR(__xludf.DUMMYFUNCTION("""COMPUTED_VALUE"""),2.0)</f>
        <v>2</v>
      </c>
      <c r="H234" s="10" t="str">
        <f>IFERROR(__xludf.DUMMYFUNCTION("""COMPUTED_VALUE"""),"↗️")</f>
        <v>↗️</v>
      </c>
      <c r="I234" s="13">
        <f>IFERROR(__xludf.DUMMYFUNCTION("""COMPUTED_VALUE"""),44174.0)</f>
        <v>44174</v>
      </c>
      <c r="J234" s="32">
        <f>IFERROR(__xludf.DUMMYFUNCTION("""COMPUTED_VALUE"""),44174.0)</f>
        <v>44174</v>
      </c>
      <c r="K234" s="8">
        <f>IFERROR(__xludf.DUMMYFUNCTION("""COMPUTED_VALUE"""),22.0)</f>
        <v>22</v>
      </c>
      <c r="L234" s="15" t="str">
        <f>IFERROR(__xludf.DUMMYFUNCTION("""COMPUTED_VALUE"""),"NO")</f>
        <v>NO</v>
      </c>
      <c r="M234" s="15" t="str">
        <f>IFERROR(__xludf.DUMMYFUNCTION("""COMPUTED_VALUE"""),"Private Contractor")</f>
        <v>Private Contractor</v>
      </c>
      <c r="N234" s="15"/>
      <c r="O234" s="15" t="str">
        <f>IFERROR(__xludf.DUMMYFUNCTION("""COMPUTED_VALUE"""),"YES")</f>
        <v>YES</v>
      </c>
      <c r="P234" s="15"/>
      <c r="Q234" s="15"/>
      <c r="R234" s="15"/>
      <c r="S234" s="15"/>
      <c r="T234" s="15"/>
      <c r="U234" s="15" t="str">
        <f>IFERROR(__xludf.DUMMYFUNCTION("""COMPUTED_VALUE"""),"42 St and Vanderbilt Ave (NE corner) to platform level for Shuttle service.")</f>
        <v>42 St and Vanderbilt Ave (NE corner) to platform level for Shuttle service.</v>
      </c>
      <c r="V234" s="15" t="str">
        <f>IFERROR(__xludf.DUMMYFUNCTION("""COMPUTED_VALUE"""),"POINT (-73.93359 40.849506)")</f>
        <v>POINT (-73.93359 40.849506)</v>
      </c>
    </row>
    <row r="235" ht="22.5" customHeight="1">
      <c r="A235" s="7" t="str">
        <f>IFERROR(__xludf.DUMMYFUNCTION("""COMPUTED_VALUE"""),"Grand Central-42 St")</f>
        <v>Grand Central-42 St</v>
      </c>
      <c r="B235" s="8" t="str">
        <f>IFERROR(__xludf.DUMMYFUNCTION("""COMPUTED_VALUE"""),"42nd St Line")</f>
        <v>42nd St Line</v>
      </c>
      <c r="C235" s="8" t="str">
        <f>IFERROR(__xludf.DUMMYFUNCTION("""COMPUTED_VALUE"""),"Manhattan")</f>
        <v>Manhattan</v>
      </c>
      <c r="D235" s="8" t="str">
        <f>IFERROR(__xludf.DUMMYFUNCTION("""COMPUTED_VALUE"""),"Midtown")</f>
        <v>Midtown</v>
      </c>
      <c r="E235" s="33">
        <f>IFERROR(__xludf.DUMMYFUNCTION("""COMPUTED_VALUE"""),1762.0)</f>
        <v>1762</v>
      </c>
      <c r="F235" s="10">
        <f>IFERROR(__xludf.DUMMYFUNCTION("""COMPUTED_VALUE"""),3.3496874E7)</f>
        <v>33496874</v>
      </c>
      <c r="G235" s="19">
        <f>IFERROR(__xludf.DUMMYFUNCTION("""COMPUTED_VALUE"""),2.0)</f>
        <v>2</v>
      </c>
      <c r="H235" s="10" t="str">
        <f>IFERROR(__xludf.DUMMYFUNCTION("""COMPUTED_VALUE"""),"↗️")</f>
        <v>↗️</v>
      </c>
      <c r="I235" s="13">
        <f>IFERROR(__xludf.DUMMYFUNCTION("""COMPUTED_VALUE"""),17948.0)</f>
        <v>17948</v>
      </c>
      <c r="J235" s="32">
        <f>IFERROR(__xludf.DUMMYFUNCTION("""COMPUTED_VALUE"""),45164.0)</f>
        <v>45164</v>
      </c>
      <c r="K235" s="8">
        <f>IFERROR(__xludf.DUMMYFUNCTION("""COMPUTED_VALUE"""),22.0)</f>
        <v>22</v>
      </c>
      <c r="L235" s="15" t="str">
        <f>IFERROR(__xludf.DUMMYFUNCTION("""COMPUTED_VALUE"""),"YES")</f>
        <v>YES</v>
      </c>
      <c r="M235" s="15" t="str">
        <f>IFERROR(__xludf.DUMMYFUNCTION("""COMPUTED_VALUE"""),"NYCT")</f>
        <v>NYCT</v>
      </c>
      <c r="N235" s="15" t="str">
        <f>IFERROR(__xludf.DUMMYFUNCTION("""COMPUTED_VALUE"""),"KONE")</f>
        <v>KONE</v>
      </c>
      <c r="O235" s="15" t="str">
        <f>IFERROR(__xludf.DUMMYFUNCTION("""COMPUTED_VALUE"""),"YES")</f>
        <v>YES</v>
      </c>
      <c r="P235" s="15" t="str">
        <f>IFERROR(__xludf.DUMMYFUNCTION("""COMPUTED_VALUE"""),"YES")</f>
        <v>YES</v>
      </c>
      <c r="Q235" s="15" t="str">
        <f>IFERROR(__xludf.DUMMYFUNCTION("""COMPUTED_VALUE"""),"NO")</f>
        <v>NO</v>
      </c>
      <c r="R235" s="15" t="str">
        <f>IFERROR(__xludf.DUMMYFUNCTION("""COMPUTED_VALUE"""),"50'")</f>
        <v>50'</v>
      </c>
      <c r="S235" s="15">
        <f>IFERROR(__xludf.DUMMYFUNCTION("""COMPUTED_VALUE"""),178.0)</f>
        <v>178</v>
      </c>
      <c r="T235" s="15">
        <f>IFERROR(__xludf.DUMMYFUNCTION("""COMPUTED_VALUE"""),800.0)</f>
        <v>800</v>
      </c>
      <c r="U235" s="15" t="str">
        <f>IFERROR(__xludf.DUMMYFUNCTION("""COMPUTED_VALUE"""),"42 St (between Lexington Ave &amp; 3rd Ave) to eastern mezzanine above 7 platform")</f>
        <v>42 St (between Lexington Ave &amp; 3rd Ave) to eastern mezzanine above 7 platform</v>
      </c>
      <c r="V235" s="15" t="str">
        <f>IFERROR(__xludf.DUMMYFUNCTION("""COMPUTED_VALUE"""),"POINT (-73.975075 40.75082)")</f>
        <v>POINT (-73.975075 40.75082)</v>
      </c>
    </row>
    <row r="236" ht="22.5" customHeight="1">
      <c r="A236" s="7" t="str">
        <f>IFERROR(__xludf.DUMMYFUNCTION("""COMPUTED_VALUE"""),"High St")</f>
        <v>High St</v>
      </c>
      <c r="B236" s="8" t="str">
        <f>IFERROR(__xludf.DUMMYFUNCTION("""COMPUTED_VALUE"""),"8 Av Line")</f>
        <v>8 Av Line</v>
      </c>
      <c r="C236" s="8" t="str">
        <f>IFERROR(__xludf.DUMMYFUNCTION("""COMPUTED_VALUE"""),"Brooklyn")</f>
        <v>Brooklyn</v>
      </c>
      <c r="D236" s="8" t="str">
        <f>IFERROR(__xludf.DUMMYFUNCTION("""COMPUTED_VALUE"""),"Brooklyn Heights")</f>
        <v>Brooklyn Heights</v>
      </c>
      <c r="E236" s="33">
        <f>IFERROR(__xludf.DUMMYFUNCTION("""COMPUTED_VALUE"""),12229.0)</f>
        <v>12229</v>
      </c>
      <c r="F236" s="10">
        <f>IFERROR(__xludf.DUMMYFUNCTION("""COMPUTED_VALUE"""),2213320.0)</f>
        <v>2213320</v>
      </c>
      <c r="G236" s="19">
        <f>IFERROR(__xludf.DUMMYFUNCTION("""COMPUTED_VALUE"""),150.0)</f>
        <v>150</v>
      </c>
      <c r="H236" s="10" t="str">
        <f>IFERROR(__xludf.DUMMYFUNCTION("""COMPUTED_VALUE"""),"↗️")</f>
        <v>↗️</v>
      </c>
      <c r="I236" s="13">
        <f>IFERROR(__xludf.DUMMYFUNCTION("""COMPUTED_VALUE"""),15342.0)</f>
        <v>15342</v>
      </c>
      <c r="J236" s="32">
        <f>IFERROR(__xludf.DUMMYFUNCTION("""COMPUTED_VALUE"""),45189.0)</f>
        <v>45189</v>
      </c>
      <c r="K236" s="8">
        <f>IFERROR(__xludf.DUMMYFUNCTION("""COMPUTED_VALUE"""),22.0)</f>
        <v>22</v>
      </c>
      <c r="L236" s="15" t="str">
        <f>IFERROR(__xludf.DUMMYFUNCTION("""COMPUTED_VALUE"""),"YES")</f>
        <v>YES</v>
      </c>
      <c r="M236" s="15" t="str">
        <f>IFERROR(__xludf.DUMMYFUNCTION("""COMPUTED_VALUE"""),"NYCT")</f>
        <v>NYCT</v>
      </c>
      <c r="N236" s="15" t="str">
        <f>IFERROR(__xludf.DUMMYFUNCTION("""COMPUTED_VALUE"""),"OK")</f>
        <v>OK</v>
      </c>
      <c r="O236" s="15" t="str">
        <f>IFERROR(__xludf.DUMMYFUNCTION("""COMPUTED_VALUE"""),"YES")</f>
        <v>YES</v>
      </c>
      <c r="P236" s="15" t="str">
        <f>IFERROR(__xludf.DUMMYFUNCTION("""COMPUTED_VALUE"""),"NO")</f>
        <v>NO</v>
      </c>
      <c r="Q236" s="15" t="str">
        <f>IFERROR(__xludf.DUMMYFUNCTION("""COMPUTED_VALUE"""),"NO")</f>
        <v>NO</v>
      </c>
      <c r="R236" s="15" t="str">
        <f>IFERROR(__xludf.DUMMYFUNCTION("""COMPUTED_VALUE"""),"37'")</f>
        <v>37'</v>
      </c>
      <c r="S236" s="15">
        <f>IFERROR(__xludf.DUMMYFUNCTION("""COMPUTED_VALUE"""),128.0)</f>
        <v>128</v>
      </c>
      <c r="T236" s="15">
        <f>IFERROR(__xludf.DUMMYFUNCTION("""COMPUTED_VALUE"""),24.0)</f>
        <v>24</v>
      </c>
      <c r="U236" s="15" t="str">
        <f>IFERROR(__xludf.DUMMYFUNCTION("""COMPUTED_VALUE"""),"lower mezzanine to upper mezzanine for Red Cross Pl &amp; Adams St exit")</f>
        <v>lower mezzanine to upper mezzanine for Red Cross Pl &amp; Adams St exit</v>
      </c>
      <c r="V236" s="15" t="str">
        <f>IFERROR(__xludf.DUMMYFUNCTION("""COMPUTED_VALUE"""),"POINT (-73.98922 40.699253)")</f>
        <v>POINT (-73.98922 40.699253)</v>
      </c>
    </row>
    <row r="237" ht="22.5" customHeight="1">
      <c r="A237" s="7" t="str">
        <f>IFERROR(__xludf.DUMMYFUNCTION("""COMPUTED_VALUE"""),"Whitehall St-South Ferry")</f>
        <v>Whitehall St-South Ferry</v>
      </c>
      <c r="B237" s="8" t="str">
        <f>IFERROR(__xludf.DUMMYFUNCTION("""COMPUTED_VALUE"""),"")</f>
        <v/>
      </c>
      <c r="C237" s="8" t="str">
        <f>IFERROR(__xludf.DUMMYFUNCTION("""COMPUTED_VALUE"""),"")</f>
        <v/>
      </c>
      <c r="D237" s="8" t="str">
        <f>IFERROR(__xludf.DUMMYFUNCTION("""COMPUTED_VALUE"""),"")</f>
        <v/>
      </c>
      <c r="E237" s="33" t="str">
        <f>IFERROR(__xludf.DUMMYFUNCTION("""COMPUTED_VALUE"""),"")</f>
        <v/>
      </c>
      <c r="F237" s="10" t="str">
        <f>IFERROR(__xludf.DUMMYFUNCTION("""COMPUTED_VALUE"""),"")</f>
        <v/>
      </c>
      <c r="G237" s="19" t="str">
        <f>IFERROR(__xludf.DUMMYFUNCTION("""COMPUTED_VALUE"""),"")</f>
        <v/>
      </c>
      <c r="H237" s="10" t="str">
        <f>IFERROR(__xludf.DUMMYFUNCTION("""COMPUTED_VALUE"""),"↗️")</f>
        <v>↗️</v>
      </c>
      <c r="I237" s="13">
        <f>IFERROR(__xludf.DUMMYFUNCTION("""COMPUTED_VALUE"""),36630.0)</f>
        <v>36630</v>
      </c>
      <c r="J237" s="32">
        <f>IFERROR(__xludf.DUMMYFUNCTION("""COMPUTED_VALUE"""),45934.0)</f>
        <v>45934</v>
      </c>
      <c r="K237" s="8">
        <f>IFERROR(__xludf.DUMMYFUNCTION("""COMPUTED_VALUE"""),22.0)</f>
        <v>22</v>
      </c>
      <c r="L237" s="15" t="str">
        <f>IFERROR(__xludf.DUMMYFUNCTION("""COMPUTED_VALUE"""),"YES")</f>
        <v>YES</v>
      </c>
      <c r="M237" s="15" t="str">
        <f>IFERROR(__xludf.DUMMYFUNCTION("""COMPUTED_VALUE"""),"NYCT")</f>
        <v>NYCT</v>
      </c>
      <c r="N237" s="15" t="str">
        <f>IFERROR(__xludf.DUMMYFUNCTION("""COMPUTED_VALUE"""),"KONE TRANS 180- PLC")</f>
        <v>KONE TRANS 180- PLC</v>
      </c>
      <c r="O237" s="15" t="str">
        <f>IFERROR(__xludf.DUMMYFUNCTION("""COMPUTED_VALUE"""),"YES")</f>
        <v>YES</v>
      </c>
      <c r="P237" s="15" t="str">
        <f>IFERROR(__xludf.DUMMYFUNCTION("""COMPUTED_VALUE"""),"NO")</f>
        <v>NO</v>
      </c>
      <c r="Q237" s="15" t="str">
        <f>IFERROR(__xludf.DUMMYFUNCTION("""COMPUTED_VALUE"""),"NO")</f>
        <v>NO</v>
      </c>
      <c r="R237" s="15" t="str">
        <f>IFERROR(__xludf.DUMMYFUNCTION("""COMPUTED_VALUE"""),"21'")</f>
        <v>21'</v>
      </c>
      <c r="S237" s="15">
        <f>IFERROR(__xludf.DUMMYFUNCTION("""COMPUTED_VALUE"""),85.0)</f>
        <v>85</v>
      </c>
      <c r="T237" s="15">
        <f>IFERROR(__xludf.DUMMYFUNCTION("""COMPUTED_VALUE"""),40.0)</f>
        <v>40</v>
      </c>
      <c r="U237" s="15" t="str">
        <f>IFERROR(__xludf.DUMMYFUNCTION("""COMPUTED_VALUE"""),"R/W lower mezzanine to upper mezzanine for Water St &amp; Whitehall St exit and uptown 1 service")</f>
        <v>R/W lower mezzanine to upper mezzanine for Water St &amp; Whitehall St exit and uptown 1 service</v>
      </c>
      <c r="V237" s="15" t="str">
        <f>IFERROR(__xludf.DUMMYFUNCTION("""COMPUTED_VALUE"""),"POINT (-74.01279 40.702248)")</f>
        <v>POINT (-74.01279 40.702248)</v>
      </c>
    </row>
    <row r="238" ht="22.5" customHeight="1">
      <c r="A238" s="7" t="str">
        <f>IFERROR(__xludf.DUMMYFUNCTION("""COMPUTED_VALUE"""),"Bowery")</f>
        <v>Bowery</v>
      </c>
      <c r="B238" s="8" t="str">
        <f>IFERROR(__xludf.DUMMYFUNCTION("""COMPUTED_VALUE"""),"Nassau St Line")</f>
        <v>Nassau St Line</v>
      </c>
      <c r="C238" s="8" t="str">
        <f>IFERROR(__xludf.DUMMYFUNCTION("""COMPUTED_VALUE"""),"Manhattan")</f>
        <v>Manhattan</v>
      </c>
      <c r="D238" s="8" t="str">
        <f>IFERROR(__xludf.DUMMYFUNCTION("""COMPUTED_VALUE"""),"Lower East Side")</f>
        <v>Lower East Side</v>
      </c>
      <c r="E238" s="33">
        <f>IFERROR(__xludf.DUMMYFUNCTION("""COMPUTED_VALUE"""),4965.0)</f>
        <v>4965</v>
      </c>
      <c r="F238" s="10">
        <f>IFERROR(__xludf.DUMMYFUNCTION("""COMPUTED_VALUE"""),879248.0)</f>
        <v>879248</v>
      </c>
      <c r="G238" s="19">
        <f>IFERROR(__xludf.DUMMYFUNCTION("""COMPUTED_VALUE"""),318.0)</f>
        <v>318</v>
      </c>
      <c r="H238" s="10" t="str">
        <f>IFERROR(__xludf.DUMMYFUNCTION("""COMPUTED_VALUE"""),"↗️")</f>
        <v>↗️</v>
      </c>
      <c r="I238" s="13">
        <f>IFERROR(__xludf.DUMMYFUNCTION("""COMPUTED_VALUE"""),30803.0)</f>
        <v>30803</v>
      </c>
      <c r="J238" s="32">
        <f>IFERROR(__xludf.DUMMYFUNCTION("""COMPUTED_VALUE"""),41677.0)</f>
        <v>41677</v>
      </c>
      <c r="K238" s="8">
        <f>IFERROR(__xludf.DUMMYFUNCTION("""COMPUTED_VALUE"""),22.0)</f>
        <v>22</v>
      </c>
      <c r="L238" s="15" t="str">
        <f>IFERROR(__xludf.DUMMYFUNCTION("""COMPUTED_VALUE"""),"YES")</f>
        <v>YES</v>
      </c>
      <c r="M238" s="15" t="str">
        <f>IFERROR(__xludf.DUMMYFUNCTION("""COMPUTED_VALUE"""),"NYCT")</f>
        <v>NYCT</v>
      </c>
      <c r="N238" s="15" t="str">
        <f>IFERROR(__xludf.DUMMYFUNCTION("""COMPUTED_VALUE"""),"KONE")</f>
        <v>KONE</v>
      </c>
      <c r="O238" s="15" t="str">
        <f>IFERROR(__xludf.DUMMYFUNCTION("""COMPUTED_VALUE"""),"YES")</f>
        <v>YES</v>
      </c>
      <c r="P238" s="15" t="str">
        <f>IFERROR(__xludf.DUMMYFUNCTION("""COMPUTED_VALUE"""),"NO")</f>
        <v>NO</v>
      </c>
      <c r="Q238" s="15" t="str">
        <f>IFERROR(__xludf.DUMMYFUNCTION("""COMPUTED_VALUE"""),"NO")</f>
        <v>NO</v>
      </c>
      <c r="R238" s="15" t="str">
        <f>IFERROR(__xludf.DUMMYFUNCTION("""COMPUTED_VALUE"""),"23' 8 9/32in")</f>
        <v>23' 8 9/32in</v>
      </c>
      <c r="S238" s="15">
        <f>IFERROR(__xludf.DUMMYFUNCTION("""COMPUTED_VALUE"""),94.0)</f>
        <v>94</v>
      </c>
      <c r="T238" s="15" t="str">
        <f>IFERROR(__xludf.DUMMYFUNCTION("""COMPUTED_VALUE"""),"40in")</f>
        <v>40in</v>
      </c>
      <c r="U238" s="15" t="str">
        <f>IFERROR(__xludf.DUMMYFUNCTION("""COMPUTED_VALUE"""),"J/Z platform to mezzanine for Delancey St &amp; Bowery exit")</f>
        <v>J/Z platform to mezzanine for Delancey St &amp; Bowery exit</v>
      </c>
      <c r="V238" s="15" t="str">
        <f>IFERROR(__xludf.DUMMYFUNCTION("""COMPUTED_VALUE"""),"POINT (-73.99377 40.720295)")</f>
        <v>POINT (-73.99377 40.720295)</v>
      </c>
    </row>
    <row r="239" ht="22.5" customHeight="1">
      <c r="A239" s="7" t="str">
        <f>IFERROR(__xludf.DUMMYFUNCTION("""COMPUTED_VALUE"""),"42St/Port Authority-Bus Terminal")</f>
        <v>42St/Port Authority-Bus Terminal</v>
      </c>
      <c r="B239" s="8" t="str">
        <f>IFERROR(__xludf.DUMMYFUNCTION("""COMPUTED_VALUE"""),"")</f>
        <v/>
      </c>
      <c r="C239" s="8" t="str">
        <f>IFERROR(__xludf.DUMMYFUNCTION("""COMPUTED_VALUE"""),"")</f>
        <v/>
      </c>
      <c r="D239" s="8" t="str">
        <f>IFERROR(__xludf.DUMMYFUNCTION("""COMPUTED_VALUE"""),"")</f>
        <v/>
      </c>
      <c r="E239" s="33" t="str">
        <f>IFERROR(__xludf.DUMMYFUNCTION("""COMPUTED_VALUE"""),"")</f>
        <v/>
      </c>
      <c r="F239" s="10" t="str">
        <f>IFERROR(__xludf.DUMMYFUNCTION("""COMPUTED_VALUE"""),"")</f>
        <v/>
      </c>
      <c r="G239" s="19" t="str">
        <f>IFERROR(__xludf.DUMMYFUNCTION("""COMPUTED_VALUE"""),"")</f>
        <v/>
      </c>
      <c r="H239" s="10" t="str">
        <f>IFERROR(__xludf.DUMMYFUNCTION("""COMPUTED_VALUE"""),"↗️")</f>
        <v>↗️</v>
      </c>
      <c r="I239" s="13"/>
      <c r="J239" s="32">
        <f>IFERROR(__xludf.DUMMYFUNCTION("""COMPUTED_VALUE"""),41081.0)</f>
        <v>41081</v>
      </c>
      <c r="K239" s="8">
        <f>IFERROR(__xludf.DUMMYFUNCTION("""COMPUTED_VALUE"""),22.0)</f>
        <v>22</v>
      </c>
      <c r="L239" s="15" t="str">
        <f>IFERROR(__xludf.DUMMYFUNCTION("""COMPUTED_VALUE"""),"NO")</f>
        <v>NO</v>
      </c>
      <c r="M239" s="15" t="str">
        <f>IFERROR(__xludf.DUMMYFUNCTION("""COMPUTED_VALUE"""),"Private Contractor")</f>
        <v>Private Contractor</v>
      </c>
      <c r="N239" s="15" t="str">
        <f>IFERROR(__xludf.DUMMYFUNCTION("""COMPUTED_VALUE"""),"AM")</f>
        <v>AM</v>
      </c>
      <c r="O239" s="15" t="str">
        <f>IFERROR(__xludf.DUMMYFUNCTION("""COMPUTED_VALUE"""),"YES")</f>
        <v>YES</v>
      </c>
      <c r="P239" s="15" t="str">
        <f>IFERROR(__xludf.DUMMYFUNCTION("""COMPUTED_VALUE"""),"NO")</f>
        <v>NO</v>
      </c>
      <c r="Q239" s="15" t="str">
        <f>IFERROR(__xludf.DUMMYFUNCTION("""COMPUTED_VALUE"""),"NO")</f>
        <v>NO</v>
      </c>
      <c r="R239" s="15"/>
      <c r="S239" s="15"/>
      <c r="T239" s="15"/>
      <c r="U239" s="15" t="str">
        <f>IFERROR(__xludf.DUMMYFUNCTION("""COMPUTED_VALUE"""),"A/C/E mezzanine to intermediate mezzanine for 42 St &amp; 8th Ave exit")</f>
        <v>A/C/E mezzanine to intermediate mezzanine for 42 St &amp; 8th Ave exit</v>
      </c>
      <c r="V239" s="15" t="str">
        <f>IFERROR(__xludf.DUMMYFUNCTION("""COMPUTED_VALUE"""),"POINT (-73.98957 40.757133)")</f>
        <v>POINT (-73.98957 40.757133)</v>
      </c>
    </row>
    <row r="240" ht="22.5" customHeight="1">
      <c r="A240" s="7" t="str">
        <f>IFERROR(__xludf.DUMMYFUNCTION("""COMPUTED_VALUE"""),"34 St-Hudson Yards")</f>
        <v>34 St-Hudson Yards</v>
      </c>
      <c r="B240" s="8" t="str">
        <f>IFERROR(__xludf.DUMMYFUNCTION("""COMPUTED_VALUE"""),"Flushing Line")</f>
        <v>Flushing Line</v>
      </c>
      <c r="C240" s="8" t="str">
        <f>IFERROR(__xludf.DUMMYFUNCTION("""COMPUTED_VALUE"""),"Manhattan")</f>
        <v>Manhattan</v>
      </c>
      <c r="D240" s="8" t="str">
        <f>IFERROR(__xludf.DUMMYFUNCTION("""COMPUTED_VALUE"""),"Hell's Kitchen")</f>
        <v>Hell's Kitchen</v>
      </c>
      <c r="E240" s="33">
        <f>IFERROR(__xludf.DUMMYFUNCTION("""COMPUTED_VALUE"""),42260.0)</f>
        <v>42260</v>
      </c>
      <c r="F240" s="8">
        <f>IFERROR(__xludf.DUMMYFUNCTION("""COMPUTED_VALUE"""),6082370.0)</f>
        <v>6082370</v>
      </c>
      <c r="G240" s="19">
        <f>IFERROR(__xludf.DUMMYFUNCTION("""COMPUTED_VALUE"""),39.0)</f>
        <v>39</v>
      </c>
      <c r="H240" s="10" t="str">
        <f>IFERROR(__xludf.DUMMYFUNCTION("""COMPUTED_VALUE"""),"↗️")</f>
        <v>↗️</v>
      </c>
      <c r="I240" s="13">
        <f>IFERROR(__xludf.DUMMYFUNCTION("""COMPUTED_VALUE"""),42260.0)</f>
        <v>42260</v>
      </c>
      <c r="J240" s="32">
        <f>IFERROR(__xludf.DUMMYFUNCTION("""COMPUTED_VALUE"""),42260.0)</f>
        <v>42260</v>
      </c>
      <c r="K240" s="8">
        <f>IFERROR(__xludf.DUMMYFUNCTION("""COMPUTED_VALUE"""),22.0)</f>
        <v>22</v>
      </c>
      <c r="L240" s="15" t="str">
        <f>IFERROR(__xludf.DUMMYFUNCTION("""COMPUTED_VALUE"""),"YES")</f>
        <v>YES</v>
      </c>
      <c r="M240" s="15" t="str">
        <f>IFERROR(__xludf.DUMMYFUNCTION("""COMPUTED_VALUE"""),"NYCT")</f>
        <v>NYCT</v>
      </c>
      <c r="N240" s="15" t="str">
        <f>IFERROR(__xludf.DUMMYFUNCTION("""COMPUTED_VALUE"""),"KONE")</f>
        <v>KONE</v>
      </c>
      <c r="O240" s="15" t="str">
        <f>IFERROR(__xludf.DUMMYFUNCTION("""COMPUTED_VALUE"""),"YES")</f>
        <v>YES</v>
      </c>
      <c r="P240" s="15" t="str">
        <f>IFERROR(__xludf.DUMMYFUNCTION("""COMPUTED_VALUE"""),"NO")</f>
        <v>NO</v>
      </c>
      <c r="Q240" s="15" t="str">
        <f>IFERROR(__xludf.DUMMYFUNCTION("""COMPUTED_VALUE"""),"NO")</f>
        <v>NO</v>
      </c>
      <c r="R240" s="15" t="str">
        <f>IFERROR(__xludf.DUMMYFUNCTION("""COMPUTED_VALUE"""),"24,892 mm (81' 8in)")</f>
        <v>24,892 mm (81' 8in)</v>
      </c>
      <c r="S240" s="15">
        <f>IFERROR(__xludf.DUMMYFUNCTION("""COMPUTED_VALUE"""),283.0)</f>
        <v>283</v>
      </c>
      <c r="T240" s="15" t="str">
        <f>IFERROR(__xludf.DUMMYFUNCTION("""COMPUTED_VALUE"""),"1000 mm (40in)")</f>
        <v>1000 mm (40in)</v>
      </c>
      <c r="U240" s="15" t="str">
        <f>IFERROR(__xludf.DUMMYFUNCTION("""COMPUTED_VALUE"""),"lower mezzanine to upper mezzanine for Hudson Blvd E exit (between 33 St &amp; 34 St)")</f>
        <v>lower mezzanine to upper mezzanine for Hudson Blvd E exit (between 33 St &amp; 34 St)</v>
      </c>
      <c r="V240" s="15" t="str">
        <f>IFERROR(__xludf.DUMMYFUNCTION("""COMPUTED_VALUE"""),"POINT (-74.0018 40.75536)")</f>
        <v>POINT (-74.0018 40.75536)</v>
      </c>
    </row>
    <row r="241" ht="22.5" customHeight="1">
      <c r="A241" s="7" t="str">
        <f>IFERROR(__xludf.DUMMYFUNCTION("""COMPUTED_VALUE"""),"7 Av")</f>
        <v>7 Av</v>
      </c>
      <c r="B241" s="8" t="str">
        <f>IFERROR(__xludf.DUMMYFUNCTION("""COMPUTED_VALUE"""),"Brighton Line")</f>
        <v>Brighton Line</v>
      </c>
      <c r="C241" s="8" t="str">
        <f>IFERROR(__xludf.DUMMYFUNCTION("""COMPUTED_VALUE"""),"Brooklyn")</f>
        <v>Brooklyn</v>
      </c>
      <c r="D241" s="8" t="str">
        <f>IFERROR(__xludf.DUMMYFUNCTION("""COMPUTED_VALUE"""),"Park Slope")</f>
        <v>Park Slope</v>
      </c>
      <c r="E241" s="33">
        <f>IFERROR(__xludf.DUMMYFUNCTION("""COMPUTED_VALUE"""),7519.0)</f>
        <v>7519</v>
      </c>
      <c r="F241" s="8">
        <f>IFERROR(__xludf.DUMMYFUNCTION("""COMPUTED_VALUE"""),2176497.0)</f>
        <v>2176497</v>
      </c>
      <c r="G241" s="19">
        <f>IFERROR(__xludf.DUMMYFUNCTION("""COMPUTED_VALUE"""),154.0)</f>
        <v>154</v>
      </c>
      <c r="H241" s="10" t="str">
        <f>IFERROR(__xludf.DUMMYFUNCTION("""COMPUTED_VALUE"""),"↗️")</f>
        <v>↗️</v>
      </c>
      <c r="I241" s="13">
        <f>IFERROR(__xludf.DUMMYFUNCTION("""COMPUTED_VALUE"""),28776.0)</f>
        <v>28776</v>
      </c>
      <c r="J241" s="32">
        <f>IFERROR(__xludf.DUMMYFUNCTION("""COMPUTED_VALUE"""),36307.0)</f>
        <v>36307</v>
      </c>
      <c r="K241" s="8">
        <f>IFERROR(__xludf.DUMMYFUNCTION("""COMPUTED_VALUE"""),22.0)</f>
        <v>22</v>
      </c>
      <c r="L241" s="15" t="str">
        <f>IFERROR(__xludf.DUMMYFUNCTION("""COMPUTED_VALUE"""),"YES")</f>
        <v>YES</v>
      </c>
      <c r="M241" s="15" t="str">
        <f>IFERROR(__xludf.DUMMYFUNCTION("""COMPUTED_VALUE"""),"NYCT")</f>
        <v>NYCT</v>
      </c>
      <c r="N241" s="15" t="str">
        <f>IFERROR(__xludf.DUMMYFUNCTION("""COMPUTED_VALUE"""),"OK")</f>
        <v>OK</v>
      </c>
      <c r="O241" s="15" t="str">
        <f>IFERROR(__xludf.DUMMYFUNCTION("""COMPUTED_VALUE"""),"YES")</f>
        <v>YES</v>
      </c>
      <c r="P241" s="15" t="str">
        <f>IFERROR(__xludf.DUMMYFUNCTION("""COMPUTED_VALUE"""),"NO")</f>
        <v>NO</v>
      </c>
      <c r="Q241" s="15" t="str">
        <f>IFERROR(__xludf.DUMMYFUNCTION("""COMPUTED_VALUE"""),"NO")</f>
        <v>NO</v>
      </c>
      <c r="R241" s="15" t="str">
        <f>IFERROR(__xludf.DUMMYFUNCTION("""COMPUTED_VALUE"""),"24'")</f>
        <v>24'</v>
      </c>
      <c r="S241" s="15">
        <f>IFERROR(__xludf.DUMMYFUNCTION("""COMPUTED_VALUE"""),90.0)</f>
        <v>90</v>
      </c>
      <c r="T241" s="15">
        <f>IFERROR(__xludf.DUMMYFUNCTION("""COMPUTED_VALUE"""),40.0)</f>
        <v>40</v>
      </c>
      <c r="U241" s="15" t="str">
        <f>IFERROR(__xludf.DUMMYFUNCTION("""COMPUTED_VALUE"""),"downtown platform to mezzanine for 53 St &amp; 7th Ave exit")</f>
        <v>downtown platform to mezzanine for 53 St &amp; 7th Ave exit</v>
      </c>
      <c r="V241" s="15" t="str">
        <f>IFERROR(__xludf.DUMMYFUNCTION("""COMPUTED_VALUE"""),"POINT (-73.98238 40.763176)")</f>
        <v>POINT (-73.98238 40.763176)</v>
      </c>
    </row>
    <row r="242" ht="22.5" customHeight="1">
      <c r="A242" s="7" t="str">
        <f>IFERROR(__xludf.DUMMYFUNCTION("""COMPUTED_VALUE"""),"34 St-Hudson Yards")</f>
        <v>34 St-Hudson Yards</v>
      </c>
      <c r="B242" s="8" t="str">
        <f>IFERROR(__xludf.DUMMYFUNCTION("""COMPUTED_VALUE"""),"Flushing Line")</f>
        <v>Flushing Line</v>
      </c>
      <c r="C242" s="8" t="str">
        <f>IFERROR(__xludf.DUMMYFUNCTION("""COMPUTED_VALUE"""),"Manhattan")</f>
        <v>Manhattan</v>
      </c>
      <c r="D242" s="8" t="str">
        <f>IFERROR(__xludf.DUMMYFUNCTION("""COMPUTED_VALUE"""),"Hell's Kitchen")</f>
        <v>Hell's Kitchen</v>
      </c>
      <c r="E242" s="33">
        <f>IFERROR(__xludf.DUMMYFUNCTION("""COMPUTED_VALUE"""),42260.0)</f>
        <v>42260</v>
      </c>
      <c r="F242" s="8">
        <f>IFERROR(__xludf.DUMMYFUNCTION("""COMPUTED_VALUE"""),6082370.0)</f>
        <v>6082370</v>
      </c>
      <c r="G242" s="19">
        <f>IFERROR(__xludf.DUMMYFUNCTION("""COMPUTED_VALUE"""),39.0)</f>
        <v>39</v>
      </c>
      <c r="H242" s="10" t="str">
        <f>IFERROR(__xludf.DUMMYFUNCTION("""COMPUTED_VALUE"""),"↗️")</f>
        <v>↗️</v>
      </c>
      <c r="I242" s="13">
        <f>IFERROR(__xludf.DUMMYFUNCTION("""COMPUTED_VALUE"""),43343.0)</f>
        <v>43343</v>
      </c>
      <c r="J242" s="32">
        <f>IFERROR(__xludf.DUMMYFUNCTION("""COMPUTED_VALUE"""),43343.0)</f>
        <v>43343</v>
      </c>
      <c r="K242" s="8">
        <f>IFERROR(__xludf.DUMMYFUNCTION("""COMPUTED_VALUE"""),22.0)</f>
        <v>22</v>
      </c>
      <c r="L242" s="15" t="str">
        <f>IFERROR(__xludf.DUMMYFUNCTION("""COMPUTED_VALUE"""),"YES")</f>
        <v>YES</v>
      </c>
      <c r="M242" s="15" t="str">
        <f>IFERROR(__xludf.DUMMYFUNCTION("""COMPUTED_VALUE"""),"NYCT")</f>
        <v>NYCT</v>
      </c>
      <c r="N242" s="15" t="str">
        <f>IFERROR(__xludf.DUMMYFUNCTION("""COMPUTED_VALUE"""),"SCHINDLER")</f>
        <v>SCHINDLER</v>
      </c>
      <c r="O242" s="15" t="str">
        <f>IFERROR(__xludf.DUMMYFUNCTION("""COMPUTED_VALUE"""),"YES")</f>
        <v>YES</v>
      </c>
      <c r="P242" s="15" t="str">
        <f>IFERROR(__xludf.DUMMYFUNCTION("""COMPUTED_VALUE"""),"YES")</f>
        <v>YES</v>
      </c>
      <c r="Q242" s="15" t="str">
        <f>IFERROR(__xludf.DUMMYFUNCTION("""COMPUTED_VALUE"""),"YES")</f>
        <v>YES</v>
      </c>
      <c r="R242" s="15" t="str">
        <f>IFERROR(__xludf.DUMMYFUNCTION("""COMPUTED_VALUE"""),"29'")</f>
        <v>29'</v>
      </c>
      <c r="S242" s="15">
        <f>IFERROR(__xludf.DUMMYFUNCTION("""COMPUTED_VALUE"""),110.0)</f>
        <v>110</v>
      </c>
      <c r="T242" s="15">
        <f>IFERROR(__xludf.DUMMYFUNCTION("""COMPUTED_VALUE"""),600.0)</f>
        <v>600</v>
      </c>
      <c r="U242" s="15" t="str">
        <f>IFERROR(__xludf.DUMMYFUNCTION("""COMPUTED_VALUE"""),"Hudson Blvd E &amp; 35 St (SW corner) to upper mezzanine")</f>
        <v>Hudson Blvd E &amp; 35 St (SW corner) to upper mezzanine</v>
      </c>
      <c r="V242" s="15" t="str">
        <f>IFERROR(__xludf.DUMMYFUNCTION("""COMPUTED_VALUE"""),"POINT (-74.0003 40.755863)")</f>
        <v>POINT (-74.0003 40.755863)</v>
      </c>
    </row>
    <row r="243" ht="22.5" customHeight="1">
      <c r="A243" s="7" t="str">
        <f>IFERROR(__xludf.DUMMYFUNCTION("""COMPUTED_VALUE"""),"59 St")</f>
        <v>59 St</v>
      </c>
      <c r="B243" s="8" t="str">
        <f>IFERROR(__xludf.DUMMYFUNCTION("""COMPUTED_VALUE"""),"4 Av Line")</f>
        <v>4 Av Line</v>
      </c>
      <c r="C243" s="8" t="str">
        <f>IFERROR(__xludf.DUMMYFUNCTION("""COMPUTED_VALUE"""),"Brooklyn")</f>
        <v>Brooklyn</v>
      </c>
      <c r="D243" s="8" t="str">
        <f>IFERROR(__xludf.DUMMYFUNCTION("""COMPUTED_VALUE"""),"Sunset Park")</f>
        <v>Sunset Park</v>
      </c>
      <c r="E243" s="33">
        <f>IFERROR(__xludf.DUMMYFUNCTION("""COMPUTED_VALUE"""),5652.0)</f>
        <v>5652</v>
      </c>
      <c r="F243" s="8">
        <f>IFERROR(__xludf.DUMMYFUNCTION("""COMPUTED_VALUE"""),2952891.0)</f>
        <v>2952891</v>
      </c>
      <c r="G243" s="19">
        <f>IFERROR(__xludf.DUMMYFUNCTION("""COMPUTED_VALUE"""),112.0)</f>
        <v>112</v>
      </c>
      <c r="H243" s="10" t="str">
        <f>IFERROR(__xludf.DUMMYFUNCTION("""COMPUTED_VALUE"""),"↗️")</f>
        <v>↗️</v>
      </c>
      <c r="I243" s="13">
        <f>IFERROR(__xludf.DUMMYFUNCTION("""COMPUTED_VALUE"""),22965.0)</f>
        <v>22965</v>
      </c>
      <c r="J243" s="32">
        <f>IFERROR(__xludf.DUMMYFUNCTION("""COMPUTED_VALUE"""),45866.0)</f>
        <v>45866</v>
      </c>
      <c r="K243" s="8">
        <f>IFERROR(__xludf.DUMMYFUNCTION("""COMPUTED_VALUE"""),22.0)</f>
        <v>22</v>
      </c>
      <c r="L243" s="15" t="str">
        <f>IFERROR(__xludf.DUMMYFUNCTION("""COMPUTED_VALUE"""),"YES")</f>
        <v>YES</v>
      </c>
      <c r="M243" s="15" t="str">
        <f>IFERROR(__xludf.DUMMYFUNCTION("""COMPUTED_VALUE"""),"NYCT")</f>
        <v>NYCT</v>
      </c>
      <c r="N243" s="15" t="str">
        <f>IFERROR(__xludf.DUMMYFUNCTION("""COMPUTED_VALUE"""),"KONE")</f>
        <v>KONE</v>
      </c>
      <c r="O243" s="15" t="str">
        <f>IFERROR(__xludf.DUMMYFUNCTION("""COMPUTED_VALUE"""),"YES")</f>
        <v>YES</v>
      </c>
      <c r="P243" s="15" t="str">
        <f>IFERROR(__xludf.DUMMYFUNCTION("""COMPUTED_VALUE"""),"NO")</f>
        <v>NO</v>
      </c>
      <c r="Q243" s="15" t="str">
        <f>IFERROR(__xludf.DUMMYFUNCTION("""COMPUTED_VALUE"""),"NO")</f>
        <v>NO</v>
      </c>
      <c r="R243" s="15" t="str">
        <f>IFERROR(__xludf.DUMMYFUNCTION("""COMPUTED_VALUE"""),"38-11 5/8in")</f>
        <v>38-11 5/8in</v>
      </c>
      <c r="S243" s="15">
        <f>IFERROR(__xludf.DUMMYFUNCTION("""COMPUTED_VALUE"""),137.0)</f>
        <v>137</v>
      </c>
      <c r="T243" s="15">
        <f>IFERROR(__xludf.DUMMYFUNCTION("""COMPUTED_VALUE"""),40.0)</f>
        <v>40</v>
      </c>
      <c r="U243" s="15" t="str">
        <f>IFERROR(__xludf.DUMMYFUNCTION("""COMPUTED_VALUE"""),"N/R/W transfer mezzanine to uptown 6 platform")</f>
        <v>N/R/W transfer mezzanine to uptown 6 platform</v>
      </c>
      <c r="V243" s="15" t="str">
        <f>IFERROR(__xludf.DUMMYFUNCTION("""COMPUTED_VALUE"""),"POINT (-73.96815 40.76245)")</f>
        <v>POINT (-73.96815 40.76245)</v>
      </c>
    </row>
    <row r="244" ht="22.5" customHeight="1">
      <c r="A244" s="7" t="str">
        <f>IFERROR(__xludf.DUMMYFUNCTION("""COMPUTED_VALUE"""),"72 St")</f>
        <v>72 St</v>
      </c>
      <c r="B244" s="8" t="str">
        <f>IFERROR(__xludf.DUMMYFUNCTION("""COMPUTED_VALUE"""),"Broadway-7 Av Line")</f>
        <v>Broadway-7 Av Line</v>
      </c>
      <c r="C244" s="8" t="str">
        <f>IFERROR(__xludf.DUMMYFUNCTION("""COMPUTED_VALUE"""),"Manhattan")</f>
        <v>Manhattan</v>
      </c>
      <c r="D244" s="8" t="str">
        <f>IFERROR(__xludf.DUMMYFUNCTION("""COMPUTED_VALUE"""),"Upper West Side")</f>
        <v>Upper West Side</v>
      </c>
      <c r="E244" s="33">
        <f>IFERROR(__xludf.DUMMYFUNCTION("""COMPUTED_VALUE"""),1762.0)</f>
        <v>1762</v>
      </c>
      <c r="F244" s="10">
        <f>IFERROR(__xludf.DUMMYFUNCTION("""COMPUTED_VALUE"""),9752193.0)</f>
        <v>9752193</v>
      </c>
      <c r="G244" s="19">
        <f>IFERROR(__xludf.DUMMYFUNCTION("""COMPUTED_VALUE"""),22.0)</f>
        <v>22</v>
      </c>
      <c r="H244" s="10" t="str">
        <f>IFERROR(__xludf.DUMMYFUNCTION("""COMPUTED_VALUE"""),"↗️")</f>
        <v>↗️</v>
      </c>
      <c r="I244" s="13">
        <f>IFERROR(__xludf.DUMMYFUNCTION("""COMPUTED_VALUE"""),42736.0)</f>
        <v>42736</v>
      </c>
      <c r="J244" s="32">
        <f>IFERROR(__xludf.DUMMYFUNCTION("""COMPUTED_VALUE"""),42736.0)</f>
        <v>42736</v>
      </c>
      <c r="K244" s="8">
        <f>IFERROR(__xludf.DUMMYFUNCTION("""COMPUTED_VALUE"""),22.0)</f>
        <v>22</v>
      </c>
      <c r="L244" s="15" t="str">
        <f>IFERROR(__xludf.DUMMYFUNCTION("""COMPUTED_VALUE"""),"YES")</f>
        <v>YES</v>
      </c>
      <c r="M244" s="15" t="str">
        <f>IFERROR(__xludf.DUMMYFUNCTION("""COMPUTED_VALUE"""),"NYCT")</f>
        <v>NYCT</v>
      </c>
      <c r="N244" s="15" t="str">
        <f>IFERROR(__xludf.DUMMYFUNCTION("""COMPUTED_VALUE"""),"SCHINDLER")</f>
        <v>SCHINDLER</v>
      </c>
      <c r="O244" s="15" t="str">
        <f>IFERROR(__xludf.DUMMYFUNCTION("""COMPUTED_VALUE"""),"YES")</f>
        <v>YES</v>
      </c>
      <c r="P244" s="15" t="str">
        <f>IFERROR(__xludf.DUMMYFUNCTION("""COMPUTED_VALUE"""),"NO")</f>
        <v>NO</v>
      </c>
      <c r="Q244" s="15" t="str">
        <f>IFERROR(__xludf.DUMMYFUNCTION("""COMPUTED_VALUE"""),"NO")</f>
        <v>NO</v>
      </c>
      <c r="R244" s="15" t="str">
        <f>IFERROR(__xludf.DUMMYFUNCTION("""COMPUTED_VALUE"""),"4953 mm (16' 1/4in)")</f>
        <v>4953 mm (16' 1/4in)</v>
      </c>
      <c r="S244" s="15">
        <f>IFERROR(__xludf.DUMMYFUNCTION("""COMPUTED_VALUE"""),0.0)</f>
        <v>0</v>
      </c>
      <c r="T244" s="15"/>
      <c r="U244" s="15" t="str">
        <f>IFERROR(__xludf.DUMMYFUNCTION("""COMPUTED_VALUE"""),"lower mezzanine to platform for service in both directions")</f>
        <v>lower mezzanine to platform for service in both directions</v>
      </c>
      <c r="V244" s="15" t="str">
        <f>IFERROR(__xludf.DUMMYFUNCTION("""COMPUTED_VALUE"""),"POINT (-73.95884 40.768116)")</f>
        <v>POINT (-73.95884 40.768116)</v>
      </c>
    </row>
    <row r="245" ht="22.5" customHeight="1">
      <c r="A245" s="7" t="str">
        <f>IFERROR(__xludf.DUMMYFUNCTION("""COMPUTED_VALUE"""),"86 St")</f>
        <v>86 St</v>
      </c>
      <c r="B245" s="8" t="str">
        <f>IFERROR(__xludf.DUMMYFUNCTION("""COMPUTED_VALUE"""),"4 Av Line")</f>
        <v>4 Av Line</v>
      </c>
      <c r="C245" s="8" t="str">
        <f>IFERROR(__xludf.DUMMYFUNCTION("""COMPUTED_VALUE"""),"Brooklyn")</f>
        <v>Brooklyn</v>
      </c>
      <c r="D245" s="8" t="str">
        <f>IFERROR(__xludf.DUMMYFUNCTION("""COMPUTED_VALUE"""),"Bay Ridge")</f>
        <v>Bay Ridge</v>
      </c>
      <c r="E245" s="33">
        <f>IFERROR(__xludf.DUMMYFUNCTION("""COMPUTED_VALUE"""),5859.0)</f>
        <v>5859</v>
      </c>
      <c r="F245" s="10">
        <f>IFERROR(__xludf.DUMMYFUNCTION("""COMPUTED_VALUE"""),2580130.0)</f>
        <v>2580130</v>
      </c>
      <c r="G245" s="19">
        <f>IFERROR(__xludf.DUMMYFUNCTION("""COMPUTED_VALUE"""),135.0)</f>
        <v>135</v>
      </c>
      <c r="H245" s="10" t="str">
        <f>IFERROR(__xludf.DUMMYFUNCTION("""COMPUTED_VALUE"""),"↗️")</f>
        <v>↗️</v>
      </c>
      <c r="I245" s="13">
        <f>IFERROR(__xludf.DUMMYFUNCTION("""COMPUTED_VALUE"""),42736.0)</f>
        <v>42736</v>
      </c>
      <c r="J245" s="32">
        <f>IFERROR(__xludf.DUMMYFUNCTION("""COMPUTED_VALUE"""),42736.0)</f>
        <v>42736</v>
      </c>
      <c r="K245" s="8">
        <f>IFERROR(__xludf.DUMMYFUNCTION("""COMPUTED_VALUE"""),22.0)</f>
        <v>22</v>
      </c>
      <c r="L245" s="15" t="str">
        <f>IFERROR(__xludf.DUMMYFUNCTION("""COMPUTED_VALUE"""),"YES")</f>
        <v>YES</v>
      </c>
      <c r="M245" s="15" t="str">
        <f>IFERROR(__xludf.DUMMYFUNCTION("""COMPUTED_VALUE"""),"NYCT")</f>
        <v>NYCT</v>
      </c>
      <c r="N245" s="15" t="str">
        <f>IFERROR(__xludf.DUMMYFUNCTION("""COMPUTED_VALUE"""),"KONE")</f>
        <v>KONE</v>
      </c>
      <c r="O245" s="15" t="str">
        <f>IFERROR(__xludf.DUMMYFUNCTION("""COMPUTED_VALUE"""),"YES")</f>
        <v>YES</v>
      </c>
      <c r="P245" s="15" t="str">
        <f>IFERROR(__xludf.DUMMYFUNCTION("""COMPUTED_VALUE"""),"NO")</f>
        <v>NO</v>
      </c>
      <c r="Q245" s="15" t="str">
        <f>IFERROR(__xludf.DUMMYFUNCTION("""COMPUTED_VALUE"""),"NO")</f>
        <v>NO</v>
      </c>
      <c r="R245" s="15" t="str">
        <f>IFERROR(__xludf.DUMMYFUNCTION("""COMPUTED_VALUE"""),"4953 mm (16' 3in)")</f>
        <v>4953 mm (16' 3in)</v>
      </c>
      <c r="S245" s="15">
        <f>IFERROR(__xludf.DUMMYFUNCTION("""COMPUTED_VALUE"""),75.0)</f>
        <v>75</v>
      </c>
      <c r="T245" s="15" t="str">
        <f>IFERROR(__xludf.DUMMYFUNCTION("""COMPUTED_VALUE"""),"40in (NOMINAL), 996 mm")</f>
        <v>40in (NOMINAL), 996 mm</v>
      </c>
      <c r="U245" s="15" t="str">
        <f>IFERROR(__xludf.DUMMYFUNCTION("""COMPUTED_VALUE"""),"platform to lower mezzanine")</f>
        <v>platform to lower mezzanine</v>
      </c>
      <c r="V245" s="15" t="str">
        <f>IFERROR(__xludf.DUMMYFUNCTION("""COMPUTED_VALUE"""),"POINT (-73.95194 40.777588)")</f>
        <v>POINT (-73.95194 40.777588)</v>
      </c>
    </row>
    <row r="246" ht="22.5" customHeight="1">
      <c r="A246" s="7" t="str">
        <f>IFERROR(__xludf.DUMMYFUNCTION("""COMPUTED_VALUE"""),"Grand Central-42 St")</f>
        <v>Grand Central-42 St</v>
      </c>
      <c r="B246" s="8" t="str">
        <f>IFERROR(__xludf.DUMMYFUNCTION("""COMPUTED_VALUE"""),"42nd St Line")</f>
        <v>42nd St Line</v>
      </c>
      <c r="C246" s="8" t="str">
        <f>IFERROR(__xludf.DUMMYFUNCTION("""COMPUTED_VALUE"""),"Manhattan")</f>
        <v>Manhattan</v>
      </c>
      <c r="D246" s="8" t="str">
        <f>IFERROR(__xludf.DUMMYFUNCTION("""COMPUTED_VALUE"""),"Midtown")</f>
        <v>Midtown</v>
      </c>
      <c r="E246" s="33">
        <f>IFERROR(__xludf.DUMMYFUNCTION("""COMPUTED_VALUE"""),1762.0)</f>
        <v>1762</v>
      </c>
      <c r="F246" s="10">
        <f>IFERROR(__xludf.DUMMYFUNCTION("""COMPUTED_VALUE"""),3.3496874E7)</f>
        <v>33496874</v>
      </c>
      <c r="G246" s="19">
        <f>IFERROR(__xludf.DUMMYFUNCTION("""COMPUTED_VALUE"""),2.0)</f>
        <v>2</v>
      </c>
      <c r="H246" s="10" t="str">
        <f>IFERROR(__xludf.DUMMYFUNCTION("""COMPUTED_VALUE"""),"↗️")</f>
        <v>↗️</v>
      </c>
      <c r="I246" s="13">
        <f>IFERROR(__xludf.DUMMYFUNCTION("""COMPUTED_VALUE"""),44174.0)</f>
        <v>44174</v>
      </c>
      <c r="J246" s="32">
        <f>IFERROR(__xludf.DUMMYFUNCTION("""COMPUTED_VALUE"""),44174.0)</f>
        <v>44174</v>
      </c>
      <c r="K246" s="8">
        <f>IFERROR(__xludf.DUMMYFUNCTION("""COMPUTED_VALUE"""),22.0)</f>
        <v>22</v>
      </c>
      <c r="L246" s="15" t="str">
        <f>IFERROR(__xludf.DUMMYFUNCTION("""COMPUTED_VALUE"""),"NO")</f>
        <v>NO</v>
      </c>
      <c r="M246" s="15" t="str">
        <f>IFERROR(__xludf.DUMMYFUNCTION("""COMPUTED_VALUE"""),"Private Contractor")</f>
        <v>Private Contractor</v>
      </c>
      <c r="N246" s="15"/>
      <c r="O246" s="15" t="str">
        <f>IFERROR(__xludf.DUMMYFUNCTION("""COMPUTED_VALUE"""),"YES")</f>
        <v>YES</v>
      </c>
      <c r="P246" s="15"/>
      <c r="Q246" s="15"/>
      <c r="R246" s="15"/>
      <c r="S246" s="15"/>
      <c r="T246" s="15"/>
      <c r="U246" s="15" t="str">
        <f>IFERROR(__xludf.DUMMYFUNCTION("""COMPUTED_VALUE"""),"Platform level for Shuttle service to 42 St and Vanderbilt Ave (NE Corner).")</f>
        <v>Platform level for Shuttle service to 42 St and Vanderbilt Ave (NE Corner).</v>
      </c>
      <c r="V246" s="15" t="str">
        <f>IFERROR(__xludf.DUMMYFUNCTION("""COMPUTED_VALUE"""),"POINT (-73.93359 40.849506)")</f>
        <v>POINT (-73.93359 40.849506)</v>
      </c>
    </row>
    <row r="247" ht="22.5" customHeight="1">
      <c r="A247" s="7" t="str">
        <f>IFERROR(__xludf.DUMMYFUNCTION("""COMPUTED_VALUE"""),"West Farms Sq-E Tremont Av")</f>
        <v>West Farms Sq-E Tremont Av</v>
      </c>
      <c r="B247" s="8" t="str">
        <f>IFERROR(__xludf.DUMMYFUNCTION("""COMPUTED_VALUE"""),"")</f>
        <v/>
      </c>
      <c r="C247" s="8" t="str">
        <f>IFERROR(__xludf.DUMMYFUNCTION("""COMPUTED_VALUE"""),"")</f>
        <v/>
      </c>
      <c r="D247" s="8" t="str">
        <f>IFERROR(__xludf.DUMMYFUNCTION("""COMPUTED_VALUE"""),"")</f>
        <v/>
      </c>
      <c r="E247" s="33" t="str">
        <f>IFERROR(__xludf.DUMMYFUNCTION("""COMPUTED_VALUE"""),"")</f>
        <v/>
      </c>
      <c r="F247" s="10" t="str">
        <f>IFERROR(__xludf.DUMMYFUNCTION("""COMPUTED_VALUE"""),"")</f>
        <v/>
      </c>
      <c r="G247" s="19" t="str">
        <f>IFERROR(__xludf.DUMMYFUNCTION("""COMPUTED_VALUE"""),"")</f>
        <v/>
      </c>
      <c r="H247" s="10" t="str">
        <f>IFERROR(__xludf.DUMMYFUNCTION("""COMPUTED_VALUE"""),"↗️")</f>
        <v>↗️</v>
      </c>
      <c r="I247" s="13">
        <f>IFERROR(__xludf.DUMMYFUNCTION("""COMPUTED_VALUE"""),19906.0)</f>
        <v>19906</v>
      </c>
      <c r="J247" s="32">
        <f>IFERROR(__xludf.DUMMYFUNCTION("""COMPUTED_VALUE"""),38323.0)</f>
        <v>38323</v>
      </c>
      <c r="K247" s="8">
        <f>IFERROR(__xludf.DUMMYFUNCTION("""COMPUTED_VALUE"""),22.0)</f>
        <v>22</v>
      </c>
      <c r="L247" s="15" t="str">
        <f>IFERROR(__xludf.DUMMYFUNCTION("""COMPUTED_VALUE"""),"YES")</f>
        <v>YES</v>
      </c>
      <c r="M247" s="15" t="str">
        <f>IFERROR(__xludf.DUMMYFUNCTION("""COMPUTED_VALUE"""),"NYCT")</f>
        <v>NYCT</v>
      </c>
      <c r="N247" s="15" t="str">
        <f>IFERROR(__xludf.DUMMYFUNCTION("""COMPUTED_VALUE"""),"OK")</f>
        <v>OK</v>
      </c>
      <c r="O247" s="15" t="str">
        <f>IFERROR(__xludf.DUMMYFUNCTION("""COMPUTED_VALUE"""),"YES")</f>
        <v>YES</v>
      </c>
      <c r="P247" s="15" t="str">
        <f>IFERROR(__xludf.DUMMYFUNCTION("""COMPUTED_VALUE"""),"YES")</f>
        <v>YES</v>
      </c>
      <c r="Q247" s="15" t="str">
        <f>IFERROR(__xludf.DUMMYFUNCTION("""COMPUTED_VALUE"""),"YES")</f>
        <v>YES</v>
      </c>
      <c r="R247" s="15" t="str">
        <f>IFERROR(__xludf.DUMMYFUNCTION("""COMPUTED_VALUE"""),"20'")</f>
        <v>20'</v>
      </c>
      <c r="S247" s="15">
        <f>IFERROR(__xludf.DUMMYFUNCTION("""COMPUTED_VALUE"""),78.0)</f>
        <v>78</v>
      </c>
      <c r="T247" s="15">
        <f>IFERROR(__xludf.DUMMYFUNCTION("""COMPUTED_VALUE"""),40.0)</f>
        <v>40</v>
      </c>
      <c r="U247" s="15" t="str">
        <f>IFERROR(__xludf.DUMMYFUNCTION("""COMPUTED_VALUE"""),"East 178 St &amp; Boston Post Rd (SW corner) to mezzanine")</f>
        <v>East 178 St &amp; Boston Post Rd (SW corner) to mezzanine</v>
      </c>
      <c r="V247" s="15" t="str">
        <f>IFERROR(__xludf.DUMMYFUNCTION("""COMPUTED_VALUE"""),"POINT (-73.87972 40.840733)")</f>
        <v>POINT (-73.87972 40.840733)</v>
      </c>
    </row>
    <row r="248" ht="22.5" customHeight="1">
      <c r="A248" s="7" t="str">
        <f>IFERROR(__xludf.DUMMYFUNCTION("""COMPUTED_VALUE"""),"72 St")</f>
        <v>72 St</v>
      </c>
      <c r="B248" s="8" t="str">
        <f>IFERROR(__xludf.DUMMYFUNCTION("""COMPUTED_VALUE"""),"Broadway-7 Av Line")</f>
        <v>Broadway-7 Av Line</v>
      </c>
      <c r="C248" s="8" t="str">
        <f>IFERROR(__xludf.DUMMYFUNCTION("""COMPUTED_VALUE"""),"Manhattan")</f>
        <v>Manhattan</v>
      </c>
      <c r="D248" s="8" t="str">
        <f>IFERROR(__xludf.DUMMYFUNCTION("""COMPUTED_VALUE"""),"Upper West Side")</f>
        <v>Upper West Side</v>
      </c>
      <c r="E248" s="33">
        <f>IFERROR(__xludf.DUMMYFUNCTION("""COMPUTED_VALUE"""),1762.0)</f>
        <v>1762</v>
      </c>
      <c r="F248" s="10">
        <f>IFERROR(__xludf.DUMMYFUNCTION("""COMPUTED_VALUE"""),9752193.0)</f>
        <v>9752193</v>
      </c>
      <c r="G248" s="19">
        <f>IFERROR(__xludf.DUMMYFUNCTION("""COMPUTED_VALUE"""),22.0)</f>
        <v>22</v>
      </c>
      <c r="H248" s="10" t="str">
        <f>IFERROR(__xludf.DUMMYFUNCTION("""COMPUTED_VALUE"""),"↗️")</f>
        <v>↗️</v>
      </c>
      <c r="I248" s="13">
        <f>IFERROR(__xludf.DUMMYFUNCTION("""COMPUTED_VALUE"""),42736.0)</f>
        <v>42736</v>
      </c>
      <c r="J248" s="32">
        <f>IFERROR(__xludf.DUMMYFUNCTION("""COMPUTED_VALUE"""),42736.0)</f>
        <v>42736</v>
      </c>
      <c r="K248" s="8">
        <f>IFERROR(__xludf.DUMMYFUNCTION("""COMPUTED_VALUE"""),22.0)</f>
        <v>22</v>
      </c>
      <c r="L248" s="15" t="str">
        <f>IFERROR(__xludf.DUMMYFUNCTION("""COMPUTED_VALUE"""),"YES")</f>
        <v>YES</v>
      </c>
      <c r="M248" s="15" t="str">
        <f>IFERROR(__xludf.DUMMYFUNCTION("""COMPUTED_VALUE"""),"NYCT")</f>
        <v>NYCT</v>
      </c>
      <c r="N248" s="15" t="str">
        <f>IFERROR(__xludf.DUMMYFUNCTION("""COMPUTED_VALUE"""),"SCHINDLER")</f>
        <v>SCHINDLER</v>
      </c>
      <c r="O248" s="15" t="str">
        <f>IFERROR(__xludf.DUMMYFUNCTION("""COMPUTED_VALUE"""),"YES")</f>
        <v>YES</v>
      </c>
      <c r="P248" s="15" t="str">
        <f>IFERROR(__xludf.DUMMYFUNCTION("""COMPUTED_VALUE"""),"NO")</f>
        <v>NO</v>
      </c>
      <c r="Q248" s="15" t="str">
        <f>IFERROR(__xludf.DUMMYFUNCTION("""COMPUTED_VALUE"""),"NO")</f>
        <v>NO</v>
      </c>
      <c r="R248" s="15" t="str">
        <f>IFERROR(__xludf.DUMMYFUNCTION("""COMPUTED_VALUE"""),"20828 mm (68'4in)")</f>
        <v>20828 mm (68'4in)</v>
      </c>
      <c r="S248" s="15">
        <f>IFERROR(__xludf.DUMMYFUNCTION("""COMPUTED_VALUE"""),0.0)</f>
        <v>0</v>
      </c>
      <c r="T248" s="15"/>
      <c r="U248" s="15" t="str">
        <f>IFERROR(__xludf.DUMMYFUNCTION("""COMPUTED_VALUE"""),"lower mezzanine to upper mezzanine for 69 St &amp; 2nd Ave exit")</f>
        <v>lower mezzanine to upper mezzanine for 69 St &amp; 2nd Ave exit</v>
      </c>
      <c r="V248" s="15" t="str">
        <f>IFERROR(__xludf.DUMMYFUNCTION("""COMPUTED_VALUE"""),"POINT (-73.95917 40.7672)")</f>
        <v>POINT (-73.95917 40.7672)</v>
      </c>
    </row>
    <row r="249" ht="22.5" customHeight="1">
      <c r="A249" s="7" t="str">
        <f>IFERROR(__xludf.DUMMYFUNCTION("""COMPUTED_VALUE"""),"34 St-Hudson Yards")</f>
        <v>34 St-Hudson Yards</v>
      </c>
      <c r="B249" s="8" t="str">
        <f>IFERROR(__xludf.DUMMYFUNCTION("""COMPUTED_VALUE"""),"Flushing Line")</f>
        <v>Flushing Line</v>
      </c>
      <c r="C249" s="8" t="str">
        <f>IFERROR(__xludf.DUMMYFUNCTION("""COMPUTED_VALUE"""),"Manhattan")</f>
        <v>Manhattan</v>
      </c>
      <c r="D249" s="8" t="str">
        <f>IFERROR(__xludf.DUMMYFUNCTION("""COMPUTED_VALUE"""),"Hell's Kitchen")</f>
        <v>Hell's Kitchen</v>
      </c>
      <c r="E249" s="33">
        <f>IFERROR(__xludf.DUMMYFUNCTION("""COMPUTED_VALUE"""),42260.0)</f>
        <v>42260</v>
      </c>
      <c r="F249" s="10">
        <f>IFERROR(__xludf.DUMMYFUNCTION("""COMPUTED_VALUE"""),6082370.0)</f>
        <v>6082370</v>
      </c>
      <c r="G249" s="19">
        <f>IFERROR(__xludf.DUMMYFUNCTION("""COMPUTED_VALUE"""),39.0)</f>
        <v>39</v>
      </c>
      <c r="H249" s="10" t="str">
        <f>IFERROR(__xludf.DUMMYFUNCTION("""COMPUTED_VALUE"""),"↗️")</f>
        <v>↗️</v>
      </c>
      <c r="I249" s="13">
        <f>IFERROR(__xludf.DUMMYFUNCTION("""COMPUTED_VALUE"""),43343.0)</f>
        <v>43343</v>
      </c>
      <c r="J249" s="32">
        <f>IFERROR(__xludf.DUMMYFUNCTION("""COMPUTED_VALUE"""),43343.0)</f>
        <v>43343</v>
      </c>
      <c r="K249" s="8">
        <f>IFERROR(__xludf.DUMMYFUNCTION("""COMPUTED_VALUE"""),22.0)</f>
        <v>22</v>
      </c>
      <c r="L249" s="15" t="str">
        <f>IFERROR(__xludf.DUMMYFUNCTION("""COMPUTED_VALUE"""),"YES")</f>
        <v>YES</v>
      </c>
      <c r="M249" s="15" t="str">
        <f>IFERROR(__xludf.DUMMYFUNCTION("""COMPUTED_VALUE"""),"NYCT")</f>
        <v>NYCT</v>
      </c>
      <c r="N249" s="15" t="str">
        <f>IFERROR(__xludf.DUMMYFUNCTION("""COMPUTED_VALUE"""),"SCHINDLER")</f>
        <v>SCHINDLER</v>
      </c>
      <c r="O249" s="15" t="str">
        <f>IFERROR(__xludf.DUMMYFUNCTION("""COMPUTED_VALUE"""),"YES")</f>
        <v>YES</v>
      </c>
      <c r="P249" s="15" t="str">
        <f>IFERROR(__xludf.DUMMYFUNCTION("""COMPUTED_VALUE"""),"YES")</f>
        <v>YES</v>
      </c>
      <c r="Q249" s="15" t="str">
        <f>IFERROR(__xludf.DUMMYFUNCTION("""COMPUTED_VALUE"""),"YES")</f>
        <v>YES</v>
      </c>
      <c r="R249" s="15" t="str">
        <f>IFERROR(__xludf.DUMMYFUNCTION("""COMPUTED_VALUE"""),"29'")</f>
        <v>29'</v>
      </c>
      <c r="S249" s="15">
        <f>IFERROR(__xludf.DUMMYFUNCTION("""COMPUTED_VALUE"""),110.0)</f>
        <v>110</v>
      </c>
      <c r="T249" s="15">
        <f>IFERROR(__xludf.DUMMYFUNCTION("""COMPUTED_VALUE"""),24.0)</f>
        <v>24</v>
      </c>
      <c r="U249" s="15" t="str">
        <f>IFERROR(__xludf.DUMMYFUNCTION("""COMPUTED_VALUE"""),"upper mezzanine to Hudson Blvd E &amp; 35 St (SW corner)")</f>
        <v>upper mezzanine to Hudson Blvd E &amp; 35 St (SW corner)</v>
      </c>
      <c r="V249" s="15" t="str">
        <f>IFERROR(__xludf.DUMMYFUNCTION("""COMPUTED_VALUE"""),"POINT (-74.00029 40.755875)")</f>
        <v>POINT (-74.00029 40.755875)</v>
      </c>
    </row>
    <row r="250" ht="22.5" customHeight="1">
      <c r="A250" s="7" t="str">
        <f>IFERROR(__xludf.DUMMYFUNCTION("""COMPUTED_VALUE"""),"86 St")</f>
        <v>86 St</v>
      </c>
      <c r="B250" s="8" t="str">
        <f>IFERROR(__xludf.DUMMYFUNCTION("""COMPUTED_VALUE"""),"4 Av Line")</f>
        <v>4 Av Line</v>
      </c>
      <c r="C250" s="8" t="str">
        <f>IFERROR(__xludf.DUMMYFUNCTION("""COMPUTED_VALUE"""),"Brooklyn")</f>
        <v>Brooklyn</v>
      </c>
      <c r="D250" s="8" t="str">
        <f>IFERROR(__xludf.DUMMYFUNCTION("""COMPUTED_VALUE"""),"Bay Ridge")</f>
        <v>Bay Ridge</v>
      </c>
      <c r="E250" s="33">
        <f>IFERROR(__xludf.DUMMYFUNCTION("""COMPUTED_VALUE"""),5859.0)</f>
        <v>5859</v>
      </c>
      <c r="F250" s="8">
        <f>IFERROR(__xludf.DUMMYFUNCTION("""COMPUTED_VALUE"""),2580130.0)</f>
        <v>2580130</v>
      </c>
      <c r="G250" s="19">
        <f>IFERROR(__xludf.DUMMYFUNCTION("""COMPUTED_VALUE"""),135.0)</f>
        <v>135</v>
      </c>
      <c r="H250" s="10" t="str">
        <f>IFERROR(__xludf.DUMMYFUNCTION("""COMPUTED_VALUE"""),"↗️")</f>
        <v>↗️</v>
      </c>
      <c r="I250" s="13">
        <f>IFERROR(__xludf.DUMMYFUNCTION("""COMPUTED_VALUE"""),42736.0)</f>
        <v>42736</v>
      </c>
      <c r="J250" s="32">
        <f>IFERROR(__xludf.DUMMYFUNCTION("""COMPUTED_VALUE"""),42736.0)</f>
        <v>42736</v>
      </c>
      <c r="K250" s="8">
        <f>IFERROR(__xludf.DUMMYFUNCTION("""COMPUTED_VALUE"""),22.0)</f>
        <v>22</v>
      </c>
      <c r="L250" s="15" t="str">
        <f>IFERROR(__xludf.DUMMYFUNCTION("""COMPUTED_VALUE"""),"YES")</f>
        <v>YES</v>
      </c>
      <c r="M250" s="15" t="str">
        <f>IFERROR(__xludf.DUMMYFUNCTION("""COMPUTED_VALUE"""),"NYCT")</f>
        <v>NYCT</v>
      </c>
      <c r="N250" s="15" t="str">
        <f>IFERROR(__xludf.DUMMYFUNCTION("""COMPUTED_VALUE"""),"KONE")</f>
        <v>KONE</v>
      </c>
      <c r="O250" s="15" t="str">
        <f>IFERROR(__xludf.DUMMYFUNCTION("""COMPUTED_VALUE"""),"YES")</f>
        <v>YES</v>
      </c>
      <c r="P250" s="15" t="str">
        <f>IFERROR(__xludf.DUMMYFUNCTION("""COMPUTED_VALUE"""),"YES")</f>
        <v>YES</v>
      </c>
      <c r="Q250" s="15" t="str">
        <f>IFERROR(__xludf.DUMMYFUNCTION("""COMPUTED_VALUE"""),"YES")</f>
        <v>YES</v>
      </c>
      <c r="R250" s="15" t="str">
        <f>IFERROR(__xludf.DUMMYFUNCTION("""COMPUTED_VALUE"""),"8768 mm (28 ' 9 3/16in)")</f>
        <v>8768 mm (28 ' 9 3/16in)</v>
      </c>
      <c r="S250" s="15">
        <f>IFERROR(__xludf.DUMMYFUNCTION("""COMPUTED_VALUE"""),113.0)</f>
        <v>113</v>
      </c>
      <c r="T250" s="15"/>
      <c r="U250" s="15" t="str">
        <f>IFERROR(__xludf.DUMMYFUNCTION("""COMPUTED_VALUE"""),"upper mezzanine to 86 St &amp; 2nd Ave (NE corner)")</f>
        <v>upper mezzanine to 86 St &amp; 2nd Ave (NE corner)</v>
      </c>
      <c r="V250" s="15" t="str">
        <f>IFERROR(__xludf.DUMMYFUNCTION("""COMPUTED_VALUE"""),"POINT (-73.95085 40.777596)")</f>
        <v>POINT (-73.95085 40.777596)</v>
      </c>
    </row>
    <row r="251" ht="22.5" customHeight="1">
      <c r="A251" s="7" t="str">
        <f>IFERROR(__xludf.DUMMYFUNCTION("""COMPUTED_VALUE"""),"34 St-Herald Sq")</f>
        <v>34 St-Herald Sq</v>
      </c>
      <c r="B251" s="8" t="str">
        <f>IFERROR(__xludf.DUMMYFUNCTION("""COMPUTED_VALUE"""),"Broadway Line")</f>
        <v>Broadway Line</v>
      </c>
      <c r="C251" s="8" t="str">
        <f>IFERROR(__xludf.DUMMYFUNCTION("""COMPUTED_VALUE"""),"Manhattan")</f>
        <v>Manhattan</v>
      </c>
      <c r="D251" s="8" t="str">
        <f>IFERROR(__xludf.DUMMYFUNCTION("""COMPUTED_VALUE"""),"Midtown")</f>
        <v>Midtown</v>
      </c>
      <c r="E251" s="33">
        <f>IFERROR(__xludf.DUMMYFUNCTION("""COMPUTED_VALUE"""),6580.0)</f>
        <v>6580</v>
      </c>
      <c r="F251" s="10">
        <f>IFERROR(__xludf.DUMMYFUNCTION("""COMPUTED_VALUE"""),2.5012549E7)</f>
        <v>25012549</v>
      </c>
      <c r="G251" s="19">
        <f>IFERROR(__xludf.DUMMYFUNCTION("""COMPUTED_VALUE"""),3.0)</f>
        <v>3</v>
      </c>
      <c r="H251" s="10" t="str">
        <f>IFERROR(__xludf.DUMMYFUNCTION("""COMPUTED_VALUE"""),"↗️")</f>
        <v>↗️</v>
      </c>
      <c r="I251" s="13">
        <f>IFERROR(__xludf.DUMMYFUNCTION("""COMPUTED_VALUE"""),14960.0)</f>
        <v>14960</v>
      </c>
      <c r="J251" s="32">
        <f>IFERROR(__xludf.DUMMYFUNCTION("""COMPUTED_VALUE"""),39046.0)</f>
        <v>39046</v>
      </c>
      <c r="K251" s="8">
        <f>IFERROR(__xludf.DUMMYFUNCTION("""COMPUTED_VALUE"""),22.0)</f>
        <v>22</v>
      </c>
      <c r="L251" s="15" t="str">
        <f>IFERROR(__xludf.DUMMYFUNCTION("""COMPUTED_VALUE"""),"YES")</f>
        <v>YES</v>
      </c>
      <c r="M251" s="15" t="str">
        <f>IFERROR(__xludf.DUMMYFUNCTION("""COMPUTED_VALUE"""),"NYCT")</f>
        <v>NYCT</v>
      </c>
      <c r="N251" s="15" t="str">
        <f>IFERROR(__xludf.DUMMYFUNCTION("""COMPUTED_VALUE"""),"FUJITEC")</f>
        <v>FUJITEC</v>
      </c>
      <c r="O251" s="15" t="str">
        <f>IFERROR(__xludf.DUMMYFUNCTION("""COMPUTED_VALUE"""),"YES")</f>
        <v>YES</v>
      </c>
      <c r="P251" s="15" t="str">
        <f>IFERROR(__xludf.DUMMYFUNCTION("""COMPUTED_VALUE"""),"YES")</f>
        <v>YES</v>
      </c>
      <c r="Q251" s="15" t="str">
        <f>IFERROR(__xludf.DUMMYFUNCTION("""COMPUTED_VALUE"""),"NO")</f>
        <v>NO</v>
      </c>
      <c r="R251" s="15" t="str">
        <f>IFERROR(__xludf.DUMMYFUNCTION("""COMPUTED_VALUE"""),"13'")</f>
        <v>13'</v>
      </c>
      <c r="S251" s="15">
        <f>IFERROR(__xludf.DUMMYFUNCTION("""COMPUTED_VALUE"""),59.0)</f>
        <v>59</v>
      </c>
      <c r="T251" s="15">
        <f>IFERROR(__xludf.DUMMYFUNCTION("""COMPUTED_VALUE"""),40.0)</f>
        <v>40</v>
      </c>
      <c r="U251" s="15" t="str">
        <f>IFERROR(__xludf.DUMMYFUNCTION("""COMPUTED_VALUE"""),"intermediate mezzanine to 32 St &amp; 6th Ave (NW corner)")</f>
        <v>intermediate mezzanine to 32 St &amp; 6th Ave (NW corner)</v>
      </c>
      <c r="V251" s="15" t="str">
        <f>IFERROR(__xludf.DUMMYFUNCTION("""COMPUTED_VALUE"""),"POINT (-73.988655 40.74899)")</f>
        <v>POINT (-73.988655 40.74899)</v>
      </c>
    </row>
    <row r="252" ht="22.5" customHeight="1">
      <c r="A252" s="7" t="str">
        <f>IFERROR(__xludf.DUMMYFUNCTION("""COMPUTED_VALUE"""),"34 St-Hudson Yards")</f>
        <v>34 St-Hudson Yards</v>
      </c>
      <c r="B252" s="8" t="str">
        <f>IFERROR(__xludf.DUMMYFUNCTION("""COMPUTED_VALUE"""),"Flushing Line")</f>
        <v>Flushing Line</v>
      </c>
      <c r="C252" s="8" t="str">
        <f>IFERROR(__xludf.DUMMYFUNCTION("""COMPUTED_VALUE"""),"Manhattan")</f>
        <v>Manhattan</v>
      </c>
      <c r="D252" s="8" t="str">
        <f>IFERROR(__xludf.DUMMYFUNCTION("""COMPUTED_VALUE"""),"Hell's Kitchen")</f>
        <v>Hell's Kitchen</v>
      </c>
      <c r="E252" s="33">
        <f>IFERROR(__xludf.DUMMYFUNCTION("""COMPUTED_VALUE"""),42260.0)</f>
        <v>42260</v>
      </c>
      <c r="F252" s="10">
        <f>IFERROR(__xludf.DUMMYFUNCTION("""COMPUTED_VALUE"""),6082370.0)</f>
        <v>6082370</v>
      </c>
      <c r="G252" s="19">
        <f>IFERROR(__xludf.DUMMYFUNCTION("""COMPUTED_VALUE"""),39.0)</f>
        <v>39</v>
      </c>
      <c r="H252" s="10" t="str">
        <f>IFERROR(__xludf.DUMMYFUNCTION("""COMPUTED_VALUE"""),"↗️")</f>
        <v>↗️</v>
      </c>
      <c r="I252" s="13">
        <f>IFERROR(__xludf.DUMMYFUNCTION("""COMPUTED_VALUE"""),42260.0)</f>
        <v>42260</v>
      </c>
      <c r="J252" s="32">
        <f>IFERROR(__xludf.DUMMYFUNCTION("""COMPUTED_VALUE"""),42260.0)</f>
        <v>42260</v>
      </c>
      <c r="K252" s="8">
        <f>IFERROR(__xludf.DUMMYFUNCTION("""COMPUTED_VALUE"""),22.0)</f>
        <v>22</v>
      </c>
      <c r="L252" s="15" t="str">
        <f>IFERROR(__xludf.DUMMYFUNCTION("""COMPUTED_VALUE"""),"YES")</f>
        <v>YES</v>
      </c>
      <c r="M252" s="15" t="str">
        <f>IFERROR(__xludf.DUMMYFUNCTION("""COMPUTED_VALUE"""),"NYCT")</f>
        <v>NYCT</v>
      </c>
      <c r="N252" s="15" t="str">
        <f>IFERROR(__xludf.DUMMYFUNCTION("""COMPUTED_VALUE"""),"KONE")</f>
        <v>KONE</v>
      </c>
      <c r="O252" s="15" t="str">
        <f>IFERROR(__xludf.DUMMYFUNCTION("""COMPUTED_VALUE"""),"YES")</f>
        <v>YES</v>
      </c>
      <c r="P252" s="15" t="str">
        <f>IFERROR(__xludf.DUMMYFUNCTION("""COMPUTED_VALUE"""),"NO")</f>
        <v>NO</v>
      </c>
      <c r="Q252" s="15" t="str">
        <f>IFERROR(__xludf.DUMMYFUNCTION("""COMPUTED_VALUE"""),"NO")</f>
        <v>NO</v>
      </c>
      <c r="R252" s="15" t="str">
        <f>IFERROR(__xludf.DUMMYFUNCTION("""COMPUTED_VALUE"""),"24,892 mm (81' 8in)")</f>
        <v>24,892 mm (81' 8in)</v>
      </c>
      <c r="S252" s="15">
        <f>IFERROR(__xludf.DUMMYFUNCTION("""COMPUTED_VALUE"""),283.0)</f>
        <v>283</v>
      </c>
      <c r="T252" s="15" t="str">
        <f>IFERROR(__xludf.DUMMYFUNCTION("""COMPUTED_VALUE"""),"1000 mm (40in)")</f>
        <v>1000 mm (40in)</v>
      </c>
      <c r="U252" s="15" t="str">
        <f>IFERROR(__xludf.DUMMYFUNCTION("""COMPUTED_VALUE"""),"upper mezzanine (between 33 St &amp; 34 St) to lower mezzanine")</f>
        <v>upper mezzanine (between 33 St &amp; 34 St) to lower mezzanine</v>
      </c>
      <c r="V252" s="15" t="str">
        <f>IFERROR(__xludf.DUMMYFUNCTION("""COMPUTED_VALUE"""),"POINT (-74.00177 40.75539)")</f>
        <v>POINT (-74.00177 40.75539)</v>
      </c>
    </row>
    <row r="253" ht="22.5" customHeight="1">
      <c r="A253" s="7" t="str">
        <f>IFERROR(__xludf.DUMMYFUNCTION("""COMPUTED_VALUE"""),"Pelham Bay Park")</f>
        <v>Pelham Bay Park</v>
      </c>
      <c r="B253" s="8" t="str">
        <f>IFERROR(__xludf.DUMMYFUNCTION("""COMPUTED_VALUE"""),"Pelham Line")</f>
        <v>Pelham Line</v>
      </c>
      <c r="C253" s="8" t="str">
        <f>IFERROR(__xludf.DUMMYFUNCTION("""COMPUTED_VALUE"""),"The Bronx")</f>
        <v>The Bronx</v>
      </c>
      <c r="D253" s="8" t="str">
        <f>IFERROR(__xludf.DUMMYFUNCTION("""COMPUTED_VALUE"""),"Pelham Bay")</f>
        <v>Pelham Bay</v>
      </c>
      <c r="E253" s="33">
        <f>IFERROR(__xludf.DUMMYFUNCTION("""COMPUTED_VALUE"""),7660.0)</f>
        <v>7660</v>
      </c>
      <c r="F253" s="8">
        <f>IFERROR(__xludf.DUMMYFUNCTION("""COMPUTED_VALUE"""),1136845.0)</f>
        <v>1136845</v>
      </c>
      <c r="G253" s="19">
        <f>IFERROR(__xludf.DUMMYFUNCTION("""COMPUTED_VALUE"""),270.0)</f>
        <v>270</v>
      </c>
      <c r="H253" s="10" t="str">
        <f>IFERROR(__xludf.DUMMYFUNCTION("""COMPUTED_VALUE"""),"↗️")</f>
        <v>↗️</v>
      </c>
      <c r="I253" s="13">
        <f>IFERROR(__xludf.DUMMYFUNCTION("""COMPUTED_VALUE"""),32752.0)</f>
        <v>32752</v>
      </c>
      <c r="J253" s="32">
        <f>IFERROR(__xludf.DUMMYFUNCTION("""COMPUTED_VALUE"""),44821.0)</f>
        <v>44821</v>
      </c>
      <c r="K253" s="8">
        <f>IFERROR(__xludf.DUMMYFUNCTION("""COMPUTED_VALUE"""),22.0)</f>
        <v>22</v>
      </c>
      <c r="L253" s="15" t="str">
        <f>IFERROR(__xludf.DUMMYFUNCTION("""COMPUTED_VALUE"""),"YES")</f>
        <v>YES</v>
      </c>
      <c r="M253" s="15" t="str">
        <f>IFERROR(__xludf.DUMMYFUNCTION("""COMPUTED_VALUE"""),"NYCT")</f>
        <v>NYCT</v>
      </c>
      <c r="N253" s="15" t="str">
        <f>IFERROR(__xludf.DUMMYFUNCTION("""COMPUTED_VALUE"""),"KONE")</f>
        <v>KONE</v>
      </c>
      <c r="O253" s="15" t="str">
        <f>IFERROR(__xludf.DUMMYFUNCTION("""COMPUTED_VALUE"""),"YES")</f>
        <v>YES</v>
      </c>
      <c r="P253" s="15" t="str">
        <f>IFERROR(__xludf.DUMMYFUNCTION("""COMPUTED_VALUE"""),"YES")</f>
        <v>YES</v>
      </c>
      <c r="Q253" s="15" t="str">
        <f>IFERROR(__xludf.DUMMYFUNCTION("""COMPUTED_VALUE"""),"YES")</f>
        <v>YES</v>
      </c>
      <c r="R253" s="15" t="str">
        <f>IFERROR(__xludf.DUMMYFUNCTION("""COMPUTED_VALUE"""),"4362mm (14' 3-3/4in)")</f>
        <v>4362mm (14' 3-3/4in)</v>
      </c>
      <c r="S253" s="15">
        <f>IFERROR(__xludf.DUMMYFUNCTION("""COMPUTED_VALUE"""),62.0)</f>
        <v>62</v>
      </c>
      <c r="T253" s="15" t="str">
        <f>IFERROR(__xludf.DUMMYFUNCTION("""COMPUTED_VALUE"""),"1000mm (40in NOMINAL)")</f>
        <v>1000mm (40in NOMINAL)</v>
      </c>
      <c r="U253" s="15" t="str">
        <f>IFERROR(__xludf.DUMMYFUNCTION("""COMPUTED_VALUE"""),"mezzanine to platform for Manhattan-bound service")</f>
        <v>mezzanine to platform for Manhattan-bound service</v>
      </c>
      <c r="V253" s="15" t="str">
        <f>IFERROR(__xludf.DUMMYFUNCTION("""COMPUTED_VALUE"""),"POINT (-73.8271 40.8528)")</f>
        <v>POINT (-73.8271 40.8528)</v>
      </c>
    </row>
    <row r="254" ht="22.5" customHeight="1">
      <c r="A254" s="7" t="str">
        <f>IFERROR(__xludf.DUMMYFUNCTION("""COMPUTED_VALUE"""),"Fulton St")</f>
        <v>Fulton St</v>
      </c>
      <c r="B254" s="8" t="str">
        <f>IFERROR(__xludf.DUMMYFUNCTION("""COMPUTED_VALUE"""),"Broadway-7 Av Line")</f>
        <v>Broadway-7 Av Line</v>
      </c>
      <c r="C254" s="8" t="str">
        <f>IFERROR(__xludf.DUMMYFUNCTION("""COMPUTED_VALUE"""),"Manhattan")</f>
        <v>Manhattan</v>
      </c>
      <c r="D254" s="8" t="str">
        <f>IFERROR(__xludf.DUMMYFUNCTION("""COMPUTED_VALUE"""),"Financial District")</f>
        <v>Financial District</v>
      </c>
      <c r="E254" s="33">
        <f>IFERROR(__xludf.DUMMYFUNCTION("""COMPUTED_VALUE"""),6757.0)</f>
        <v>6757</v>
      </c>
      <c r="F254" s="10">
        <f>IFERROR(__xludf.DUMMYFUNCTION("""COMPUTED_VALUE"""),1.9221396E7)</f>
        <v>19221396</v>
      </c>
      <c r="G254" s="19">
        <f>IFERROR(__xludf.DUMMYFUNCTION("""COMPUTED_VALUE"""),5.0)</f>
        <v>5</v>
      </c>
      <c r="H254" s="10" t="str">
        <f>IFERROR(__xludf.DUMMYFUNCTION("""COMPUTED_VALUE"""),"↗️")</f>
        <v>↗️</v>
      </c>
      <c r="I254" s="13"/>
      <c r="J254" s="32">
        <f>IFERROR(__xludf.DUMMYFUNCTION("""COMPUTED_VALUE"""),41110.0)</f>
        <v>41110</v>
      </c>
      <c r="K254" s="8">
        <f>IFERROR(__xludf.DUMMYFUNCTION("""COMPUTED_VALUE"""),22.0)</f>
        <v>22</v>
      </c>
      <c r="L254" s="15" t="str">
        <f>IFERROR(__xludf.DUMMYFUNCTION("""COMPUTED_VALUE"""),"NO")</f>
        <v>NO</v>
      </c>
      <c r="M254" s="15" t="str">
        <f>IFERROR(__xludf.DUMMYFUNCTION("""COMPUTED_VALUE"""),"Private Contractor")</f>
        <v>Private Contractor</v>
      </c>
      <c r="N254" s="15" t="str">
        <f>IFERROR(__xludf.DUMMYFUNCTION("""COMPUTED_VALUE"""),"OTIS")</f>
        <v>OTIS</v>
      </c>
      <c r="O254" s="15" t="str">
        <f>IFERROR(__xludf.DUMMYFUNCTION("""COMPUTED_VALUE"""),"YES")</f>
        <v>YES</v>
      </c>
      <c r="P254" s="15" t="str">
        <f>IFERROR(__xludf.DUMMYFUNCTION("""COMPUTED_VALUE"""),"NO")</f>
        <v>NO</v>
      </c>
      <c r="Q254" s="15" t="str">
        <f>IFERROR(__xludf.DUMMYFUNCTION("""COMPUTED_VALUE"""),"NO")</f>
        <v>NO</v>
      </c>
      <c r="R254" s="15"/>
      <c r="S254" s="15">
        <f>IFERROR(__xludf.DUMMYFUNCTION("""COMPUTED_VALUE"""),0.0)</f>
        <v>0</v>
      </c>
      <c r="T254" s="15"/>
      <c r="U254" s="15" t="str">
        <f>IFERROR(__xludf.DUMMYFUNCTION("""COMPUTED_VALUE"""),"Nassau St (between Maiden Lane &amp; John St) to Broad St-bound J/Z platform and access to rest of complex")</f>
        <v>Nassau St (between Maiden Lane &amp; John St) to Broad St-bound J/Z platform and access to rest of complex</v>
      </c>
      <c r="V254" s="15" t="str">
        <f>IFERROR(__xludf.DUMMYFUNCTION("""COMPUTED_VALUE"""),"POINT (-74.00836 40.709286)")</f>
        <v>POINT (-74.00836 40.709286)</v>
      </c>
    </row>
    <row r="255" ht="22.5" customHeight="1">
      <c r="A255" s="7" t="str">
        <f>IFERROR(__xludf.DUMMYFUNCTION("""COMPUTED_VALUE"""),"Cortlandt St")</f>
        <v>Cortlandt St</v>
      </c>
      <c r="B255" s="8" t="str">
        <f>IFERROR(__xludf.DUMMYFUNCTION("""COMPUTED_VALUE"""),"")</f>
        <v/>
      </c>
      <c r="C255" s="8" t="str">
        <f>IFERROR(__xludf.DUMMYFUNCTION("""COMPUTED_VALUE"""),"")</f>
        <v/>
      </c>
      <c r="D255" s="8" t="str">
        <f>IFERROR(__xludf.DUMMYFUNCTION("""COMPUTED_VALUE"""),"")</f>
        <v/>
      </c>
      <c r="E255" s="33" t="str">
        <f>IFERROR(__xludf.DUMMYFUNCTION("""COMPUTED_VALUE"""),"")</f>
        <v/>
      </c>
      <c r="F255" s="8" t="str">
        <f>IFERROR(__xludf.DUMMYFUNCTION("""COMPUTED_VALUE"""),"")</f>
        <v/>
      </c>
      <c r="G255" s="19" t="str">
        <f>IFERROR(__xludf.DUMMYFUNCTION("""COMPUTED_VALUE"""),"")</f>
        <v/>
      </c>
      <c r="H255" s="10" t="str">
        <f>IFERROR(__xludf.DUMMYFUNCTION("""COMPUTED_VALUE"""),"↗️")</f>
        <v>↗️</v>
      </c>
      <c r="I255" s="13"/>
      <c r="J255" s="32">
        <f>IFERROR(__xludf.DUMMYFUNCTION("""COMPUTED_VALUE"""),36586.0)</f>
        <v>36586</v>
      </c>
      <c r="K255" s="8">
        <f>IFERROR(__xludf.DUMMYFUNCTION("""COMPUTED_VALUE"""),22.0)</f>
        <v>22</v>
      </c>
      <c r="L255" s="15" t="str">
        <f>IFERROR(__xludf.DUMMYFUNCTION("""COMPUTED_VALUE"""),"NO")</f>
        <v>NO</v>
      </c>
      <c r="M255" s="15" t="str">
        <f>IFERROR(__xludf.DUMMYFUNCTION("""COMPUTED_VALUE"""),"Private Contractor")</f>
        <v>Private Contractor</v>
      </c>
      <c r="N255" s="15" t="str">
        <f>IFERROR(__xludf.DUMMYFUNCTION("""COMPUTED_VALUE"""),"AM")</f>
        <v>AM</v>
      </c>
      <c r="O255" s="15" t="str">
        <f>IFERROR(__xludf.DUMMYFUNCTION("""COMPUTED_VALUE"""),"YES")</f>
        <v>YES</v>
      </c>
      <c r="P255" s="15" t="str">
        <f>IFERROR(__xludf.DUMMYFUNCTION("""COMPUTED_VALUE"""),"NO")</f>
        <v>NO</v>
      </c>
      <c r="Q255" s="15" t="str">
        <f>IFERROR(__xludf.DUMMYFUNCTION("""COMPUTED_VALUE"""),"NO")</f>
        <v>NO</v>
      </c>
      <c r="R255" s="15"/>
      <c r="S255" s="15"/>
      <c r="T255" s="15"/>
      <c r="U255" s="15" t="str">
        <f>IFERROR(__xludf.DUMMYFUNCTION("""COMPUTED_VALUE"""),"underpass to mezzanine (Cortlandt St &amp; Church St) for access to street and uptown R/W service")</f>
        <v>underpass to mezzanine (Cortlandt St &amp; Church St) for access to street and uptown R/W service</v>
      </c>
      <c r="V255" s="15" t="str">
        <f>IFERROR(__xludf.DUMMYFUNCTION("""COMPUTED_VALUE"""),"POINT (-74.01114 40.71012)")</f>
        <v>POINT (-74.01114 40.71012)</v>
      </c>
    </row>
    <row r="256" ht="22.5" customHeight="1">
      <c r="A256" s="7" t="str">
        <f>IFERROR(__xludf.DUMMYFUNCTION("""COMPUTED_VALUE"""),"Lexington Av/53 St")</f>
        <v>Lexington Av/53 St</v>
      </c>
      <c r="B256" s="8" t="str">
        <f>IFERROR(__xludf.DUMMYFUNCTION("""COMPUTED_VALUE"""),"")</f>
        <v/>
      </c>
      <c r="C256" s="8" t="str">
        <f>IFERROR(__xludf.DUMMYFUNCTION("""COMPUTED_VALUE"""),"")</f>
        <v/>
      </c>
      <c r="D256" s="8" t="str">
        <f>IFERROR(__xludf.DUMMYFUNCTION("""COMPUTED_VALUE"""),"")</f>
        <v/>
      </c>
      <c r="E256" s="33" t="str">
        <f>IFERROR(__xludf.DUMMYFUNCTION("""COMPUTED_VALUE"""),"")</f>
        <v/>
      </c>
      <c r="F256" s="8" t="str">
        <f>IFERROR(__xludf.DUMMYFUNCTION("""COMPUTED_VALUE"""),"")</f>
        <v/>
      </c>
      <c r="G256" s="19" t="str">
        <f>IFERROR(__xludf.DUMMYFUNCTION("""COMPUTED_VALUE"""),"")</f>
        <v/>
      </c>
      <c r="H256" s="10" t="str">
        <f>IFERROR(__xludf.DUMMYFUNCTION("""COMPUTED_VALUE"""),"↗️")</f>
        <v>↗️</v>
      </c>
      <c r="I256" s="13">
        <f>IFERROR(__xludf.DUMMYFUNCTION("""COMPUTED_VALUE"""),37909.0)</f>
        <v>37909</v>
      </c>
      <c r="J256" s="32">
        <f>IFERROR(__xludf.DUMMYFUNCTION("""COMPUTED_VALUE"""),37909.0)</f>
        <v>37909</v>
      </c>
      <c r="K256" s="8">
        <f>IFERROR(__xludf.DUMMYFUNCTION("""COMPUTED_VALUE"""),22.0)</f>
        <v>22</v>
      </c>
      <c r="L256" s="15" t="str">
        <f>IFERROR(__xludf.DUMMYFUNCTION("""COMPUTED_VALUE"""),"YES")</f>
        <v>YES</v>
      </c>
      <c r="M256" s="15" t="str">
        <f>IFERROR(__xludf.DUMMYFUNCTION("""COMPUTED_VALUE"""),"NYCT")</f>
        <v>NYCT</v>
      </c>
      <c r="N256" s="15" t="str">
        <f>IFERROR(__xludf.DUMMYFUNCTION("""COMPUTED_VALUE"""),"OK")</f>
        <v>OK</v>
      </c>
      <c r="O256" s="15" t="str">
        <f>IFERROR(__xludf.DUMMYFUNCTION("""COMPUTED_VALUE"""),"YES")</f>
        <v>YES</v>
      </c>
      <c r="P256" s="15" t="str">
        <f>IFERROR(__xludf.DUMMYFUNCTION("""COMPUTED_VALUE"""),"NO")</f>
        <v>NO</v>
      </c>
      <c r="Q256" s="15" t="str">
        <f>IFERROR(__xludf.DUMMYFUNCTION("""COMPUTED_VALUE"""),"NO")</f>
        <v>NO</v>
      </c>
      <c r="R256" s="15" t="str">
        <f>IFERROR(__xludf.DUMMYFUNCTION("""COMPUTED_VALUE"""),"56'")</f>
        <v>56'</v>
      </c>
      <c r="S256" s="15"/>
      <c r="T256" s="15">
        <f>IFERROR(__xludf.DUMMYFUNCTION("""COMPUTED_VALUE"""),40.0)</f>
        <v>40</v>
      </c>
      <c r="U256" s="15" t="str">
        <f>IFERROR(__xludf.DUMMYFUNCTION("""COMPUTED_VALUE"""),"6 mezzanine (53 St &amp; Lexington Av) to E/F platform for both directions.")</f>
        <v>6 mezzanine (53 St &amp; Lexington Av) to E/F platform for both directions.</v>
      </c>
      <c r="V256" s="15" t="str">
        <f>IFERROR(__xludf.DUMMYFUNCTION("""COMPUTED_VALUE"""),"POINT (-73.97098 40.75812)")</f>
        <v>POINT (-73.97098 40.75812)</v>
      </c>
    </row>
    <row r="257" ht="22.5" customHeight="1">
      <c r="A257" s="7" t="str">
        <f>IFERROR(__xludf.DUMMYFUNCTION("""COMPUTED_VALUE"""),"5 Av/53 St")</f>
        <v>5 Av/53 St</v>
      </c>
      <c r="B257" s="8" t="str">
        <f>IFERROR(__xludf.DUMMYFUNCTION("""COMPUTED_VALUE"""),"Queens Blvd Line")</f>
        <v>Queens Blvd Line</v>
      </c>
      <c r="C257" s="8" t="str">
        <f>IFERROR(__xludf.DUMMYFUNCTION("""COMPUTED_VALUE"""),"Manhattan")</f>
        <v>Manhattan</v>
      </c>
      <c r="D257" s="8" t="str">
        <f>IFERROR(__xludf.DUMMYFUNCTION("""COMPUTED_VALUE"""),"Midtown")</f>
        <v>Midtown</v>
      </c>
      <c r="E257" s="33">
        <f>IFERROR(__xludf.DUMMYFUNCTION("""COMPUTED_VALUE"""),12359.0)</f>
        <v>12359</v>
      </c>
      <c r="F257" s="10">
        <f>IFERROR(__xludf.DUMMYFUNCTION("""COMPUTED_VALUE"""),4590651.0)</f>
        <v>4590651</v>
      </c>
      <c r="G257" s="19">
        <f>IFERROR(__xludf.DUMMYFUNCTION("""COMPUTED_VALUE"""),64.0)</f>
        <v>64</v>
      </c>
      <c r="H257" s="10" t="str">
        <f>IFERROR(__xludf.DUMMYFUNCTION("""COMPUTED_VALUE"""),"❌")</f>
        <v>❌</v>
      </c>
      <c r="I257" s="13">
        <f>IFERROR(__xludf.DUMMYFUNCTION("""COMPUTED_VALUE"""),21975.0)</f>
        <v>21975</v>
      </c>
      <c r="J257" s="32">
        <f>IFERROR(__xludf.DUMMYFUNCTION("""COMPUTED_VALUE"""),35916.0)</f>
        <v>35916</v>
      </c>
      <c r="K257" s="8">
        <f>IFERROR(__xludf.DUMMYFUNCTION("""COMPUTED_VALUE"""),22.0)</f>
        <v>22</v>
      </c>
      <c r="L257" s="15" t="str">
        <f>IFERROR(__xludf.DUMMYFUNCTION("""COMPUTED_VALUE"""),"YES")</f>
        <v>YES</v>
      </c>
      <c r="M257" s="15" t="str">
        <f>IFERROR(__xludf.DUMMYFUNCTION("""COMPUTED_VALUE"""),"NYCT")</f>
        <v>NYCT</v>
      </c>
      <c r="N257" s="15" t="str">
        <f>IFERROR(__xludf.DUMMYFUNCTION("""COMPUTED_VALUE"""),"OK")</f>
        <v>OK</v>
      </c>
      <c r="O257" s="15" t="str">
        <f>IFERROR(__xludf.DUMMYFUNCTION("""COMPUTED_VALUE"""),"YES")</f>
        <v>YES</v>
      </c>
      <c r="P257" s="15" t="str">
        <f>IFERROR(__xludf.DUMMYFUNCTION("""COMPUTED_VALUE"""),"NO")</f>
        <v>NO</v>
      </c>
      <c r="Q257" s="15" t="str">
        <f>IFERROR(__xludf.DUMMYFUNCTION("""COMPUTED_VALUE"""),"NO")</f>
        <v>NO</v>
      </c>
      <c r="R257" s="15" t="str">
        <f>IFERROR(__xludf.DUMMYFUNCTION("""COMPUTED_VALUE"""),"41'")</f>
        <v>41'</v>
      </c>
      <c r="S257" s="15">
        <f>IFERROR(__xludf.DUMMYFUNCTION("""COMPUTED_VALUE"""),144.0)</f>
        <v>144</v>
      </c>
      <c r="T257" s="15">
        <f>IFERROR(__xludf.DUMMYFUNCTION("""COMPUTED_VALUE"""),40.0)</f>
        <v>40</v>
      </c>
      <c r="U257" s="15" t="str">
        <f>IFERROR(__xludf.DUMMYFUNCTION("""COMPUTED_VALUE"""),"downtown platform to mezzanine for Madison Ave &amp; 53 St exit")</f>
        <v>downtown platform to mezzanine for Madison Ave &amp; 53 St exit</v>
      </c>
      <c r="V257" s="15" t="str">
        <f>IFERROR(__xludf.DUMMYFUNCTION("""COMPUTED_VALUE"""),"POINT (-73.97395 40.759613)")</f>
        <v>POINT (-73.97395 40.759613)</v>
      </c>
    </row>
    <row r="258" ht="22.5" customHeight="1">
      <c r="A258" s="7" t="str">
        <f>IFERROR(__xludf.DUMMYFUNCTION("""COMPUTED_VALUE"""),"High St")</f>
        <v>High St</v>
      </c>
      <c r="B258" s="8" t="str">
        <f>IFERROR(__xludf.DUMMYFUNCTION("""COMPUTED_VALUE"""),"8 Av Line")</f>
        <v>8 Av Line</v>
      </c>
      <c r="C258" s="8" t="str">
        <f>IFERROR(__xludf.DUMMYFUNCTION("""COMPUTED_VALUE"""),"Brooklyn")</f>
        <v>Brooklyn</v>
      </c>
      <c r="D258" s="8" t="str">
        <f>IFERROR(__xludf.DUMMYFUNCTION("""COMPUTED_VALUE"""),"Brooklyn Heights")</f>
        <v>Brooklyn Heights</v>
      </c>
      <c r="E258" s="33">
        <f>IFERROR(__xludf.DUMMYFUNCTION("""COMPUTED_VALUE"""),12229.0)</f>
        <v>12229</v>
      </c>
      <c r="F258" s="8">
        <f>IFERROR(__xludf.DUMMYFUNCTION("""COMPUTED_VALUE"""),2213320.0)</f>
        <v>2213320</v>
      </c>
      <c r="G258" s="19">
        <f>IFERROR(__xludf.DUMMYFUNCTION("""COMPUTED_VALUE"""),150.0)</f>
        <v>150</v>
      </c>
      <c r="H258" s="10" t="str">
        <f>IFERROR(__xludf.DUMMYFUNCTION("""COMPUTED_VALUE"""),"❌")</f>
        <v>❌</v>
      </c>
      <c r="I258" s="13">
        <f>IFERROR(__xludf.DUMMYFUNCTION("""COMPUTED_VALUE"""),35584.0)</f>
        <v>35584</v>
      </c>
      <c r="J258" s="32">
        <f>IFERROR(__xludf.DUMMYFUNCTION("""COMPUTED_VALUE"""),35584.0)</f>
        <v>35584</v>
      </c>
      <c r="K258" s="8">
        <f>IFERROR(__xludf.DUMMYFUNCTION("""COMPUTED_VALUE"""),22.0)</f>
        <v>22</v>
      </c>
      <c r="L258" s="15" t="str">
        <f>IFERROR(__xludf.DUMMYFUNCTION("""COMPUTED_VALUE"""),"YES")</f>
        <v>YES</v>
      </c>
      <c r="M258" s="15" t="str">
        <f>IFERROR(__xludf.DUMMYFUNCTION("""COMPUTED_VALUE"""),"NYCT")</f>
        <v>NYCT</v>
      </c>
      <c r="N258" s="15" t="str">
        <f>IFERROR(__xludf.DUMMYFUNCTION("""COMPUTED_VALUE"""),"OK")</f>
        <v>OK</v>
      </c>
      <c r="O258" s="15" t="str">
        <f>IFERROR(__xludf.DUMMYFUNCTION("""COMPUTED_VALUE"""),"YES")</f>
        <v>YES</v>
      </c>
      <c r="P258" s="15" t="str">
        <f>IFERROR(__xludf.DUMMYFUNCTION("""COMPUTED_VALUE"""),"NO")</f>
        <v>NO</v>
      </c>
      <c r="Q258" s="15" t="str">
        <f>IFERROR(__xludf.DUMMYFUNCTION("""COMPUTED_VALUE"""),"NO")</f>
        <v>NO</v>
      </c>
      <c r="R258" s="15" t="str">
        <f>IFERROR(__xludf.DUMMYFUNCTION("""COMPUTED_VALUE"""),"40'")</f>
        <v>40'</v>
      </c>
      <c r="S258" s="15">
        <f>IFERROR(__xludf.DUMMYFUNCTION("""COMPUTED_VALUE"""),143.0)</f>
        <v>143</v>
      </c>
      <c r="T258" s="15">
        <f>IFERROR(__xludf.DUMMYFUNCTION("""COMPUTED_VALUE"""),32.0)</f>
        <v>32</v>
      </c>
      <c r="U258" s="15" t="str">
        <f>IFERROR(__xludf.DUMMYFUNCTION("""COMPUTED_VALUE"""),"lower mezzanine to upper mezzanine for Cadman Plaza West &amp; Middagh St exit")</f>
        <v>lower mezzanine to upper mezzanine for Cadman Plaza West &amp; Middagh St exit</v>
      </c>
      <c r="V258" s="15" t="str">
        <f>IFERROR(__xludf.DUMMYFUNCTION("""COMPUTED_VALUE"""),"POINT (-73.99108 40.69956)")</f>
        <v>POINT (-73.99108 40.69956)</v>
      </c>
    </row>
    <row r="259" ht="22.5" customHeight="1">
      <c r="A259" s="7" t="str">
        <f>IFERROR(__xludf.DUMMYFUNCTION("""COMPUTED_VALUE"""),"21 St-Queensbridge")</f>
        <v>21 St-Queensbridge</v>
      </c>
      <c r="B259" s="8" t="str">
        <f>IFERROR(__xludf.DUMMYFUNCTION("""COMPUTED_VALUE"""),"63rd St Line")</f>
        <v>63rd St Line</v>
      </c>
      <c r="C259" s="8" t="str">
        <f>IFERROR(__xludf.DUMMYFUNCTION("""COMPUTED_VALUE"""),"Queens")</f>
        <v>Queens</v>
      </c>
      <c r="D259" s="8" t="str">
        <f>IFERROR(__xludf.DUMMYFUNCTION("""COMPUTED_VALUE"""),"Long Island City")</f>
        <v>Long Island City</v>
      </c>
      <c r="E259" s="33">
        <f>IFERROR(__xludf.DUMMYFUNCTION("""COMPUTED_VALUE"""),32810.0)</f>
        <v>32810</v>
      </c>
      <c r="F259" s="8">
        <f>IFERROR(__xludf.DUMMYFUNCTION("""COMPUTED_VALUE"""),1751180.0)</f>
        <v>1751180</v>
      </c>
      <c r="G259" s="19">
        <f>IFERROR(__xludf.DUMMYFUNCTION("""COMPUTED_VALUE"""),184.0)</f>
        <v>184</v>
      </c>
      <c r="H259" s="10" t="str">
        <f>IFERROR(__xludf.DUMMYFUNCTION("""COMPUTED_VALUE"""),"❌")</f>
        <v>❌</v>
      </c>
      <c r="I259" s="13">
        <f>IFERROR(__xludf.DUMMYFUNCTION("""COMPUTED_VALUE"""),32782.0)</f>
        <v>32782</v>
      </c>
      <c r="J259" s="32">
        <f>IFERROR(__xludf.DUMMYFUNCTION("""COMPUTED_VALUE"""),32782.0)</f>
        <v>32782</v>
      </c>
      <c r="K259" s="8">
        <f>IFERROR(__xludf.DUMMYFUNCTION("""COMPUTED_VALUE"""),22.0)</f>
        <v>22</v>
      </c>
      <c r="L259" s="15" t="str">
        <f>IFERROR(__xludf.DUMMYFUNCTION("""COMPUTED_VALUE"""),"YES")</f>
        <v>YES</v>
      </c>
      <c r="M259" s="15" t="str">
        <f>IFERROR(__xludf.DUMMYFUNCTION("""COMPUTED_VALUE"""),"NYCT")</f>
        <v>NYCT</v>
      </c>
      <c r="N259" s="15" t="str">
        <f>IFERROR(__xludf.DUMMYFUNCTION("""COMPUTED_VALUE"""),"OTIS")</f>
        <v>OTIS</v>
      </c>
      <c r="O259" s="15" t="str">
        <f>IFERROR(__xludf.DUMMYFUNCTION("""COMPUTED_VALUE"""),"YES")</f>
        <v>YES</v>
      </c>
      <c r="P259" s="15" t="str">
        <f>IFERROR(__xludf.DUMMYFUNCTION("""COMPUTED_VALUE"""),"YES")</f>
        <v>YES</v>
      </c>
      <c r="Q259" s="15" t="str">
        <f>IFERROR(__xludf.DUMMYFUNCTION("""COMPUTED_VALUE"""),"YES")</f>
        <v>YES</v>
      </c>
      <c r="R259" s="15" t="str">
        <f>IFERROR(__xludf.DUMMYFUNCTION("""COMPUTED_VALUE"""),"23'")</f>
        <v>23'</v>
      </c>
      <c r="S259" s="15">
        <f>IFERROR(__xludf.DUMMYFUNCTION("""COMPUTED_VALUE"""),84.0)</f>
        <v>84</v>
      </c>
      <c r="T259" s="15" t="str">
        <f>IFERROR(__xludf.DUMMYFUNCTION("""COMPUTED_VALUE"""),"24in")</f>
        <v>24in</v>
      </c>
      <c r="U259" s="15" t="str">
        <f>IFERROR(__xludf.DUMMYFUNCTION("""COMPUTED_VALUE"""),"mezzanine to 21 St &amp; 41 Ave (NE corner)")</f>
        <v>mezzanine to 21 St &amp; 41 Ave (NE corner)</v>
      </c>
      <c r="V259" s="15" t="str">
        <f>IFERROR(__xludf.DUMMYFUNCTION("""COMPUTED_VALUE"""),"POINT (-73.94242 40.754192)")</f>
        <v>POINT (-73.94242 40.754192)</v>
      </c>
    </row>
    <row r="260" ht="22.5" customHeight="1">
      <c r="A260" s="7" t="str">
        <f>IFERROR(__xludf.DUMMYFUNCTION("""COMPUTED_VALUE"""),"21 St-Queensbridge")</f>
        <v>21 St-Queensbridge</v>
      </c>
      <c r="B260" s="8" t="str">
        <f>IFERROR(__xludf.DUMMYFUNCTION("""COMPUTED_VALUE"""),"63rd St Line")</f>
        <v>63rd St Line</v>
      </c>
      <c r="C260" s="8" t="str">
        <f>IFERROR(__xludf.DUMMYFUNCTION("""COMPUTED_VALUE"""),"Queens")</f>
        <v>Queens</v>
      </c>
      <c r="D260" s="8" t="str">
        <f>IFERROR(__xludf.DUMMYFUNCTION("""COMPUTED_VALUE"""),"Long Island City")</f>
        <v>Long Island City</v>
      </c>
      <c r="E260" s="33">
        <f>IFERROR(__xludf.DUMMYFUNCTION("""COMPUTED_VALUE"""),32810.0)</f>
        <v>32810</v>
      </c>
      <c r="F260" s="10">
        <f>IFERROR(__xludf.DUMMYFUNCTION("""COMPUTED_VALUE"""),1751180.0)</f>
        <v>1751180</v>
      </c>
      <c r="G260" s="19">
        <f>IFERROR(__xludf.DUMMYFUNCTION("""COMPUTED_VALUE"""),184.0)</f>
        <v>184</v>
      </c>
      <c r="H260" s="10" t="str">
        <f>IFERROR(__xludf.DUMMYFUNCTION("""COMPUTED_VALUE"""),"❌")</f>
        <v>❌</v>
      </c>
      <c r="I260" s="13">
        <f>IFERROR(__xludf.DUMMYFUNCTION("""COMPUTED_VALUE"""),32782.0)</f>
        <v>32782</v>
      </c>
      <c r="J260" s="32">
        <f>IFERROR(__xludf.DUMMYFUNCTION("""COMPUTED_VALUE"""),32782.0)</f>
        <v>32782</v>
      </c>
      <c r="K260" s="8">
        <f>IFERROR(__xludf.DUMMYFUNCTION("""COMPUTED_VALUE"""),22.0)</f>
        <v>22</v>
      </c>
      <c r="L260" s="15" t="str">
        <f>IFERROR(__xludf.DUMMYFUNCTION("""COMPUTED_VALUE"""),"YES")</f>
        <v>YES</v>
      </c>
      <c r="M260" s="15" t="str">
        <f>IFERROR(__xludf.DUMMYFUNCTION("""COMPUTED_VALUE"""),"NYCT")</f>
        <v>NYCT</v>
      </c>
      <c r="N260" s="15" t="str">
        <f>IFERROR(__xludf.DUMMYFUNCTION("""COMPUTED_VALUE"""),"KONE")</f>
        <v>KONE</v>
      </c>
      <c r="O260" s="15" t="str">
        <f>IFERROR(__xludf.DUMMYFUNCTION("""COMPUTED_VALUE"""),"YES")</f>
        <v>YES</v>
      </c>
      <c r="P260" s="15" t="str">
        <f>IFERROR(__xludf.DUMMYFUNCTION("""COMPUTED_VALUE"""),"NO")</f>
        <v>NO</v>
      </c>
      <c r="Q260" s="15" t="str">
        <f>IFERROR(__xludf.DUMMYFUNCTION("""COMPUTED_VALUE"""),"NO")</f>
        <v>NO</v>
      </c>
      <c r="R260" s="15" t="str">
        <f>IFERROR(__xludf.DUMMYFUNCTION("""COMPUTED_VALUE"""),"11'")</f>
        <v>11'</v>
      </c>
      <c r="S260" s="15">
        <f>IFERROR(__xludf.DUMMYFUNCTION("""COMPUTED_VALUE"""),53.0)</f>
        <v>53</v>
      </c>
      <c r="T260" s="15" t="str">
        <f>IFERROR(__xludf.DUMMYFUNCTION("""COMPUTED_VALUE"""),"40in")</f>
        <v>40in</v>
      </c>
      <c r="U260" s="15" t="str">
        <f>IFERROR(__xludf.DUMMYFUNCTION("""COMPUTED_VALUE"""),"Jamaica 179 St-bound platform to mezzanine")</f>
        <v>Jamaica 179 St-bound platform to mezzanine</v>
      </c>
      <c r="V260" s="15" t="str">
        <f>IFERROR(__xludf.DUMMYFUNCTION("""COMPUTED_VALUE"""),"POINT (-73.942665 40.75397)")</f>
        <v>POINT (-73.942665 40.75397)</v>
      </c>
    </row>
    <row r="261" ht="22.5" customHeight="1">
      <c r="A261" s="7" t="str">
        <f>IFERROR(__xludf.DUMMYFUNCTION("""COMPUTED_VALUE"""),"Lexington Av/63 St")</f>
        <v>Lexington Av/63 St</v>
      </c>
      <c r="B261" s="8" t="str">
        <f>IFERROR(__xludf.DUMMYFUNCTION("""COMPUTED_VALUE"""),"")</f>
        <v/>
      </c>
      <c r="C261" s="8" t="str">
        <f>IFERROR(__xludf.DUMMYFUNCTION("""COMPUTED_VALUE"""),"")</f>
        <v/>
      </c>
      <c r="D261" s="8" t="str">
        <f>IFERROR(__xludf.DUMMYFUNCTION("""COMPUTED_VALUE"""),"")</f>
        <v/>
      </c>
      <c r="E261" s="33" t="str">
        <f>IFERROR(__xludf.DUMMYFUNCTION("""COMPUTED_VALUE"""),"")</f>
        <v/>
      </c>
      <c r="F261" s="8" t="str">
        <f>IFERROR(__xludf.DUMMYFUNCTION("""COMPUTED_VALUE"""),"")</f>
        <v/>
      </c>
      <c r="G261" s="19" t="str">
        <f>IFERROR(__xludf.DUMMYFUNCTION("""COMPUTED_VALUE"""),"")</f>
        <v/>
      </c>
      <c r="H261" s="10" t="str">
        <f>IFERROR(__xludf.DUMMYFUNCTION("""COMPUTED_VALUE"""),"❌")</f>
        <v>❌</v>
      </c>
      <c r="I261" s="13">
        <f>IFERROR(__xludf.DUMMYFUNCTION("""COMPUTED_VALUE"""),32782.0)</f>
        <v>32782</v>
      </c>
      <c r="J261" s="32">
        <f>IFERROR(__xludf.DUMMYFUNCTION("""COMPUTED_VALUE"""),32782.0)</f>
        <v>32782</v>
      </c>
      <c r="K261" s="8">
        <f>IFERROR(__xludf.DUMMYFUNCTION("""COMPUTED_VALUE"""),22.0)</f>
        <v>22</v>
      </c>
      <c r="L261" s="15" t="str">
        <f>IFERROR(__xludf.DUMMYFUNCTION("""COMPUTED_VALUE"""),"YES")</f>
        <v>YES</v>
      </c>
      <c r="M261" s="15" t="str">
        <f>IFERROR(__xludf.DUMMYFUNCTION("""COMPUTED_VALUE"""),"NYCT")</f>
        <v>NYCT</v>
      </c>
      <c r="N261" s="15" t="str">
        <f>IFERROR(__xludf.DUMMYFUNCTION("""COMPUTED_VALUE"""),"OTIS")</f>
        <v>OTIS</v>
      </c>
      <c r="O261" s="15" t="str">
        <f>IFERROR(__xludf.DUMMYFUNCTION("""COMPUTED_VALUE"""),"YES")</f>
        <v>YES</v>
      </c>
      <c r="P261" s="15" t="str">
        <f>IFERROR(__xludf.DUMMYFUNCTION("""COMPUTED_VALUE"""),"NO")</f>
        <v>NO</v>
      </c>
      <c r="Q261" s="15" t="str">
        <f>IFERROR(__xludf.DUMMYFUNCTION("""COMPUTED_VALUE"""),"NO")</f>
        <v>NO</v>
      </c>
      <c r="R261" s="15" t="str">
        <f>IFERROR(__xludf.DUMMYFUNCTION("""COMPUTED_VALUE"""),"28'")</f>
        <v>28'</v>
      </c>
      <c r="S261" s="15">
        <f>IFERROR(__xludf.DUMMYFUNCTION("""COMPUTED_VALUE"""),99.0)</f>
        <v>99</v>
      </c>
      <c r="T261" s="15">
        <f>IFERROR(__xludf.DUMMYFUNCTION("""COMPUTED_VALUE"""),40.0)</f>
        <v>40</v>
      </c>
      <c r="U261" s="15" t="str">
        <f>IFERROR(__xludf.DUMMYFUNCTION("""COMPUTED_VALUE"""),"intermediate mezzanine to upper mezzanine for Lexington Ave &amp; 63 St exit")</f>
        <v>intermediate mezzanine to upper mezzanine for Lexington Ave &amp; 63 St exit</v>
      </c>
      <c r="V261" s="15" t="str">
        <f>IFERROR(__xludf.DUMMYFUNCTION("""COMPUTED_VALUE"""),"POINT (-73.96699 40.76501)")</f>
        <v>POINT (-73.96699 40.76501)</v>
      </c>
    </row>
    <row r="262" ht="22.5" customHeight="1">
      <c r="A262" s="7" t="str">
        <f>IFERROR(__xludf.DUMMYFUNCTION("""COMPUTED_VALUE"""),"Lexington Av/63 St")</f>
        <v>Lexington Av/63 St</v>
      </c>
      <c r="B262" s="8" t="str">
        <f>IFERROR(__xludf.DUMMYFUNCTION("""COMPUTED_VALUE"""),"")</f>
        <v/>
      </c>
      <c r="C262" s="8" t="str">
        <f>IFERROR(__xludf.DUMMYFUNCTION("""COMPUTED_VALUE"""),"")</f>
        <v/>
      </c>
      <c r="D262" s="8" t="str">
        <f>IFERROR(__xludf.DUMMYFUNCTION("""COMPUTED_VALUE"""),"")</f>
        <v/>
      </c>
      <c r="E262" s="33" t="str">
        <f>IFERROR(__xludf.DUMMYFUNCTION("""COMPUTED_VALUE"""),"")</f>
        <v/>
      </c>
      <c r="F262" s="8" t="str">
        <f>IFERROR(__xludf.DUMMYFUNCTION("""COMPUTED_VALUE"""),"")</f>
        <v/>
      </c>
      <c r="G262" s="19" t="str">
        <f>IFERROR(__xludf.DUMMYFUNCTION("""COMPUTED_VALUE"""),"")</f>
        <v/>
      </c>
      <c r="H262" s="10" t="str">
        <f>IFERROR(__xludf.DUMMYFUNCTION("""COMPUTED_VALUE"""),"❌")</f>
        <v>❌</v>
      </c>
      <c r="I262" s="13">
        <f>IFERROR(__xludf.DUMMYFUNCTION("""COMPUTED_VALUE"""),32782.0)</f>
        <v>32782</v>
      </c>
      <c r="J262" s="32">
        <f>IFERROR(__xludf.DUMMYFUNCTION("""COMPUTED_VALUE"""),32782.0)</f>
        <v>32782</v>
      </c>
      <c r="K262" s="8">
        <f>IFERROR(__xludf.DUMMYFUNCTION("""COMPUTED_VALUE"""),22.0)</f>
        <v>22</v>
      </c>
      <c r="L262" s="15" t="str">
        <f>IFERROR(__xludf.DUMMYFUNCTION("""COMPUTED_VALUE"""),"YES")</f>
        <v>YES</v>
      </c>
      <c r="M262" s="15" t="str">
        <f>IFERROR(__xludf.DUMMYFUNCTION("""COMPUTED_VALUE"""),"NYCT")</f>
        <v>NYCT</v>
      </c>
      <c r="N262" s="15" t="str">
        <f>IFERROR(__xludf.DUMMYFUNCTION("""COMPUTED_VALUE"""),"OTIS")</f>
        <v>OTIS</v>
      </c>
      <c r="O262" s="15" t="str">
        <f>IFERROR(__xludf.DUMMYFUNCTION("""COMPUTED_VALUE"""),"YES")</f>
        <v>YES</v>
      </c>
      <c r="P262" s="15" t="str">
        <f>IFERROR(__xludf.DUMMYFUNCTION("""COMPUTED_VALUE"""),"NO")</f>
        <v>NO</v>
      </c>
      <c r="Q262" s="15" t="str">
        <f>IFERROR(__xludf.DUMMYFUNCTION("""COMPUTED_VALUE"""),"NO")</f>
        <v>NO</v>
      </c>
      <c r="R262" s="15" t="str">
        <f>IFERROR(__xludf.DUMMYFUNCTION("""COMPUTED_VALUE"""),"40'")</f>
        <v>40'</v>
      </c>
      <c r="S262" s="15">
        <f>IFERROR(__xludf.DUMMYFUNCTION("""COMPUTED_VALUE"""),137.0)</f>
        <v>137</v>
      </c>
      <c r="T262" s="15">
        <f>IFERROR(__xludf.DUMMYFUNCTION("""COMPUTED_VALUE"""),40.0)</f>
        <v>40</v>
      </c>
      <c r="U262" s="15" t="str">
        <f>IFERROR(__xludf.DUMMYFUNCTION("""COMPUTED_VALUE"""),"Uptown Q/Queens-bound M platform to lower mezzanine for 63 St/Lexington Av exit.")</f>
        <v>Uptown Q/Queens-bound M platform to lower mezzanine for 63 St/Lexington Av exit.</v>
      </c>
      <c r="V262" s="15" t="str">
        <f>IFERROR(__xludf.DUMMYFUNCTION("""COMPUTED_VALUE"""),"POINT (-73.96749 40.76522)")</f>
        <v>POINT (-73.96749 40.76522)</v>
      </c>
    </row>
    <row r="263" ht="22.5" customHeight="1">
      <c r="A263" s="7" t="str">
        <f>IFERROR(__xludf.DUMMYFUNCTION("""COMPUTED_VALUE"""),"Smith-9 Sts")</f>
        <v>Smith-9 Sts</v>
      </c>
      <c r="B263" s="8" t="str">
        <f>IFERROR(__xludf.DUMMYFUNCTION("""COMPUTED_VALUE"""),"")</f>
        <v/>
      </c>
      <c r="C263" s="8" t="str">
        <f>IFERROR(__xludf.DUMMYFUNCTION("""COMPUTED_VALUE"""),"")</f>
        <v/>
      </c>
      <c r="D263" s="8" t="str">
        <f>IFERROR(__xludf.DUMMYFUNCTION("""COMPUTED_VALUE"""),"")</f>
        <v/>
      </c>
      <c r="E263" s="33" t="str">
        <f>IFERROR(__xludf.DUMMYFUNCTION("""COMPUTED_VALUE"""),"")</f>
        <v/>
      </c>
      <c r="F263" s="10" t="str">
        <f>IFERROR(__xludf.DUMMYFUNCTION("""COMPUTED_VALUE"""),"")</f>
        <v/>
      </c>
      <c r="G263" s="19" t="str">
        <f>IFERROR(__xludf.DUMMYFUNCTION("""COMPUTED_VALUE"""),"")</f>
        <v/>
      </c>
      <c r="H263" s="10" t="str">
        <f>IFERROR(__xludf.DUMMYFUNCTION("""COMPUTED_VALUE"""),"❌")</f>
        <v>❌</v>
      </c>
      <c r="I263" s="13">
        <f>IFERROR(__xludf.DUMMYFUNCTION("""COMPUTED_VALUE"""),12334.0)</f>
        <v>12334</v>
      </c>
      <c r="J263" s="32">
        <f>IFERROR(__xludf.DUMMYFUNCTION("""COMPUTED_VALUE"""),36707.0)</f>
        <v>36707</v>
      </c>
      <c r="K263" s="8">
        <f>IFERROR(__xludf.DUMMYFUNCTION("""COMPUTED_VALUE"""),22.0)</f>
        <v>22</v>
      </c>
      <c r="L263" s="15" t="str">
        <f>IFERROR(__xludf.DUMMYFUNCTION("""COMPUTED_VALUE"""),"YES")</f>
        <v>YES</v>
      </c>
      <c r="M263" s="15" t="str">
        <f>IFERROR(__xludf.DUMMYFUNCTION("""COMPUTED_VALUE"""),"NYCT")</f>
        <v>NYCT</v>
      </c>
      <c r="N263" s="15" t="str">
        <f>IFERROR(__xludf.DUMMYFUNCTION("""COMPUTED_VALUE"""),"OK")</f>
        <v>OK</v>
      </c>
      <c r="O263" s="15" t="str">
        <f>IFERROR(__xludf.DUMMYFUNCTION("""COMPUTED_VALUE"""),"YES")</f>
        <v>YES</v>
      </c>
      <c r="P263" s="15" t="str">
        <f>IFERROR(__xludf.DUMMYFUNCTION("""COMPUTED_VALUE"""),"YES")</f>
        <v>YES</v>
      </c>
      <c r="Q263" s="15" t="str">
        <f>IFERROR(__xludf.DUMMYFUNCTION("""COMPUTED_VALUE"""),"NO")</f>
        <v>NO</v>
      </c>
      <c r="R263" s="15" t="str">
        <f>IFERROR(__xludf.DUMMYFUNCTION("""COMPUTED_VALUE"""),"30'")</f>
        <v>30'</v>
      </c>
      <c r="S263" s="15">
        <f>IFERROR(__xludf.DUMMYFUNCTION("""COMPUTED_VALUE"""),102.0)</f>
        <v>102</v>
      </c>
      <c r="T263" s="15">
        <f>IFERROR(__xludf.DUMMYFUNCTION("""COMPUTED_VALUE"""),24.0)</f>
        <v>24</v>
      </c>
      <c r="U263" s="15" t="str">
        <f>IFERROR(__xludf.DUMMYFUNCTION("""COMPUTED_VALUE"""),"intermediate mezzanine to 9th St &amp; Smith St (NE corner)")</f>
        <v>intermediate mezzanine to 9th St &amp; Smith St (NE corner)</v>
      </c>
      <c r="V263" s="15" t="str">
        <f>IFERROR(__xludf.DUMMYFUNCTION("""COMPUTED_VALUE"""),"POINT (-73.99713 40.67461)")</f>
        <v>POINT (-73.99713 40.67461)</v>
      </c>
    </row>
    <row r="264" ht="22.5" customHeight="1">
      <c r="A264" s="7" t="str">
        <f>IFERROR(__xludf.DUMMYFUNCTION("""COMPUTED_VALUE"""),"Lexington Av/63 St")</f>
        <v>Lexington Av/63 St</v>
      </c>
      <c r="B264" s="8" t="str">
        <f>IFERROR(__xludf.DUMMYFUNCTION("""COMPUTED_VALUE"""),"")</f>
        <v/>
      </c>
      <c r="C264" s="8" t="str">
        <f>IFERROR(__xludf.DUMMYFUNCTION("""COMPUTED_VALUE"""),"")</f>
        <v/>
      </c>
      <c r="D264" s="8" t="str">
        <f>IFERROR(__xludf.DUMMYFUNCTION("""COMPUTED_VALUE"""),"")</f>
        <v/>
      </c>
      <c r="E264" s="33" t="str">
        <f>IFERROR(__xludf.DUMMYFUNCTION("""COMPUTED_VALUE"""),"")</f>
        <v/>
      </c>
      <c r="F264" s="10" t="str">
        <f>IFERROR(__xludf.DUMMYFUNCTION("""COMPUTED_VALUE"""),"")</f>
        <v/>
      </c>
      <c r="G264" s="19" t="str">
        <f>IFERROR(__xludf.DUMMYFUNCTION("""COMPUTED_VALUE"""),"")</f>
        <v/>
      </c>
      <c r="H264" s="10" t="str">
        <f>IFERROR(__xludf.DUMMYFUNCTION("""COMPUTED_VALUE"""),"❌")</f>
        <v>❌</v>
      </c>
      <c r="I264" s="13">
        <f>IFERROR(__xludf.DUMMYFUNCTION("""COMPUTED_VALUE"""),32782.0)</f>
        <v>32782</v>
      </c>
      <c r="J264" s="32">
        <f>IFERROR(__xludf.DUMMYFUNCTION("""COMPUTED_VALUE"""),32782.0)</f>
        <v>32782</v>
      </c>
      <c r="K264" s="8">
        <f>IFERROR(__xludf.DUMMYFUNCTION("""COMPUTED_VALUE"""),22.0)</f>
        <v>22</v>
      </c>
      <c r="L264" s="15" t="str">
        <f>IFERROR(__xludf.DUMMYFUNCTION("""COMPUTED_VALUE"""),"YES")</f>
        <v>YES</v>
      </c>
      <c r="M264" s="15" t="str">
        <f>IFERROR(__xludf.DUMMYFUNCTION("""COMPUTED_VALUE"""),"NYCT")</f>
        <v>NYCT</v>
      </c>
      <c r="N264" s="15" t="str">
        <f>IFERROR(__xludf.DUMMYFUNCTION("""COMPUTED_VALUE"""),"OTIS")</f>
        <v>OTIS</v>
      </c>
      <c r="O264" s="15" t="str">
        <f>IFERROR(__xludf.DUMMYFUNCTION("""COMPUTED_VALUE"""),"YES")</f>
        <v>YES</v>
      </c>
      <c r="P264" s="15" t="str">
        <f>IFERROR(__xludf.DUMMYFUNCTION("""COMPUTED_VALUE"""),"NO")</f>
        <v>NO</v>
      </c>
      <c r="Q264" s="15" t="str">
        <f>IFERROR(__xludf.DUMMYFUNCTION("""COMPUTED_VALUE"""),"NO")</f>
        <v>NO</v>
      </c>
      <c r="R264" s="15" t="str">
        <f>IFERROR(__xludf.DUMMYFUNCTION("""COMPUTED_VALUE"""),"40'")</f>
        <v>40'</v>
      </c>
      <c r="S264" s="15">
        <f>IFERROR(__xludf.DUMMYFUNCTION("""COMPUTED_VALUE"""),137.0)</f>
        <v>137</v>
      </c>
      <c r="T264" s="15">
        <f>IFERROR(__xludf.DUMMYFUNCTION("""COMPUTED_VALUE"""),40.0)</f>
        <v>40</v>
      </c>
      <c r="U264" s="15" t="str">
        <f>IFERROR(__xludf.DUMMYFUNCTION("""COMPUTED_VALUE"""),"lower mezzanine (Lexington Ave &amp; 63 St) to uptown Q and Queens-bound M platform")</f>
        <v>lower mezzanine (Lexington Ave &amp; 63 St) to uptown Q and Queens-bound M platform</v>
      </c>
      <c r="V264" s="15" t="str">
        <f>IFERROR(__xludf.DUMMYFUNCTION("""COMPUTED_VALUE"""),"POINT (-73.967476 40.765244)")</f>
        <v>POINT (-73.967476 40.765244)</v>
      </c>
    </row>
    <row r="265" ht="22.5" customHeight="1">
      <c r="A265" s="7" t="str">
        <f>IFERROR(__xludf.DUMMYFUNCTION("""COMPUTED_VALUE"""),"Jackson Hts-Roosevelt Av")</f>
        <v>Jackson Hts-Roosevelt Av</v>
      </c>
      <c r="B265" s="8" t="str">
        <f>IFERROR(__xludf.DUMMYFUNCTION("""COMPUTED_VALUE"""),"")</f>
        <v/>
      </c>
      <c r="C265" s="8" t="str">
        <f>IFERROR(__xludf.DUMMYFUNCTION("""COMPUTED_VALUE"""),"")</f>
        <v/>
      </c>
      <c r="D265" s="8" t="str">
        <f>IFERROR(__xludf.DUMMYFUNCTION("""COMPUTED_VALUE"""),"")</f>
        <v/>
      </c>
      <c r="E265" s="33" t="str">
        <f>IFERROR(__xludf.DUMMYFUNCTION("""COMPUTED_VALUE"""),"")</f>
        <v/>
      </c>
      <c r="F265" s="8" t="str">
        <f>IFERROR(__xludf.DUMMYFUNCTION("""COMPUTED_VALUE"""),"")</f>
        <v/>
      </c>
      <c r="G265" s="19" t="str">
        <f>IFERROR(__xludf.DUMMYFUNCTION("""COMPUTED_VALUE"""),"")</f>
        <v/>
      </c>
      <c r="H265" s="10" t="str">
        <f>IFERROR(__xludf.DUMMYFUNCTION("""COMPUTED_VALUE"""),"❌")</f>
        <v>❌</v>
      </c>
      <c r="I265" s="13">
        <f>IFERROR(__xludf.DUMMYFUNCTION("""COMPUTED_VALUE"""),33553.0)</f>
        <v>33553</v>
      </c>
      <c r="J265" s="32">
        <f>IFERROR(__xludf.DUMMYFUNCTION("""COMPUTED_VALUE"""),42139.0)</f>
        <v>42139</v>
      </c>
      <c r="K265" s="8">
        <f>IFERROR(__xludf.DUMMYFUNCTION("""COMPUTED_VALUE"""),30.0)</f>
        <v>30</v>
      </c>
      <c r="L265" s="15" t="str">
        <f>IFERROR(__xludf.DUMMYFUNCTION("""COMPUTED_VALUE"""),"YES")</f>
        <v>YES</v>
      </c>
      <c r="M265" s="15" t="str">
        <f>IFERROR(__xludf.DUMMYFUNCTION("""COMPUTED_VALUE"""),"NYCT")</f>
        <v>NYCT</v>
      </c>
      <c r="N265" s="15" t="str">
        <f>IFERROR(__xludf.DUMMYFUNCTION("""COMPUTED_VALUE"""),"KONE")</f>
        <v>KONE</v>
      </c>
      <c r="O265" s="15" t="str">
        <f>IFERROR(__xludf.DUMMYFUNCTION("""COMPUTED_VALUE"""),"YES")</f>
        <v>YES</v>
      </c>
      <c r="P265" s="15" t="str">
        <f>IFERROR(__xludf.DUMMYFUNCTION("""COMPUTED_VALUE"""),"NO")</f>
        <v>NO</v>
      </c>
      <c r="Q265" s="15" t="str">
        <f>IFERROR(__xludf.DUMMYFUNCTION("""COMPUTED_VALUE"""),"NO")</f>
        <v>NO</v>
      </c>
      <c r="R265" s="15" t="str">
        <f>IFERROR(__xludf.DUMMYFUNCTION("""COMPUTED_VALUE"""),"32' 4 3/4in")</f>
        <v>32' 4 3/4in</v>
      </c>
      <c r="S265" s="15"/>
      <c r="T265" s="15"/>
      <c r="U265" s="15"/>
      <c r="V265" s="15" t="str">
        <f>IFERROR(__xludf.DUMMYFUNCTION("""COMPUTED_VALUE"""),"POINT (-73.891396 40.74685)")</f>
        <v>POINT (-73.891396 40.74685)</v>
      </c>
    </row>
    <row r="266" ht="22.5" customHeight="1">
      <c r="A266" s="7" t="str">
        <f>IFERROR(__xludf.DUMMYFUNCTION("""COMPUTED_VALUE"""),"21 St-Queensbridge")</f>
        <v>21 St-Queensbridge</v>
      </c>
      <c r="B266" s="8" t="str">
        <f>IFERROR(__xludf.DUMMYFUNCTION("""COMPUTED_VALUE"""),"63rd St Line")</f>
        <v>63rd St Line</v>
      </c>
      <c r="C266" s="8" t="str">
        <f>IFERROR(__xludf.DUMMYFUNCTION("""COMPUTED_VALUE"""),"Queens")</f>
        <v>Queens</v>
      </c>
      <c r="D266" s="8" t="str">
        <f>IFERROR(__xludf.DUMMYFUNCTION("""COMPUTED_VALUE"""),"Long Island City")</f>
        <v>Long Island City</v>
      </c>
      <c r="E266" s="33">
        <f>IFERROR(__xludf.DUMMYFUNCTION("""COMPUTED_VALUE"""),32810.0)</f>
        <v>32810</v>
      </c>
      <c r="F266" s="10">
        <f>IFERROR(__xludf.DUMMYFUNCTION("""COMPUTED_VALUE"""),1751180.0)</f>
        <v>1751180</v>
      </c>
      <c r="G266" s="19">
        <f>IFERROR(__xludf.DUMMYFUNCTION("""COMPUTED_VALUE"""),184.0)</f>
        <v>184</v>
      </c>
      <c r="H266" s="10" t="str">
        <f>IFERROR(__xludf.DUMMYFUNCTION("""COMPUTED_VALUE"""),"❌")</f>
        <v>❌</v>
      </c>
      <c r="I266" s="13">
        <f>IFERROR(__xludf.DUMMYFUNCTION("""COMPUTED_VALUE"""),32782.0)</f>
        <v>32782</v>
      </c>
      <c r="J266" s="32">
        <f>IFERROR(__xludf.DUMMYFUNCTION("""COMPUTED_VALUE"""),32782.0)</f>
        <v>32782</v>
      </c>
      <c r="K266" s="8">
        <f>IFERROR(__xludf.DUMMYFUNCTION("""COMPUTED_VALUE"""),22.0)</f>
        <v>22</v>
      </c>
      <c r="L266" s="15" t="str">
        <f>IFERROR(__xludf.DUMMYFUNCTION("""COMPUTED_VALUE"""),"YES")</f>
        <v>YES</v>
      </c>
      <c r="M266" s="15" t="str">
        <f>IFERROR(__xludf.DUMMYFUNCTION("""COMPUTED_VALUE"""),"NYCT")</f>
        <v>NYCT</v>
      </c>
      <c r="N266" s="15" t="str">
        <f>IFERROR(__xludf.DUMMYFUNCTION("""COMPUTED_VALUE"""),"KONE")</f>
        <v>KONE</v>
      </c>
      <c r="O266" s="15" t="str">
        <f>IFERROR(__xludf.DUMMYFUNCTION("""COMPUTED_VALUE"""),"YES")</f>
        <v>YES</v>
      </c>
      <c r="P266" s="15" t="str">
        <f>IFERROR(__xludf.DUMMYFUNCTION("""COMPUTED_VALUE"""),"NO")</f>
        <v>NO</v>
      </c>
      <c r="Q266" s="15" t="str">
        <f>IFERROR(__xludf.DUMMYFUNCTION("""COMPUTED_VALUE"""),"NO")</f>
        <v>NO</v>
      </c>
      <c r="R266" s="15" t="str">
        <f>IFERROR(__xludf.DUMMYFUNCTION("""COMPUTED_VALUE"""),"11'")</f>
        <v>11'</v>
      </c>
      <c r="S266" s="15">
        <f>IFERROR(__xludf.DUMMYFUNCTION("""COMPUTED_VALUE"""),53.0)</f>
        <v>53</v>
      </c>
      <c r="T266" s="15" t="str">
        <f>IFERROR(__xludf.DUMMYFUNCTION("""COMPUTED_VALUE"""),"40in")</f>
        <v>40in</v>
      </c>
      <c r="U266" s="15" t="str">
        <f>IFERROR(__xludf.DUMMYFUNCTION("""COMPUTED_VALUE"""),"mezzanine to Jamaica 179 St-bound platform")</f>
        <v>mezzanine to Jamaica 179 St-bound platform</v>
      </c>
      <c r="V266" s="15" t="str">
        <f>IFERROR(__xludf.DUMMYFUNCTION("""COMPUTED_VALUE"""),"POINT (-73.94265 40.753986)")</f>
        <v>POINT (-73.94265 40.753986)</v>
      </c>
    </row>
    <row r="267" ht="22.5" customHeight="1">
      <c r="A267" s="7" t="str">
        <f>IFERROR(__xludf.DUMMYFUNCTION("""COMPUTED_VALUE"""),"Jay St-MetroTech")</f>
        <v>Jay St-MetroTech</v>
      </c>
      <c r="B267" s="8" t="str">
        <f>IFERROR(__xludf.DUMMYFUNCTION("""COMPUTED_VALUE"""),"Culver Line,Fulton St Line")</f>
        <v>Culver Line,Fulton St Line</v>
      </c>
      <c r="C267" s="8" t="str">
        <f>IFERROR(__xludf.DUMMYFUNCTION("""COMPUTED_VALUE"""),"Brooklyn")</f>
        <v>Brooklyn</v>
      </c>
      <c r="D267" s="8" t="str">
        <f>IFERROR(__xludf.DUMMYFUNCTION("""COMPUTED_VALUE"""),"Downtown Brooklyn")</f>
        <v>Downtown Brooklyn</v>
      </c>
      <c r="E267" s="33">
        <f>IFERROR(__xludf.DUMMYFUNCTION("""COMPUTED_VALUE"""),12086.0)</f>
        <v>12086</v>
      </c>
      <c r="F267" s="10">
        <f>IFERROR(__xludf.DUMMYFUNCTION("""COMPUTED_VALUE"""),8252709.0)</f>
        <v>8252709</v>
      </c>
      <c r="G267" s="19">
        <f>IFERROR(__xludf.DUMMYFUNCTION("""COMPUTED_VALUE"""),25.0)</f>
        <v>25</v>
      </c>
      <c r="H267" s="10" t="str">
        <f>IFERROR(__xludf.DUMMYFUNCTION("""COMPUTED_VALUE"""),"❌")</f>
        <v>❌</v>
      </c>
      <c r="I267" s="13">
        <f>IFERROR(__xludf.DUMMYFUNCTION("""COMPUTED_VALUE"""),40523.0)</f>
        <v>40523</v>
      </c>
      <c r="J267" s="32">
        <f>IFERROR(__xludf.DUMMYFUNCTION("""COMPUTED_VALUE"""),40523.0)</f>
        <v>40523</v>
      </c>
      <c r="K267" s="8">
        <f>IFERROR(__xludf.DUMMYFUNCTION("""COMPUTED_VALUE"""),30.0)</f>
        <v>30</v>
      </c>
      <c r="L267" s="15" t="str">
        <f>IFERROR(__xludf.DUMMYFUNCTION("""COMPUTED_VALUE"""),"YES")</f>
        <v>YES</v>
      </c>
      <c r="M267" s="15" t="str">
        <f>IFERROR(__xludf.DUMMYFUNCTION("""COMPUTED_VALUE"""),"NYCT")</f>
        <v>NYCT</v>
      </c>
      <c r="N267" s="15" t="str">
        <f>IFERROR(__xludf.DUMMYFUNCTION("""COMPUTED_VALUE"""),"KONE")</f>
        <v>KONE</v>
      </c>
      <c r="O267" s="15" t="str">
        <f>IFERROR(__xludf.DUMMYFUNCTION("""COMPUTED_VALUE"""),"YES")</f>
        <v>YES</v>
      </c>
      <c r="P267" s="15" t="str">
        <f>IFERROR(__xludf.DUMMYFUNCTION("""COMPUTED_VALUE"""),"NO")</f>
        <v>NO</v>
      </c>
      <c r="Q267" s="15" t="str">
        <f>IFERROR(__xludf.DUMMYFUNCTION("""COMPUTED_VALUE"""),"NO")</f>
        <v>NO</v>
      </c>
      <c r="R267" s="15" t="str">
        <f>IFERROR(__xludf.DUMMYFUNCTION("""COMPUTED_VALUE"""),"25' 10 7/16in")</f>
        <v>25' 10 7/16in</v>
      </c>
      <c r="S267" s="15"/>
      <c r="T267" s="15"/>
      <c r="U267" s="15"/>
      <c r="V267" s="15" t="str">
        <f>IFERROR(__xludf.DUMMYFUNCTION("""COMPUTED_VALUE"""),"POINT (-73.98734 40.692337)")</f>
        <v>POINT (-73.98734 40.692337)</v>
      </c>
    </row>
    <row r="268" ht="22.5" customHeight="1">
      <c r="A268" s="7" t="str">
        <f>IFERROR(__xludf.DUMMYFUNCTION("""COMPUTED_VALUE"""),"5 Av/53 St")</f>
        <v>5 Av/53 St</v>
      </c>
      <c r="B268" s="8" t="str">
        <f>IFERROR(__xludf.DUMMYFUNCTION("""COMPUTED_VALUE"""),"Queens Blvd Line")</f>
        <v>Queens Blvd Line</v>
      </c>
      <c r="C268" s="8" t="str">
        <f>IFERROR(__xludf.DUMMYFUNCTION("""COMPUTED_VALUE"""),"Manhattan")</f>
        <v>Manhattan</v>
      </c>
      <c r="D268" s="8" t="str">
        <f>IFERROR(__xludf.DUMMYFUNCTION("""COMPUTED_VALUE"""),"Midtown")</f>
        <v>Midtown</v>
      </c>
      <c r="E268" s="33">
        <f>IFERROR(__xludf.DUMMYFUNCTION("""COMPUTED_VALUE"""),12359.0)</f>
        <v>12359</v>
      </c>
      <c r="F268" s="10">
        <f>IFERROR(__xludf.DUMMYFUNCTION("""COMPUTED_VALUE"""),4590651.0)</f>
        <v>4590651</v>
      </c>
      <c r="G268" s="19">
        <f>IFERROR(__xludf.DUMMYFUNCTION("""COMPUTED_VALUE"""),64.0)</f>
        <v>64</v>
      </c>
      <c r="H268" s="10" t="str">
        <f>IFERROR(__xludf.DUMMYFUNCTION("""COMPUTED_VALUE"""),"❌")</f>
        <v>❌</v>
      </c>
      <c r="I268" s="13">
        <f>IFERROR(__xludf.DUMMYFUNCTION("""COMPUTED_VALUE"""),21801.0)</f>
        <v>21801</v>
      </c>
      <c r="J268" s="32">
        <f>IFERROR(__xludf.DUMMYFUNCTION("""COMPUTED_VALUE"""),35916.0)</f>
        <v>35916</v>
      </c>
      <c r="K268" s="8">
        <f>IFERROR(__xludf.DUMMYFUNCTION("""COMPUTED_VALUE"""),22.0)</f>
        <v>22</v>
      </c>
      <c r="L268" s="15" t="str">
        <f>IFERROR(__xludf.DUMMYFUNCTION("""COMPUTED_VALUE"""),"YES")</f>
        <v>YES</v>
      </c>
      <c r="M268" s="15" t="str">
        <f>IFERROR(__xludf.DUMMYFUNCTION("""COMPUTED_VALUE"""),"NYCT")</f>
        <v>NYCT</v>
      </c>
      <c r="N268" s="15" t="str">
        <f>IFERROR(__xludf.DUMMYFUNCTION("""COMPUTED_VALUE"""),"OK")</f>
        <v>OK</v>
      </c>
      <c r="O268" s="15" t="str">
        <f>IFERROR(__xludf.DUMMYFUNCTION("""COMPUTED_VALUE"""),"YES")</f>
        <v>YES</v>
      </c>
      <c r="P268" s="15" t="str">
        <f>IFERROR(__xludf.DUMMYFUNCTION("""COMPUTED_VALUE"""),"NO")</f>
        <v>NO</v>
      </c>
      <c r="Q268" s="15" t="str">
        <f>IFERROR(__xludf.DUMMYFUNCTION("""COMPUTED_VALUE"""),"NO")</f>
        <v>NO</v>
      </c>
      <c r="R268" s="15" t="str">
        <f>IFERROR(__xludf.DUMMYFUNCTION("""COMPUTED_VALUE"""),"41'")</f>
        <v>41'</v>
      </c>
      <c r="S268" s="15">
        <f>IFERROR(__xludf.DUMMYFUNCTION("""COMPUTED_VALUE"""),144.0)</f>
        <v>144</v>
      </c>
      <c r="T268" s="15">
        <f>IFERROR(__xludf.DUMMYFUNCTION("""COMPUTED_VALUE"""),40.0)</f>
        <v>40</v>
      </c>
      <c r="U268" s="15" t="str">
        <f>IFERROR(__xludf.DUMMYFUNCTION("""COMPUTED_VALUE"""),"mezzanine (Madison Ave &amp; 53 St) to downtown platform")</f>
        <v>mezzanine (Madison Ave &amp; 53 St) to downtown platform</v>
      </c>
      <c r="V268" s="15" t="str">
        <f>IFERROR(__xludf.DUMMYFUNCTION("""COMPUTED_VALUE"""),"POINT (-73.97393 40.75964)")</f>
        <v>POINT (-73.97393 40.75964)</v>
      </c>
    </row>
    <row r="269" ht="22.5" customHeight="1">
      <c r="A269" s="7" t="str">
        <f>IFERROR(__xludf.DUMMYFUNCTION("""COMPUTED_VALUE"""),"21 St-Queensbridge")</f>
        <v>21 St-Queensbridge</v>
      </c>
      <c r="B269" s="8" t="str">
        <f>IFERROR(__xludf.DUMMYFUNCTION("""COMPUTED_VALUE"""),"63rd St Line")</f>
        <v>63rd St Line</v>
      </c>
      <c r="C269" s="8" t="str">
        <f>IFERROR(__xludf.DUMMYFUNCTION("""COMPUTED_VALUE"""),"Queens")</f>
        <v>Queens</v>
      </c>
      <c r="D269" s="8" t="str">
        <f>IFERROR(__xludf.DUMMYFUNCTION("""COMPUTED_VALUE"""),"Long Island City")</f>
        <v>Long Island City</v>
      </c>
      <c r="E269" s="33">
        <f>IFERROR(__xludf.DUMMYFUNCTION("""COMPUTED_VALUE"""),32810.0)</f>
        <v>32810</v>
      </c>
      <c r="F269" s="10">
        <f>IFERROR(__xludf.DUMMYFUNCTION("""COMPUTED_VALUE"""),1751180.0)</f>
        <v>1751180</v>
      </c>
      <c r="G269" s="19">
        <f>IFERROR(__xludf.DUMMYFUNCTION("""COMPUTED_VALUE"""),184.0)</f>
        <v>184</v>
      </c>
      <c r="H269" s="10" t="str">
        <f>IFERROR(__xludf.DUMMYFUNCTION("""COMPUTED_VALUE"""),"❌")</f>
        <v>❌</v>
      </c>
      <c r="I269" s="13">
        <f>IFERROR(__xludf.DUMMYFUNCTION("""COMPUTED_VALUE"""),32782.0)</f>
        <v>32782</v>
      </c>
      <c r="J269" s="32">
        <f>IFERROR(__xludf.DUMMYFUNCTION("""COMPUTED_VALUE"""),32782.0)</f>
        <v>32782</v>
      </c>
      <c r="K269" s="8">
        <f>IFERROR(__xludf.DUMMYFUNCTION("""COMPUTED_VALUE"""),22.0)</f>
        <v>22</v>
      </c>
      <c r="L269" s="15" t="str">
        <f>IFERROR(__xludf.DUMMYFUNCTION("""COMPUTED_VALUE"""),"YES")</f>
        <v>YES</v>
      </c>
      <c r="M269" s="15" t="str">
        <f>IFERROR(__xludf.DUMMYFUNCTION("""COMPUTED_VALUE"""),"NYCT")</f>
        <v>NYCT</v>
      </c>
      <c r="N269" s="15" t="str">
        <f>IFERROR(__xludf.DUMMYFUNCTION("""COMPUTED_VALUE"""),"OTIS")</f>
        <v>OTIS</v>
      </c>
      <c r="O269" s="15" t="str">
        <f>IFERROR(__xludf.DUMMYFUNCTION("""COMPUTED_VALUE"""),"YES")</f>
        <v>YES</v>
      </c>
      <c r="P269" s="15" t="str">
        <f>IFERROR(__xludf.DUMMYFUNCTION("""COMPUTED_VALUE"""),"YES")</f>
        <v>YES</v>
      </c>
      <c r="Q269" s="15" t="str">
        <f>IFERROR(__xludf.DUMMYFUNCTION("""COMPUTED_VALUE"""),"YES")</f>
        <v>YES</v>
      </c>
      <c r="R269" s="15" t="str">
        <f>IFERROR(__xludf.DUMMYFUNCTION("""COMPUTED_VALUE"""),"23'")</f>
        <v>23'</v>
      </c>
      <c r="S269" s="15">
        <f>IFERROR(__xludf.DUMMYFUNCTION("""COMPUTED_VALUE"""),84.0)</f>
        <v>84</v>
      </c>
      <c r="T269" s="15" t="str">
        <f>IFERROR(__xludf.DUMMYFUNCTION("""COMPUTED_VALUE"""),"24in")</f>
        <v>24in</v>
      </c>
      <c r="U269" s="15" t="str">
        <f>IFERROR(__xludf.DUMMYFUNCTION("""COMPUTED_VALUE"""),"21 St &amp; 41 Ave (NE corner) to mezzanine")</f>
        <v>21 St &amp; 41 Ave (NE corner) to mezzanine</v>
      </c>
      <c r="V269" s="15" t="str">
        <f>IFERROR(__xludf.DUMMYFUNCTION("""COMPUTED_VALUE"""),"POINT (-73.94243 40.754204)")</f>
        <v>POINT (-73.94243 40.754204)</v>
      </c>
    </row>
    <row r="270" ht="22.5" customHeight="1">
      <c r="A270" s="7" t="str">
        <f>IFERROR(__xludf.DUMMYFUNCTION("""COMPUTED_VALUE"""),"Smith-9 Sts")</f>
        <v>Smith-9 Sts</v>
      </c>
      <c r="B270" s="8" t="str">
        <f>IFERROR(__xludf.DUMMYFUNCTION("""COMPUTED_VALUE"""),"")</f>
        <v/>
      </c>
      <c r="C270" s="8" t="str">
        <f>IFERROR(__xludf.DUMMYFUNCTION("""COMPUTED_VALUE"""),"")</f>
        <v/>
      </c>
      <c r="D270" s="8" t="str">
        <f>IFERROR(__xludf.DUMMYFUNCTION("""COMPUTED_VALUE"""),"")</f>
        <v/>
      </c>
      <c r="E270" s="33" t="str">
        <f>IFERROR(__xludf.DUMMYFUNCTION("""COMPUTED_VALUE"""),"")</f>
        <v/>
      </c>
      <c r="F270" s="8" t="str">
        <f>IFERROR(__xludf.DUMMYFUNCTION("""COMPUTED_VALUE"""),"")</f>
        <v/>
      </c>
      <c r="G270" s="19" t="str">
        <f>IFERROR(__xludf.DUMMYFUNCTION("""COMPUTED_VALUE"""),"")</f>
        <v/>
      </c>
      <c r="H270" s="10" t="str">
        <f>IFERROR(__xludf.DUMMYFUNCTION("""COMPUTED_VALUE"""),"❌")</f>
        <v>❌</v>
      </c>
      <c r="I270" s="13">
        <f>IFERROR(__xludf.DUMMYFUNCTION("""COMPUTED_VALUE"""),12334.0)</f>
        <v>12334</v>
      </c>
      <c r="J270" s="32">
        <f>IFERROR(__xludf.DUMMYFUNCTION("""COMPUTED_VALUE"""),36692.0)</f>
        <v>36692</v>
      </c>
      <c r="K270" s="8">
        <f>IFERROR(__xludf.DUMMYFUNCTION("""COMPUTED_VALUE"""),22.0)</f>
        <v>22</v>
      </c>
      <c r="L270" s="15" t="str">
        <f>IFERROR(__xludf.DUMMYFUNCTION("""COMPUTED_VALUE"""),"YES")</f>
        <v>YES</v>
      </c>
      <c r="M270" s="15" t="str">
        <f>IFERROR(__xludf.DUMMYFUNCTION("""COMPUTED_VALUE"""),"NYCT")</f>
        <v>NYCT</v>
      </c>
      <c r="N270" s="15" t="str">
        <f>IFERROR(__xludf.DUMMYFUNCTION("""COMPUTED_VALUE"""),"OK")</f>
        <v>OK</v>
      </c>
      <c r="O270" s="15" t="str">
        <f>IFERROR(__xludf.DUMMYFUNCTION("""COMPUTED_VALUE"""),"YES")</f>
        <v>YES</v>
      </c>
      <c r="P270" s="15" t="str">
        <f>IFERROR(__xludf.DUMMYFUNCTION("""COMPUTED_VALUE"""),"NO")</f>
        <v>NO</v>
      </c>
      <c r="Q270" s="15" t="str">
        <f>IFERROR(__xludf.DUMMYFUNCTION("""COMPUTED_VALUE"""),"NO")</f>
        <v>NO</v>
      </c>
      <c r="R270" s="15" t="str">
        <f>IFERROR(__xludf.DUMMYFUNCTION("""COMPUTED_VALUE"""),"32'")</f>
        <v>32'</v>
      </c>
      <c r="S270" s="15">
        <f>IFERROR(__xludf.DUMMYFUNCTION("""COMPUTED_VALUE"""),110.0)</f>
        <v>110</v>
      </c>
      <c r="T270" s="15">
        <f>IFERROR(__xludf.DUMMYFUNCTION("""COMPUTED_VALUE"""),24.0)</f>
        <v>24</v>
      </c>
      <c r="U270" s="15" t="str">
        <f>IFERROR(__xludf.DUMMYFUNCTION("""COMPUTED_VALUE"""),"intermediate mezzanine to upper mezzanine")</f>
        <v>intermediate mezzanine to upper mezzanine</v>
      </c>
      <c r="V270" s="15" t="str">
        <f>IFERROR(__xludf.DUMMYFUNCTION("""COMPUTED_VALUE"""),"POINT (-73.99714 40.67443)")</f>
        <v>POINT (-73.99714 40.67443)</v>
      </c>
    </row>
    <row r="271" ht="22.5" customHeight="1">
      <c r="A271" s="7" t="str">
        <f>IFERROR(__xludf.DUMMYFUNCTION("""COMPUTED_VALUE"""),"Lexington Av/63 St")</f>
        <v>Lexington Av/63 St</v>
      </c>
      <c r="B271" s="8" t="str">
        <f>IFERROR(__xludf.DUMMYFUNCTION("""COMPUTED_VALUE"""),"")</f>
        <v/>
      </c>
      <c r="C271" s="8" t="str">
        <f>IFERROR(__xludf.DUMMYFUNCTION("""COMPUTED_VALUE"""),"")</f>
        <v/>
      </c>
      <c r="D271" s="8" t="str">
        <f>IFERROR(__xludf.DUMMYFUNCTION("""COMPUTED_VALUE"""),"")</f>
        <v/>
      </c>
      <c r="E271" s="33" t="str">
        <f>IFERROR(__xludf.DUMMYFUNCTION("""COMPUTED_VALUE"""),"")</f>
        <v/>
      </c>
      <c r="F271" s="10" t="str">
        <f>IFERROR(__xludf.DUMMYFUNCTION("""COMPUTED_VALUE"""),"")</f>
        <v/>
      </c>
      <c r="G271" s="19" t="str">
        <f>IFERROR(__xludf.DUMMYFUNCTION("""COMPUTED_VALUE"""),"")</f>
        <v/>
      </c>
      <c r="H271" s="10" t="str">
        <f>IFERROR(__xludf.DUMMYFUNCTION("""COMPUTED_VALUE"""),"❌")</f>
        <v>❌</v>
      </c>
      <c r="I271" s="13">
        <f>IFERROR(__xludf.DUMMYFUNCTION("""COMPUTED_VALUE"""),32782.0)</f>
        <v>32782</v>
      </c>
      <c r="J271" s="32">
        <f>IFERROR(__xludf.DUMMYFUNCTION("""COMPUTED_VALUE"""),32782.0)</f>
        <v>32782</v>
      </c>
      <c r="K271" s="8">
        <f>IFERROR(__xludf.DUMMYFUNCTION("""COMPUTED_VALUE"""),22.0)</f>
        <v>22</v>
      </c>
      <c r="L271" s="15" t="str">
        <f>IFERROR(__xludf.DUMMYFUNCTION("""COMPUTED_VALUE"""),"YES")</f>
        <v>YES</v>
      </c>
      <c r="M271" s="15" t="str">
        <f>IFERROR(__xludf.DUMMYFUNCTION("""COMPUTED_VALUE"""),"NYCT")</f>
        <v>NYCT</v>
      </c>
      <c r="N271" s="15" t="str">
        <f>IFERROR(__xludf.DUMMYFUNCTION("""COMPUTED_VALUE"""),"OTIS")</f>
        <v>OTIS</v>
      </c>
      <c r="O271" s="15" t="str">
        <f>IFERROR(__xludf.DUMMYFUNCTION("""COMPUTED_VALUE"""),"YES")</f>
        <v>YES</v>
      </c>
      <c r="P271" s="15" t="str">
        <f>IFERROR(__xludf.DUMMYFUNCTION("""COMPUTED_VALUE"""),"NO")</f>
        <v>NO</v>
      </c>
      <c r="Q271" s="15" t="str">
        <f>IFERROR(__xludf.DUMMYFUNCTION("""COMPUTED_VALUE"""),"NO")</f>
        <v>NO</v>
      </c>
      <c r="R271" s="15" t="str">
        <f>IFERROR(__xludf.DUMMYFUNCTION("""COMPUTED_VALUE"""),"20'")</f>
        <v>20'</v>
      </c>
      <c r="S271" s="15">
        <f>IFERROR(__xludf.DUMMYFUNCTION("""COMPUTED_VALUE"""),75.0)</f>
        <v>75</v>
      </c>
      <c r="T271" s="15">
        <f>IFERROR(__xludf.DUMMYFUNCTION("""COMPUTED_VALUE"""),40.0)</f>
        <v>40</v>
      </c>
      <c r="U271" s="15" t="str">
        <f>IFERROR(__xludf.DUMMYFUNCTION("""COMPUTED_VALUE"""),"downtown platform to lower mezzanine for Lexington Ave &amp; 63 St exit")</f>
        <v>downtown platform to lower mezzanine for Lexington Ave &amp; 63 St exit</v>
      </c>
      <c r="V271" s="15" t="str">
        <f>IFERROR(__xludf.DUMMYFUNCTION("""COMPUTED_VALUE"""),"POINT (-73.96747 40.765213)")</f>
        <v>POINT (-73.96747 40.765213)</v>
      </c>
    </row>
    <row r="272" ht="22.5" customHeight="1">
      <c r="A272" s="7" t="str">
        <f>IFERROR(__xludf.DUMMYFUNCTION("""COMPUTED_VALUE"""),"Lexington Av/63 St")</f>
        <v>Lexington Av/63 St</v>
      </c>
      <c r="B272" s="8" t="str">
        <f>IFERROR(__xludf.DUMMYFUNCTION("""COMPUTED_VALUE"""),"")</f>
        <v/>
      </c>
      <c r="C272" s="8" t="str">
        <f>IFERROR(__xludf.DUMMYFUNCTION("""COMPUTED_VALUE"""),"")</f>
        <v/>
      </c>
      <c r="D272" s="8" t="str">
        <f>IFERROR(__xludf.DUMMYFUNCTION("""COMPUTED_VALUE"""),"")</f>
        <v/>
      </c>
      <c r="E272" s="33" t="str">
        <f>IFERROR(__xludf.DUMMYFUNCTION("""COMPUTED_VALUE"""),"")</f>
        <v/>
      </c>
      <c r="F272" s="10" t="str">
        <f>IFERROR(__xludf.DUMMYFUNCTION("""COMPUTED_VALUE"""),"")</f>
        <v/>
      </c>
      <c r="G272" s="19" t="str">
        <f>IFERROR(__xludf.DUMMYFUNCTION("""COMPUTED_VALUE"""),"")</f>
        <v/>
      </c>
      <c r="H272" s="10" t="str">
        <f>IFERROR(__xludf.DUMMYFUNCTION("""COMPUTED_VALUE"""),"❌")</f>
        <v>❌</v>
      </c>
      <c r="I272" s="13">
        <f>IFERROR(__xludf.DUMMYFUNCTION("""COMPUTED_VALUE"""),32782.0)</f>
        <v>32782</v>
      </c>
      <c r="J272" s="32">
        <f>IFERROR(__xludf.DUMMYFUNCTION("""COMPUTED_VALUE"""),32782.0)</f>
        <v>32782</v>
      </c>
      <c r="K272" s="8">
        <f>IFERROR(__xludf.DUMMYFUNCTION("""COMPUTED_VALUE"""),22.0)</f>
        <v>22</v>
      </c>
      <c r="L272" s="15" t="str">
        <f>IFERROR(__xludf.DUMMYFUNCTION("""COMPUTED_VALUE"""),"YES")</f>
        <v>YES</v>
      </c>
      <c r="M272" s="15" t="str">
        <f>IFERROR(__xludf.DUMMYFUNCTION("""COMPUTED_VALUE"""),"NYCT")</f>
        <v>NYCT</v>
      </c>
      <c r="N272" s="15" t="str">
        <f>IFERROR(__xludf.DUMMYFUNCTION("""COMPUTED_VALUE"""),"OTIS")</f>
        <v>OTIS</v>
      </c>
      <c r="O272" s="15" t="str">
        <f>IFERROR(__xludf.DUMMYFUNCTION("""COMPUTED_VALUE"""),"YES")</f>
        <v>YES</v>
      </c>
      <c r="P272" s="15" t="str">
        <f>IFERROR(__xludf.DUMMYFUNCTION("""COMPUTED_VALUE"""),"YES")</f>
        <v>YES</v>
      </c>
      <c r="Q272" s="15" t="str">
        <f>IFERROR(__xludf.DUMMYFUNCTION("""COMPUTED_VALUE"""),"YES")</f>
        <v>YES</v>
      </c>
      <c r="R272" s="15" t="str">
        <f>IFERROR(__xludf.DUMMYFUNCTION("""COMPUTED_VALUE"""),"26'")</f>
        <v>26'</v>
      </c>
      <c r="S272" s="15">
        <f>IFERROR(__xludf.DUMMYFUNCTION("""COMPUTED_VALUE"""),91.0)</f>
        <v>91</v>
      </c>
      <c r="T272" s="15">
        <f>IFERROR(__xludf.DUMMYFUNCTION("""COMPUTED_VALUE"""),40.0)</f>
        <v>40</v>
      </c>
      <c r="U272" s="15" t="str">
        <f>IFERROR(__xludf.DUMMYFUNCTION("""COMPUTED_VALUE"""),"Lexington Ave &amp; 63 St (NW corner) to upper mezzanine")</f>
        <v>Lexington Ave &amp; 63 St (NW corner) to upper mezzanine</v>
      </c>
      <c r="V272" s="15" t="str">
        <f>IFERROR(__xludf.DUMMYFUNCTION("""COMPUTED_VALUE"""),"POINT (-73.96652 40.76497)")</f>
        <v>POINT (-73.96652 40.76497)</v>
      </c>
    </row>
    <row r="273" ht="22.5" customHeight="1">
      <c r="A273" s="7" t="str">
        <f>IFERROR(__xludf.DUMMYFUNCTION("""COMPUTED_VALUE"""),"61 St-Woodside")</f>
        <v>61 St-Woodside</v>
      </c>
      <c r="B273" s="8" t="str">
        <f>IFERROR(__xludf.DUMMYFUNCTION("""COMPUTED_VALUE"""),"Flushing Line")</f>
        <v>Flushing Line</v>
      </c>
      <c r="C273" s="8" t="str">
        <f>IFERROR(__xludf.DUMMYFUNCTION("""COMPUTED_VALUE"""),"Queens")</f>
        <v>Queens</v>
      </c>
      <c r="D273" s="8" t="str">
        <f>IFERROR(__xludf.DUMMYFUNCTION("""COMPUTED_VALUE"""),"Woodside")</f>
        <v>Woodside</v>
      </c>
      <c r="E273" s="33">
        <f>IFERROR(__xludf.DUMMYFUNCTION("""COMPUTED_VALUE"""),6321.0)</f>
        <v>6321</v>
      </c>
      <c r="F273" s="8">
        <f>IFERROR(__xludf.DUMMYFUNCTION("""COMPUTED_VALUE"""),3808140.0)</f>
        <v>3808140</v>
      </c>
      <c r="G273" s="19">
        <f>IFERROR(__xludf.DUMMYFUNCTION("""COMPUTED_VALUE"""),83.0)</f>
        <v>83</v>
      </c>
      <c r="H273" s="10" t="str">
        <f>IFERROR(__xludf.DUMMYFUNCTION("""COMPUTED_VALUE"""),"❌")</f>
        <v>❌</v>
      </c>
      <c r="I273" s="13">
        <f>IFERROR(__xludf.DUMMYFUNCTION("""COMPUTED_VALUE"""),11319.0)</f>
        <v>11319</v>
      </c>
      <c r="J273" s="32">
        <f>IFERROR(__xludf.DUMMYFUNCTION("""COMPUTED_VALUE"""),36448.0)</f>
        <v>36448</v>
      </c>
      <c r="K273" s="8">
        <f>IFERROR(__xludf.DUMMYFUNCTION("""COMPUTED_VALUE"""),22.0)</f>
        <v>22</v>
      </c>
      <c r="L273" s="15" t="str">
        <f>IFERROR(__xludf.DUMMYFUNCTION("""COMPUTED_VALUE"""),"YES")</f>
        <v>YES</v>
      </c>
      <c r="M273" s="15" t="str">
        <f>IFERROR(__xludf.DUMMYFUNCTION("""COMPUTED_VALUE"""),"NYCT")</f>
        <v>NYCT</v>
      </c>
      <c r="N273" s="15" t="str">
        <f>IFERROR(__xludf.DUMMYFUNCTION("""COMPUTED_VALUE"""),"OK")</f>
        <v>OK</v>
      </c>
      <c r="O273" s="15" t="str">
        <f>IFERROR(__xludf.DUMMYFUNCTION("""COMPUTED_VALUE"""),"YES")</f>
        <v>YES</v>
      </c>
      <c r="P273" s="15" t="str">
        <f>IFERROR(__xludf.DUMMYFUNCTION("""COMPUTED_VALUE"""),"YES")</f>
        <v>YES</v>
      </c>
      <c r="Q273" s="15" t="str">
        <f>IFERROR(__xludf.DUMMYFUNCTION("""COMPUTED_VALUE"""),"YES")</f>
        <v>YES</v>
      </c>
      <c r="R273" s="15" t="str">
        <f>IFERROR(__xludf.DUMMYFUNCTION("""COMPUTED_VALUE"""),"35'")</f>
        <v>35'</v>
      </c>
      <c r="S273" s="15">
        <f>IFERROR(__xludf.DUMMYFUNCTION("""COMPUTED_VALUE"""),124.0)</f>
        <v>124</v>
      </c>
      <c r="T273" s="15" t="str">
        <f>IFERROR(__xludf.DUMMYFUNCTION("""COMPUTED_VALUE"""),"24in")</f>
        <v>24in</v>
      </c>
      <c r="U273" s="15" t="str">
        <f>IFERROR(__xludf.DUMMYFUNCTION("""COMPUTED_VALUE"""),"61 St &amp; Roosevelt Ave (SE corner) to mezzanine")</f>
        <v>61 St &amp; Roosevelt Ave (SE corner) to mezzanine</v>
      </c>
      <c r="V273" s="15" t="str">
        <f>IFERROR(__xludf.DUMMYFUNCTION("""COMPUTED_VALUE"""),"POINT (-73.9031 40.74555)")</f>
        <v>POINT (-73.9031 40.74555)</v>
      </c>
    </row>
    <row r="274" ht="22.5" customHeight="1">
      <c r="A274" s="7" t="str">
        <f>IFERROR(__xludf.DUMMYFUNCTION("""COMPUTED_VALUE"""),"Smith-9 Sts")</f>
        <v>Smith-9 Sts</v>
      </c>
      <c r="B274" s="8" t="str">
        <f>IFERROR(__xludf.DUMMYFUNCTION("""COMPUTED_VALUE"""),"")</f>
        <v/>
      </c>
      <c r="C274" s="8" t="str">
        <f>IFERROR(__xludf.DUMMYFUNCTION("""COMPUTED_VALUE"""),"")</f>
        <v/>
      </c>
      <c r="D274" s="8" t="str">
        <f>IFERROR(__xludf.DUMMYFUNCTION("""COMPUTED_VALUE"""),"")</f>
        <v/>
      </c>
      <c r="E274" s="33" t="str">
        <f>IFERROR(__xludf.DUMMYFUNCTION("""COMPUTED_VALUE"""),"")</f>
        <v/>
      </c>
      <c r="F274" s="10" t="str">
        <f>IFERROR(__xludf.DUMMYFUNCTION("""COMPUTED_VALUE"""),"")</f>
        <v/>
      </c>
      <c r="G274" s="19" t="str">
        <f>IFERROR(__xludf.DUMMYFUNCTION("""COMPUTED_VALUE"""),"")</f>
        <v/>
      </c>
      <c r="H274" s="10" t="str">
        <f>IFERROR(__xludf.DUMMYFUNCTION("""COMPUTED_VALUE"""),"❌")</f>
        <v>❌</v>
      </c>
      <c r="I274" s="13">
        <f>IFERROR(__xludf.DUMMYFUNCTION("""COMPUTED_VALUE"""),12334.0)</f>
        <v>12334</v>
      </c>
      <c r="J274" s="32">
        <f>IFERROR(__xludf.DUMMYFUNCTION("""COMPUTED_VALUE"""),36691.0)</f>
        <v>36691</v>
      </c>
      <c r="K274" s="8">
        <f>IFERROR(__xludf.DUMMYFUNCTION("""COMPUTED_VALUE"""),22.0)</f>
        <v>22</v>
      </c>
      <c r="L274" s="15" t="str">
        <f>IFERROR(__xludf.DUMMYFUNCTION("""COMPUTED_VALUE"""),"YES")</f>
        <v>YES</v>
      </c>
      <c r="M274" s="15" t="str">
        <f>IFERROR(__xludf.DUMMYFUNCTION("""COMPUTED_VALUE"""),"NYCT")</f>
        <v>NYCT</v>
      </c>
      <c r="N274" s="15" t="str">
        <f>IFERROR(__xludf.DUMMYFUNCTION("""COMPUTED_VALUE"""),"OK")</f>
        <v>OK</v>
      </c>
      <c r="O274" s="15" t="str">
        <f>IFERROR(__xludf.DUMMYFUNCTION("""COMPUTED_VALUE"""),"YES")</f>
        <v>YES</v>
      </c>
      <c r="P274" s="15" t="str">
        <f>IFERROR(__xludf.DUMMYFUNCTION("""COMPUTED_VALUE"""),"YES")</f>
        <v>YES</v>
      </c>
      <c r="Q274" s="15" t="str">
        <f>IFERROR(__xludf.DUMMYFUNCTION("""COMPUTED_VALUE"""),"NO")</f>
        <v>NO</v>
      </c>
      <c r="R274" s="15" t="str">
        <f>IFERROR(__xludf.DUMMYFUNCTION("""COMPUTED_VALUE"""),"30'")</f>
        <v>30'</v>
      </c>
      <c r="S274" s="15">
        <f>IFERROR(__xludf.DUMMYFUNCTION("""COMPUTED_VALUE"""),102.0)</f>
        <v>102</v>
      </c>
      <c r="T274" s="15">
        <f>IFERROR(__xludf.DUMMYFUNCTION("""COMPUTED_VALUE"""),24.0)</f>
        <v>24</v>
      </c>
      <c r="U274" s="15" t="str">
        <f>IFERROR(__xludf.DUMMYFUNCTION("""COMPUTED_VALUE"""),"9th St &amp; Smith St (NE corner) to intermediate mezzanine")</f>
        <v>9th St &amp; Smith St (NE corner) to intermediate mezzanine</v>
      </c>
      <c r="V274" s="15" t="str">
        <f>IFERROR(__xludf.DUMMYFUNCTION("""COMPUTED_VALUE"""),"POINT (-73.997116 40.674603)")</f>
        <v>POINT (-73.997116 40.674603)</v>
      </c>
    </row>
    <row r="275" ht="22.5" customHeight="1">
      <c r="A275" s="7" t="str">
        <f>IFERROR(__xludf.DUMMYFUNCTION("""COMPUTED_VALUE"""),"Smith-9 Sts")</f>
        <v>Smith-9 Sts</v>
      </c>
      <c r="B275" s="8" t="str">
        <f>IFERROR(__xludf.DUMMYFUNCTION("""COMPUTED_VALUE"""),"")</f>
        <v/>
      </c>
      <c r="C275" s="8" t="str">
        <f>IFERROR(__xludf.DUMMYFUNCTION("""COMPUTED_VALUE"""),"")</f>
        <v/>
      </c>
      <c r="D275" s="8" t="str">
        <f>IFERROR(__xludf.DUMMYFUNCTION("""COMPUTED_VALUE"""),"")</f>
        <v/>
      </c>
      <c r="E275" s="33" t="str">
        <f>IFERROR(__xludf.DUMMYFUNCTION("""COMPUTED_VALUE"""),"")</f>
        <v/>
      </c>
      <c r="F275" s="10" t="str">
        <f>IFERROR(__xludf.DUMMYFUNCTION("""COMPUTED_VALUE"""),"")</f>
        <v/>
      </c>
      <c r="G275" s="19" t="str">
        <f>IFERROR(__xludf.DUMMYFUNCTION("""COMPUTED_VALUE"""),"")</f>
        <v/>
      </c>
      <c r="H275" s="10" t="str">
        <f>IFERROR(__xludf.DUMMYFUNCTION("""COMPUTED_VALUE"""),"❌")</f>
        <v>❌</v>
      </c>
      <c r="I275" s="13">
        <f>IFERROR(__xludf.DUMMYFUNCTION("""COMPUTED_VALUE"""),12334.0)</f>
        <v>12334</v>
      </c>
      <c r="J275" s="32">
        <f>IFERROR(__xludf.DUMMYFUNCTION("""COMPUTED_VALUE"""),36707.0)</f>
        <v>36707</v>
      </c>
      <c r="K275" s="8">
        <f>IFERROR(__xludf.DUMMYFUNCTION("""COMPUTED_VALUE"""),22.0)</f>
        <v>22</v>
      </c>
      <c r="L275" s="15" t="str">
        <f>IFERROR(__xludf.DUMMYFUNCTION("""COMPUTED_VALUE"""),"YES")</f>
        <v>YES</v>
      </c>
      <c r="M275" s="15" t="str">
        <f>IFERROR(__xludf.DUMMYFUNCTION("""COMPUTED_VALUE"""),"NYCT")</f>
        <v>NYCT</v>
      </c>
      <c r="N275" s="15" t="str">
        <f>IFERROR(__xludf.DUMMYFUNCTION("""COMPUTED_VALUE"""),"KONE")</f>
        <v>KONE</v>
      </c>
      <c r="O275" s="15" t="str">
        <f>IFERROR(__xludf.DUMMYFUNCTION("""COMPUTED_VALUE"""),"YES")</f>
        <v>YES</v>
      </c>
      <c r="P275" s="15" t="str">
        <f>IFERROR(__xludf.DUMMYFUNCTION("""COMPUTED_VALUE"""),"NO")</f>
        <v>NO</v>
      </c>
      <c r="Q275" s="15" t="str">
        <f>IFERROR(__xludf.DUMMYFUNCTION("""COMPUTED_VALUE"""),"NO")</f>
        <v>NO</v>
      </c>
      <c r="R275" s="15" t="str">
        <f>IFERROR(__xludf.DUMMYFUNCTION("""COMPUTED_VALUE"""),"32'")</f>
        <v>32'</v>
      </c>
      <c r="S275" s="15">
        <f>IFERROR(__xludf.DUMMYFUNCTION("""COMPUTED_VALUE"""),110.0)</f>
        <v>110</v>
      </c>
      <c r="T275" s="15">
        <f>IFERROR(__xludf.DUMMYFUNCTION("""COMPUTED_VALUE"""),24.0)</f>
        <v>24</v>
      </c>
      <c r="U275" s="15" t="str">
        <f>IFERROR(__xludf.DUMMYFUNCTION("""COMPUTED_VALUE"""),"upper mezzanine to intermediate mezzanine")</f>
        <v>upper mezzanine to intermediate mezzanine</v>
      </c>
      <c r="V275" s="15" t="str">
        <f>IFERROR(__xludf.DUMMYFUNCTION("""COMPUTED_VALUE"""),"POINT (-73.997154 40.67442)")</f>
        <v>POINT (-73.997154 40.67442)</v>
      </c>
    </row>
    <row r="276" ht="22.5" customHeight="1">
      <c r="A276" s="7" t="str">
        <f>IFERROR(__xludf.DUMMYFUNCTION("""COMPUTED_VALUE"""),"Lexington Av/63 St")</f>
        <v>Lexington Av/63 St</v>
      </c>
      <c r="B276" s="8" t="str">
        <f>IFERROR(__xludf.DUMMYFUNCTION("""COMPUTED_VALUE"""),"")</f>
        <v/>
      </c>
      <c r="C276" s="8" t="str">
        <f>IFERROR(__xludf.DUMMYFUNCTION("""COMPUTED_VALUE"""),"")</f>
        <v/>
      </c>
      <c r="D276" s="8" t="str">
        <f>IFERROR(__xludf.DUMMYFUNCTION("""COMPUTED_VALUE"""),"")</f>
        <v/>
      </c>
      <c r="E276" s="33" t="str">
        <f>IFERROR(__xludf.DUMMYFUNCTION("""COMPUTED_VALUE"""),"")</f>
        <v/>
      </c>
      <c r="F276" s="10" t="str">
        <f>IFERROR(__xludf.DUMMYFUNCTION("""COMPUTED_VALUE"""),"")</f>
        <v/>
      </c>
      <c r="G276" s="19" t="str">
        <f>IFERROR(__xludf.DUMMYFUNCTION("""COMPUTED_VALUE"""),"")</f>
        <v/>
      </c>
      <c r="H276" s="10" t="str">
        <f>IFERROR(__xludf.DUMMYFUNCTION("""COMPUTED_VALUE"""),"❌")</f>
        <v>❌</v>
      </c>
      <c r="I276" s="13">
        <f>IFERROR(__xludf.DUMMYFUNCTION("""COMPUTED_VALUE"""),32782.0)</f>
        <v>32782</v>
      </c>
      <c r="J276" s="32">
        <f>IFERROR(__xludf.DUMMYFUNCTION("""COMPUTED_VALUE"""),32782.0)</f>
        <v>32782</v>
      </c>
      <c r="K276" s="8">
        <f>IFERROR(__xludf.DUMMYFUNCTION("""COMPUTED_VALUE"""),22.0)</f>
        <v>22</v>
      </c>
      <c r="L276" s="15" t="str">
        <f>IFERROR(__xludf.DUMMYFUNCTION("""COMPUTED_VALUE"""),"YES")</f>
        <v>YES</v>
      </c>
      <c r="M276" s="15" t="str">
        <f>IFERROR(__xludf.DUMMYFUNCTION("""COMPUTED_VALUE"""),"NYCT")</f>
        <v>NYCT</v>
      </c>
      <c r="N276" s="15" t="str">
        <f>IFERROR(__xludf.DUMMYFUNCTION("""COMPUTED_VALUE"""),"OTIS")</f>
        <v>OTIS</v>
      </c>
      <c r="O276" s="15" t="str">
        <f>IFERROR(__xludf.DUMMYFUNCTION("""COMPUTED_VALUE"""),"YES")</f>
        <v>YES</v>
      </c>
      <c r="P276" s="15" t="str">
        <f>IFERROR(__xludf.DUMMYFUNCTION("""COMPUTED_VALUE"""),"NO")</f>
        <v>NO</v>
      </c>
      <c r="Q276" s="15" t="str">
        <f>IFERROR(__xludf.DUMMYFUNCTION("""COMPUTED_VALUE"""),"NO")</f>
        <v>NO</v>
      </c>
      <c r="R276" s="15" t="str">
        <f>IFERROR(__xludf.DUMMYFUNCTION("""COMPUTED_VALUE"""),"27'")</f>
        <v>27'</v>
      </c>
      <c r="S276" s="15">
        <f>IFERROR(__xludf.DUMMYFUNCTION("""COMPUTED_VALUE"""),96.0)</f>
        <v>96</v>
      </c>
      <c r="T276" s="15">
        <f>IFERROR(__xludf.DUMMYFUNCTION("""COMPUTED_VALUE"""),40.0)</f>
        <v>40</v>
      </c>
      <c r="U276" s="15" t="str">
        <f>IFERROR(__xludf.DUMMYFUNCTION("""COMPUTED_VALUE"""),"lower mezzanine to intermediate mezzanine for Lexington Ave &amp; 63 St exit")</f>
        <v>lower mezzanine to intermediate mezzanine for Lexington Ave &amp; 63 St exit</v>
      </c>
      <c r="V276" s="15" t="str">
        <f>IFERROR(__xludf.DUMMYFUNCTION("""COMPUTED_VALUE"""),"POINT (-73.96732 40.76513)")</f>
        <v>POINT (-73.96732 40.76513)</v>
      </c>
    </row>
    <row r="277" ht="22.5" customHeight="1">
      <c r="A277" s="7" t="str">
        <f>IFERROR(__xludf.DUMMYFUNCTION("""COMPUTED_VALUE"""),"Court Sq")</f>
        <v>Court Sq</v>
      </c>
      <c r="B277" s="8" t="str">
        <f>IFERROR(__xludf.DUMMYFUNCTION("""COMPUTED_VALUE"""),"")</f>
        <v/>
      </c>
      <c r="C277" s="8" t="str">
        <f>IFERROR(__xludf.DUMMYFUNCTION("""COMPUTED_VALUE"""),"")</f>
        <v/>
      </c>
      <c r="D277" s="8" t="str">
        <f>IFERROR(__xludf.DUMMYFUNCTION("""COMPUTED_VALUE"""),"")</f>
        <v/>
      </c>
      <c r="E277" s="33" t="str">
        <f>IFERROR(__xludf.DUMMYFUNCTION("""COMPUTED_VALUE"""),"")</f>
        <v/>
      </c>
      <c r="F277" s="8" t="str">
        <f>IFERROR(__xludf.DUMMYFUNCTION("""COMPUTED_VALUE"""),"")</f>
        <v/>
      </c>
      <c r="G277" s="19" t="str">
        <f>IFERROR(__xludf.DUMMYFUNCTION("""COMPUTED_VALUE"""),"")</f>
        <v/>
      </c>
      <c r="H277" s="10" t="str">
        <f>IFERROR(__xludf.DUMMYFUNCTION("""COMPUTED_VALUE"""),"❌")</f>
        <v>❌</v>
      </c>
      <c r="I277" s="13"/>
      <c r="J277" s="32">
        <f>IFERROR(__xludf.DUMMYFUNCTION("""COMPUTED_VALUE"""),40697.0)</f>
        <v>40697</v>
      </c>
      <c r="K277" s="8">
        <f>IFERROR(__xludf.DUMMYFUNCTION("""COMPUTED_VALUE"""),30.0)</f>
        <v>30</v>
      </c>
      <c r="L277" s="15" t="str">
        <f>IFERROR(__xludf.DUMMYFUNCTION("""COMPUTED_VALUE"""),"NO")</f>
        <v>NO</v>
      </c>
      <c r="M277" s="15" t="str">
        <f>IFERROR(__xludf.DUMMYFUNCTION("""COMPUTED_VALUE"""),"Private Contractor")</f>
        <v>Private Contractor</v>
      </c>
      <c r="N277" s="15" t="str">
        <f>IFERROR(__xludf.DUMMYFUNCTION("""COMPUTED_VALUE"""),"THYSSEN-KRUPP")</f>
        <v>THYSSEN-KRUPP</v>
      </c>
      <c r="O277" s="15" t="str">
        <f>IFERROR(__xludf.DUMMYFUNCTION("""COMPUTED_VALUE"""),"YES")</f>
        <v>YES</v>
      </c>
      <c r="P277" s="15" t="str">
        <f>IFERROR(__xludf.DUMMYFUNCTION("""COMPUTED_VALUE"""),"NO")</f>
        <v>NO</v>
      </c>
      <c r="Q277" s="15" t="str">
        <f>IFERROR(__xludf.DUMMYFUNCTION("""COMPUTED_VALUE"""),"NO")</f>
        <v>NO</v>
      </c>
      <c r="R277" s="15"/>
      <c r="S277" s="15"/>
      <c r="T277" s="15"/>
      <c r="U277" s="15"/>
      <c r="V277" s="15" t="str">
        <f>IFERROR(__xludf.DUMMYFUNCTION("""COMPUTED_VALUE"""),"POINT (-73.94383 40.746555)")</f>
        <v>POINT (-73.94383 40.746555)</v>
      </c>
    </row>
    <row r="278" ht="22.5" customHeight="1">
      <c r="A278" s="7" t="str">
        <f>IFERROR(__xludf.DUMMYFUNCTION("""COMPUTED_VALUE"""),"Court Sq")</f>
        <v>Court Sq</v>
      </c>
      <c r="B278" s="8" t="str">
        <f>IFERROR(__xludf.DUMMYFUNCTION("""COMPUTED_VALUE"""),"")</f>
        <v/>
      </c>
      <c r="C278" s="8" t="str">
        <f>IFERROR(__xludf.DUMMYFUNCTION("""COMPUTED_VALUE"""),"")</f>
        <v/>
      </c>
      <c r="D278" s="8" t="str">
        <f>IFERROR(__xludf.DUMMYFUNCTION("""COMPUTED_VALUE"""),"")</f>
        <v/>
      </c>
      <c r="E278" s="33" t="str">
        <f>IFERROR(__xludf.DUMMYFUNCTION("""COMPUTED_VALUE"""),"")</f>
        <v/>
      </c>
      <c r="F278" s="10" t="str">
        <f>IFERROR(__xludf.DUMMYFUNCTION("""COMPUTED_VALUE"""),"")</f>
        <v/>
      </c>
      <c r="G278" s="19" t="str">
        <f>IFERROR(__xludf.DUMMYFUNCTION("""COMPUTED_VALUE"""),"")</f>
        <v/>
      </c>
      <c r="H278" s="10" t="str">
        <f>IFERROR(__xludf.DUMMYFUNCTION("""COMPUTED_VALUE"""),"❌")</f>
        <v>❌</v>
      </c>
      <c r="I278" s="13"/>
      <c r="J278" s="32">
        <f>IFERROR(__xludf.DUMMYFUNCTION("""COMPUTED_VALUE"""),40697.0)</f>
        <v>40697</v>
      </c>
      <c r="K278" s="8">
        <f>IFERROR(__xludf.DUMMYFUNCTION("""COMPUTED_VALUE"""),30.0)</f>
        <v>30</v>
      </c>
      <c r="L278" s="15" t="str">
        <f>IFERROR(__xludf.DUMMYFUNCTION("""COMPUTED_VALUE"""),"NO")</f>
        <v>NO</v>
      </c>
      <c r="M278" s="15" t="str">
        <f>IFERROR(__xludf.DUMMYFUNCTION("""COMPUTED_VALUE"""),"Private Contractor")</f>
        <v>Private Contractor</v>
      </c>
      <c r="N278" s="15" t="str">
        <f>IFERROR(__xludf.DUMMYFUNCTION("""COMPUTED_VALUE"""),"THYSSEN-KRUPP")</f>
        <v>THYSSEN-KRUPP</v>
      </c>
      <c r="O278" s="15" t="str">
        <f>IFERROR(__xludf.DUMMYFUNCTION("""COMPUTED_VALUE"""),"YES")</f>
        <v>YES</v>
      </c>
      <c r="P278" s="15" t="str">
        <f>IFERROR(__xludf.DUMMYFUNCTION("""COMPUTED_VALUE"""),"NO")</f>
        <v>NO</v>
      </c>
      <c r="Q278" s="15" t="str">
        <f>IFERROR(__xludf.DUMMYFUNCTION("""COMPUTED_VALUE"""),"NO")</f>
        <v>NO</v>
      </c>
      <c r="R278" s="15"/>
      <c r="S278" s="15"/>
      <c r="T278" s="15"/>
      <c r="U278" s="15"/>
      <c r="V278" s="15" t="str">
        <f>IFERROR(__xludf.DUMMYFUNCTION("""COMPUTED_VALUE"""),"POINT (-73.94383 40.746555)")</f>
        <v>POINT (-73.94383 40.746555)</v>
      </c>
    </row>
    <row r="279" ht="22.5" customHeight="1">
      <c r="A279" s="7" t="str">
        <f>IFERROR(__xludf.DUMMYFUNCTION("""COMPUTED_VALUE"""),"Park Place")</f>
        <v>Park Place</v>
      </c>
      <c r="B279" s="8" t="str">
        <f>IFERROR(__xludf.DUMMYFUNCTION("""COMPUTED_VALUE"""),"Franklin Av Line")</f>
        <v>Franklin Av Line</v>
      </c>
      <c r="C279" s="8" t="str">
        <f>IFERROR(__xludf.DUMMYFUNCTION("""COMPUTED_VALUE"""),"Brooklyn")</f>
        <v>Brooklyn</v>
      </c>
      <c r="D279" s="8" t="str">
        <f>IFERROR(__xludf.DUMMYFUNCTION("""COMPUTED_VALUE"""),"Crown Heights")</f>
        <v>Crown Heights</v>
      </c>
      <c r="E279" s="33">
        <f>IFERROR(__xludf.DUMMYFUNCTION("""COMPUTED_VALUE"""),1921.0)</f>
        <v>1921</v>
      </c>
      <c r="F279" s="10">
        <f>IFERROR(__xludf.DUMMYFUNCTION("""COMPUTED_VALUE"""),362630.0)</f>
        <v>362630</v>
      </c>
      <c r="G279" s="19">
        <f>IFERROR(__xludf.DUMMYFUNCTION("""COMPUTED_VALUE"""),405.0)</f>
        <v>405</v>
      </c>
      <c r="H279" s="10" t="str">
        <f>IFERROR(__xludf.DUMMYFUNCTION("""COMPUTED_VALUE"""),"❌")</f>
        <v>❌</v>
      </c>
      <c r="I279" s="13">
        <f>IFERROR(__xludf.DUMMYFUNCTION("""COMPUTED_VALUE"""),24473.0)</f>
        <v>24473</v>
      </c>
      <c r="J279" s="32">
        <f>IFERROR(__xludf.DUMMYFUNCTION("""COMPUTED_VALUE"""),36435.0)</f>
        <v>36435</v>
      </c>
      <c r="K279" s="8">
        <f>IFERROR(__xludf.DUMMYFUNCTION("""COMPUTED_VALUE"""),22.0)</f>
        <v>22</v>
      </c>
      <c r="L279" s="15" t="str">
        <f>IFERROR(__xludf.DUMMYFUNCTION("""COMPUTED_VALUE"""),"YES")</f>
        <v>YES</v>
      </c>
      <c r="M279" s="15" t="str">
        <f>IFERROR(__xludf.DUMMYFUNCTION("""COMPUTED_VALUE"""),"NYCT")</f>
        <v>NYCT</v>
      </c>
      <c r="N279" s="15" t="str">
        <f>IFERROR(__xludf.DUMMYFUNCTION("""COMPUTED_VALUE"""),"OK")</f>
        <v>OK</v>
      </c>
      <c r="O279" s="15" t="str">
        <f>IFERROR(__xludf.DUMMYFUNCTION("""COMPUTED_VALUE"""),"YES")</f>
        <v>YES</v>
      </c>
      <c r="P279" s="15" t="str">
        <f>IFERROR(__xludf.DUMMYFUNCTION("""COMPUTED_VALUE"""),"NO")</f>
        <v>NO</v>
      </c>
      <c r="Q279" s="15" t="str">
        <f>IFERROR(__xludf.DUMMYFUNCTION("""COMPUTED_VALUE"""),"NO")</f>
        <v>NO</v>
      </c>
      <c r="R279" s="15" t="str">
        <f>IFERROR(__xludf.DUMMYFUNCTION("""COMPUTED_VALUE"""),"30'")</f>
        <v>30'</v>
      </c>
      <c r="S279" s="15">
        <f>IFERROR(__xludf.DUMMYFUNCTION("""COMPUTED_VALUE"""),109.0)</f>
        <v>109</v>
      </c>
      <c r="T279" s="15">
        <f>IFERROR(__xludf.DUMMYFUNCTION("""COMPUTED_VALUE"""),40.0)</f>
        <v>40</v>
      </c>
      <c r="U279" s="15" t="str">
        <f>IFERROR(__xludf.DUMMYFUNCTION("""COMPUTED_VALUE"""),"mezzanine (Park Pl &amp; Broadway) to 2/3 platform for service in both directions")</f>
        <v>mezzanine (Park Pl &amp; Broadway) to 2/3 platform for service in both directions</v>
      </c>
      <c r="V279" s="15" t="str">
        <f>IFERROR(__xludf.DUMMYFUNCTION("""COMPUTED_VALUE"""),"POINT (-74.00831 40.712833)")</f>
        <v>POINT (-74.00831 40.712833)</v>
      </c>
    </row>
    <row r="280" ht="22.5" customHeight="1">
      <c r="A280" s="7"/>
      <c r="B280" s="8"/>
      <c r="C280" s="8"/>
      <c r="D280" s="8"/>
      <c r="E280" s="16"/>
      <c r="F280" s="10"/>
      <c r="G280" s="19"/>
      <c r="H280" s="18"/>
      <c r="I280" s="13"/>
      <c r="J280" s="14"/>
      <c r="K280" s="8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</row>
    <row r="281" ht="22.5" customHeight="1">
      <c r="A281" s="7"/>
      <c r="B281" s="8"/>
      <c r="C281" s="8"/>
      <c r="D281" s="8"/>
      <c r="E281" s="16"/>
      <c r="F281" s="10"/>
      <c r="G281" s="19"/>
      <c r="H281" s="18"/>
      <c r="I281" s="13"/>
      <c r="J281" s="14"/>
      <c r="K281" s="8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</row>
    <row r="282" ht="22.5" customHeight="1">
      <c r="A282" s="7"/>
      <c r="B282" s="8"/>
      <c r="C282" s="8"/>
      <c r="D282" s="8"/>
      <c r="E282" s="16"/>
      <c r="F282" s="10"/>
      <c r="G282" s="19"/>
      <c r="H282" s="18"/>
      <c r="I282" s="13"/>
      <c r="J282" s="14"/>
      <c r="K282" s="8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</row>
    <row r="283" ht="22.5" customHeight="1">
      <c r="A283" s="7"/>
      <c r="B283" s="8"/>
      <c r="C283" s="8"/>
      <c r="D283" s="8"/>
      <c r="E283" s="16"/>
      <c r="F283" s="10"/>
      <c r="G283" s="19"/>
      <c r="H283" s="18"/>
      <c r="I283" s="13"/>
      <c r="J283" s="14"/>
      <c r="K283" s="8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</row>
    <row r="284" ht="22.5" customHeight="1">
      <c r="A284" s="7"/>
      <c r="B284" s="8"/>
      <c r="C284" s="8"/>
      <c r="D284" s="8"/>
      <c r="E284" s="16"/>
      <c r="F284" s="10"/>
      <c r="G284" s="19"/>
      <c r="H284" s="18"/>
      <c r="I284" s="13"/>
      <c r="J284" s="14"/>
      <c r="K284" s="8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</row>
    <row r="285" ht="22.5" customHeight="1">
      <c r="A285" s="7"/>
      <c r="B285" s="8"/>
      <c r="C285" s="8"/>
      <c r="D285" s="8"/>
      <c r="E285" s="16"/>
      <c r="F285" s="10"/>
      <c r="G285" s="19"/>
      <c r="H285" s="18"/>
      <c r="I285" s="13"/>
      <c r="J285" s="14"/>
      <c r="K285" s="8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</row>
    <row r="286" ht="22.5" customHeight="1">
      <c r="A286" s="7"/>
      <c r="B286" s="8"/>
      <c r="C286" s="8"/>
      <c r="D286" s="8"/>
      <c r="E286" s="16"/>
      <c r="F286" s="10"/>
      <c r="G286" s="19"/>
      <c r="H286" s="18"/>
      <c r="I286" s="13"/>
      <c r="J286" s="14"/>
      <c r="K286" s="8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</row>
    <row r="287" ht="22.5" customHeight="1">
      <c r="A287" s="7"/>
      <c r="B287" s="8"/>
      <c r="C287" s="8"/>
      <c r="D287" s="8"/>
      <c r="E287" s="16"/>
      <c r="F287" s="10"/>
      <c r="G287" s="19"/>
      <c r="H287" s="18"/>
      <c r="I287" s="13"/>
      <c r="J287" s="14"/>
      <c r="K287" s="8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</row>
    <row r="288" ht="22.5" customHeight="1">
      <c r="A288" s="7"/>
      <c r="B288" s="8"/>
      <c r="C288" s="8"/>
      <c r="D288" s="8"/>
      <c r="E288" s="16"/>
      <c r="F288" s="8"/>
      <c r="G288" s="19"/>
      <c r="H288" s="18"/>
      <c r="I288" s="13"/>
      <c r="J288" s="14"/>
      <c r="K288" s="8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</row>
    <row r="289" ht="22.5" customHeight="1">
      <c r="A289" s="7"/>
      <c r="B289" s="8"/>
      <c r="C289" s="8"/>
      <c r="D289" s="8"/>
      <c r="E289" s="16"/>
      <c r="F289" s="10"/>
      <c r="G289" s="19"/>
      <c r="H289" s="18"/>
      <c r="I289" s="13"/>
      <c r="J289" s="14"/>
      <c r="K289" s="8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</row>
    <row r="290" ht="22.5" customHeight="1">
      <c r="A290" s="7"/>
      <c r="B290" s="8"/>
      <c r="C290" s="8"/>
      <c r="D290" s="8"/>
      <c r="E290" s="16"/>
      <c r="F290" s="10"/>
      <c r="G290" s="19"/>
      <c r="H290" s="18"/>
      <c r="I290" s="13"/>
      <c r="J290" s="14"/>
      <c r="K290" s="8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</row>
    <row r="291" ht="22.5" customHeight="1">
      <c r="A291" s="7"/>
      <c r="B291" s="8"/>
      <c r="C291" s="8"/>
      <c r="D291" s="8"/>
      <c r="E291" s="16"/>
      <c r="F291" s="8"/>
      <c r="G291" s="17"/>
      <c r="H291" s="18"/>
      <c r="I291" s="13"/>
      <c r="J291" s="14"/>
      <c r="K291" s="8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</row>
    <row r="292" ht="22.5" customHeight="1">
      <c r="A292" s="7"/>
      <c r="B292" s="8"/>
      <c r="C292" s="8"/>
      <c r="D292" s="8"/>
      <c r="E292" s="16"/>
      <c r="F292" s="8"/>
      <c r="G292" s="17"/>
      <c r="H292" s="18"/>
      <c r="I292" s="13"/>
      <c r="J292" s="14"/>
      <c r="K292" s="8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</row>
    <row r="293" ht="22.5" customHeight="1">
      <c r="A293" s="7"/>
      <c r="B293" s="8"/>
      <c r="C293" s="8"/>
      <c r="D293" s="8"/>
      <c r="E293" s="16"/>
      <c r="F293" s="8"/>
      <c r="G293" s="17"/>
      <c r="H293" s="18"/>
      <c r="I293" s="13"/>
      <c r="J293" s="14"/>
      <c r="K293" s="8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</row>
    <row r="294" ht="22.5" customHeight="1">
      <c r="A294" s="7"/>
      <c r="B294" s="8"/>
      <c r="C294" s="8"/>
      <c r="D294" s="8"/>
      <c r="E294" s="16"/>
      <c r="F294" s="8"/>
      <c r="G294" s="19"/>
      <c r="H294" s="18"/>
      <c r="I294" s="13"/>
      <c r="J294" s="14"/>
      <c r="K294" s="8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</row>
    <row r="295" ht="22.5" customHeight="1">
      <c r="A295" s="7"/>
      <c r="B295" s="8"/>
      <c r="C295" s="8"/>
      <c r="D295" s="8"/>
      <c r="E295" s="16"/>
      <c r="F295" s="10"/>
      <c r="G295" s="19"/>
      <c r="H295" s="18"/>
      <c r="I295" s="13"/>
      <c r="J295" s="14"/>
      <c r="K295" s="8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</row>
    <row r="296" ht="22.5" customHeight="1">
      <c r="A296" s="7"/>
      <c r="B296" s="8"/>
      <c r="C296" s="8"/>
      <c r="D296" s="8"/>
      <c r="E296" s="16"/>
      <c r="F296" s="10"/>
      <c r="G296" s="19"/>
      <c r="H296" s="18"/>
      <c r="I296" s="13"/>
      <c r="J296" s="14"/>
      <c r="K296" s="8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</row>
    <row r="297" ht="22.5" customHeight="1">
      <c r="A297" s="7"/>
      <c r="B297" s="8"/>
      <c r="C297" s="8"/>
      <c r="D297" s="8"/>
      <c r="E297" s="16"/>
      <c r="F297" s="8"/>
      <c r="G297" s="19"/>
      <c r="H297" s="18"/>
      <c r="I297" s="13"/>
      <c r="J297" s="14"/>
      <c r="K297" s="8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</row>
    <row r="298" ht="22.5" customHeight="1">
      <c r="A298" s="7"/>
      <c r="B298" s="8"/>
      <c r="C298" s="8"/>
      <c r="D298" s="8"/>
      <c r="E298" s="16"/>
      <c r="F298" s="10"/>
      <c r="G298" s="19"/>
      <c r="H298" s="18"/>
      <c r="I298" s="13"/>
      <c r="J298" s="14"/>
      <c r="K298" s="8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</row>
    <row r="299" ht="22.5" customHeight="1">
      <c r="A299" s="7"/>
      <c r="B299" s="8"/>
      <c r="C299" s="8"/>
      <c r="D299" s="8"/>
      <c r="E299" s="16"/>
      <c r="F299" s="10"/>
      <c r="G299" s="19"/>
      <c r="H299" s="18"/>
      <c r="I299" s="13"/>
      <c r="J299" s="14"/>
      <c r="K299" s="8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</row>
    <row r="300" ht="22.5" customHeight="1">
      <c r="A300" s="7"/>
      <c r="B300" s="8"/>
      <c r="C300" s="8"/>
      <c r="D300" s="8"/>
      <c r="E300" s="16"/>
      <c r="F300" s="10"/>
      <c r="G300" s="19"/>
      <c r="H300" s="18"/>
      <c r="I300" s="13"/>
      <c r="J300" s="14"/>
      <c r="K300" s="8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</row>
    <row r="301" ht="22.5" customHeight="1">
      <c r="A301" s="7"/>
      <c r="B301" s="8"/>
      <c r="C301" s="8"/>
      <c r="D301" s="8"/>
      <c r="E301" s="16"/>
      <c r="F301" s="10"/>
      <c r="G301" s="19"/>
      <c r="H301" s="18"/>
      <c r="I301" s="13"/>
      <c r="J301" s="14"/>
      <c r="K301" s="8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</row>
    <row r="302" ht="22.5" customHeight="1">
      <c r="A302" s="7"/>
      <c r="B302" s="8"/>
      <c r="C302" s="8"/>
      <c r="D302" s="8"/>
      <c r="E302" s="16"/>
      <c r="F302" s="10"/>
      <c r="G302" s="19"/>
      <c r="H302" s="18"/>
      <c r="I302" s="13"/>
      <c r="J302" s="14"/>
      <c r="K302" s="8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</row>
    <row r="303" ht="22.5" customHeight="1">
      <c r="A303" s="7"/>
      <c r="B303" s="8"/>
      <c r="C303" s="8"/>
      <c r="D303" s="8"/>
      <c r="E303" s="16"/>
      <c r="F303" s="10"/>
      <c r="G303" s="19"/>
      <c r="H303" s="18"/>
      <c r="I303" s="13"/>
      <c r="J303" s="14"/>
      <c r="K303" s="8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</row>
    <row r="304" ht="22.5" customHeight="1">
      <c r="A304" s="7"/>
      <c r="B304" s="8"/>
      <c r="C304" s="8"/>
      <c r="D304" s="8"/>
      <c r="E304" s="16"/>
      <c r="F304" s="10"/>
      <c r="G304" s="19"/>
      <c r="H304" s="18"/>
      <c r="I304" s="13"/>
      <c r="J304" s="14"/>
      <c r="K304" s="8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</row>
    <row r="305" ht="22.5" customHeight="1">
      <c r="A305" s="7"/>
      <c r="B305" s="8"/>
      <c r="C305" s="8"/>
      <c r="D305" s="8"/>
      <c r="E305" s="16"/>
      <c r="F305" s="8"/>
      <c r="G305" s="19"/>
      <c r="H305" s="18"/>
      <c r="I305" s="13"/>
      <c r="J305" s="14"/>
      <c r="K305" s="8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</row>
    <row r="306" ht="22.5" customHeight="1">
      <c r="A306" s="7"/>
      <c r="B306" s="8"/>
      <c r="C306" s="8"/>
      <c r="D306" s="8"/>
      <c r="E306" s="16"/>
      <c r="F306" s="10"/>
      <c r="G306" s="19"/>
      <c r="H306" s="18"/>
      <c r="I306" s="13"/>
      <c r="J306" s="14"/>
      <c r="K306" s="8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</row>
    <row r="307" ht="22.5" customHeight="1">
      <c r="A307" s="7"/>
      <c r="B307" s="8"/>
      <c r="C307" s="8"/>
      <c r="D307" s="8"/>
      <c r="E307" s="16"/>
      <c r="F307" s="10"/>
      <c r="G307" s="19"/>
      <c r="H307" s="18"/>
      <c r="I307" s="13"/>
      <c r="J307" s="14"/>
      <c r="K307" s="8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</row>
    <row r="308" ht="22.5" customHeight="1">
      <c r="A308" s="7"/>
      <c r="B308" s="8"/>
      <c r="C308" s="8"/>
      <c r="D308" s="8"/>
      <c r="E308" s="16"/>
      <c r="F308" s="8"/>
      <c r="G308" s="19"/>
      <c r="H308" s="18"/>
      <c r="I308" s="13"/>
      <c r="J308" s="14"/>
      <c r="K308" s="8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</row>
    <row r="309" ht="22.5" customHeight="1">
      <c r="A309" s="7"/>
      <c r="B309" s="8"/>
      <c r="C309" s="8"/>
      <c r="D309" s="8"/>
      <c r="E309" s="16"/>
      <c r="F309" s="10"/>
      <c r="G309" s="19"/>
      <c r="H309" s="18"/>
      <c r="I309" s="13"/>
      <c r="J309" s="14"/>
      <c r="K309" s="8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</row>
    <row r="310" ht="22.5" customHeight="1">
      <c r="A310" s="7"/>
      <c r="B310" s="8"/>
      <c r="C310" s="8"/>
      <c r="D310" s="8"/>
      <c r="E310" s="16"/>
      <c r="F310" s="10"/>
      <c r="G310" s="19"/>
      <c r="H310" s="18"/>
      <c r="I310" s="13"/>
      <c r="J310" s="14"/>
      <c r="K310" s="8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</row>
    <row r="311" ht="22.5" customHeight="1">
      <c r="A311" s="7"/>
      <c r="B311" s="8"/>
      <c r="C311" s="8"/>
      <c r="D311" s="8"/>
      <c r="E311" s="16"/>
      <c r="F311" s="10"/>
      <c r="G311" s="19"/>
      <c r="H311" s="18"/>
      <c r="I311" s="13"/>
      <c r="J311" s="14"/>
      <c r="K311" s="8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</row>
    <row r="312" ht="22.5" customHeight="1">
      <c r="A312" s="7"/>
      <c r="B312" s="8"/>
      <c r="C312" s="8"/>
      <c r="D312" s="8"/>
      <c r="E312" s="16"/>
      <c r="F312" s="10"/>
      <c r="G312" s="19"/>
      <c r="H312" s="18"/>
      <c r="I312" s="13"/>
      <c r="J312" s="14"/>
      <c r="K312" s="8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</row>
    <row r="313" ht="22.5" customHeight="1">
      <c r="A313" s="7"/>
      <c r="B313" s="8"/>
      <c r="C313" s="8"/>
      <c r="D313" s="8"/>
      <c r="E313" s="16"/>
      <c r="F313" s="10"/>
      <c r="G313" s="19"/>
      <c r="H313" s="18"/>
      <c r="I313" s="13"/>
      <c r="J313" s="14"/>
      <c r="K313" s="8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</row>
    <row r="314" ht="22.5" customHeight="1">
      <c r="A314" s="7"/>
      <c r="B314" s="8"/>
      <c r="C314" s="8"/>
      <c r="D314" s="8"/>
      <c r="E314" s="16"/>
      <c r="F314" s="10"/>
      <c r="G314" s="19"/>
      <c r="H314" s="18"/>
      <c r="I314" s="13"/>
      <c r="J314" s="14"/>
      <c r="K314" s="8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</row>
    <row r="315" ht="22.5" customHeight="1">
      <c r="A315" s="7"/>
      <c r="B315" s="8"/>
      <c r="C315" s="8"/>
      <c r="D315" s="8"/>
      <c r="E315" s="16"/>
      <c r="F315" s="10"/>
      <c r="G315" s="19"/>
      <c r="H315" s="18"/>
      <c r="I315" s="13"/>
      <c r="J315" s="14"/>
      <c r="K315" s="8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</row>
    <row r="316" ht="22.5" customHeight="1">
      <c r="A316" s="7"/>
      <c r="B316" s="8"/>
      <c r="C316" s="8"/>
      <c r="D316" s="8"/>
      <c r="E316" s="16"/>
      <c r="F316" s="10"/>
      <c r="G316" s="19"/>
      <c r="H316" s="18"/>
      <c r="I316" s="7"/>
      <c r="J316" s="14"/>
      <c r="K316" s="8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</row>
    <row r="317" ht="22.5" customHeight="1">
      <c r="A317" s="7"/>
      <c r="B317" s="8"/>
      <c r="C317" s="8"/>
      <c r="D317" s="8"/>
      <c r="E317" s="16"/>
      <c r="F317" s="8"/>
      <c r="G317" s="19"/>
      <c r="H317" s="18"/>
      <c r="I317" s="13"/>
      <c r="J317" s="14"/>
      <c r="K317" s="8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</row>
    <row r="318" ht="22.5" customHeight="1">
      <c r="A318" s="7"/>
      <c r="B318" s="8"/>
      <c r="C318" s="8"/>
      <c r="D318" s="8"/>
      <c r="E318" s="16"/>
      <c r="F318" s="8"/>
      <c r="G318" s="17"/>
      <c r="H318" s="7"/>
      <c r="I318" s="13"/>
      <c r="J318" s="14"/>
      <c r="K318" s="8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</row>
    <row r="319" ht="22.5" customHeight="1">
      <c r="A319" s="7"/>
      <c r="B319" s="8"/>
      <c r="C319" s="8"/>
      <c r="D319" s="8"/>
      <c r="E319" s="16"/>
      <c r="F319" s="10"/>
      <c r="G319" s="19"/>
      <c r="H319" s="18"/>
      <c r="I319" s="13"/>
      <c r="J319" s="14"/>
      <c r="K319" s="8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</row>
    <row r="320" ht="22.5" customHeight="1">
      <c r="A320" s="7"/>
      <c r="B320" s="8"/>
      <c r="C320" s="8"/>
      <c r="D320" s="8"/>
      <c r="E320" s="16"/>
      <c r="F320" s="8"/>
      <c r="G320" s="19"/>
      <c r="H320" s="18"/>
      <c r="I320" s="13"/>
      <c r="J320" s="14"/>
      <c r="K320" s="8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</row>
    <row r="321" ht="22.5" customHeight="1">
      <c r="A321" s="7"/>
      <c r="B321" s="8"/>
      <c r="C321" s="8"/>
      <c r="D321" s="8"/>
      <c r="E321" s="16"/>
      <c r="F321" s="10"/>
      <c r="G321" s="19"/>
      <c r="H321" s="18"/>
      <c r="I321" s="13"/>
      <c r="J321" s="14"/>
      <c r="K321" s="8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</row>
    <row r="322" ht="22.5" customHeight="1">
      <c r="A322" s="7"/>
      <c r="B322" s="8"/>
      <c r="C322" s="8"/>
      <c r="D322" s="8"/>
      <c r="E322" s="16"/>
      <c r="F322" s="10"/>
      <c r="G322" s="19"/>
      <c r="H322" s="18"/>
      <c r="I322" s="13"/>
      <c r="J322" s="14"/>
      <c r="K322" s="8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</row>
    <row r="323" ht="22.5" customHeight="1">
      <c r="A323" s="7"/>
      <c r="B323" s="8"/>
      <c r="C323" s="8"/>
      <c r="D323" s="8"/>
      <c r="E323" s="16"/>
      <c r="F323" s="8"/>
      <c r="G323" s="17"/>
      <c r="H323" s="7"/>
      <c r="I323" s="13"/>
      <c r="J323" s="14"/>
      <c r="K323" s="8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</row>
    <row r="324" ht="22.5" customHeight="1">
      <c r="A324" s="7"/>
      <c r="B324" s="8"/>
      <c r="C324" s="8"/>
      <c r="D324" s="8"/>
      <c r="E324" s="16"/>
      <c r="F324" s="8"/>
      <c r="G324" s="17"/>
      <c r="H324" s="7"/>
      <c r="I324" s="13"/>
      <c r="J324" s="14"/>
      <c r="K324" s="8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</row>
    <row r="325" ht="22.5" customHeight="1">
      <c r="A325" s="7"/>
      <c r="B325" s="8"/>
      <c r="C325" s="8"/>
      <c r="D325" s="8"/>
      <c r="E325" s="16"/>
      <c r="F325" s="8"/>
      <c r="G325" s="19"/>
      <c r="H325" s="18"/>
      <c r="I325" s="13"/>
      <c r="J325" s="14"/>
      <c r="K325" s="8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</row>
    <row r="326" ht="22.5" customHeight="1">
      <c r="A326" s="7"/>
      <c r="B326" s="8"/>
      <c r="C326" s="8"/>
      <c r="D326" s="8"/>
      <c r="E326" s="16"/>
      <c r="F326" s="10"/>
      <c r="G326" s="19"/>
      <c r="H326" s="18"/>
      <c r="I326" s="13"/>
      <c r="J326" s="14"/>
      <c r="K326" s="8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</row>
    <row r="327" ht="22.5" customHeight="1">
      <c r="A327" s="7"/>
      <c r="B327" s="8"/>
      <c r="C327" s="8"/>
      <c r="D327" s="8"/>
      <c r="E327" s="16"/>
      <c r="F327" s="10"/>
      <c r="G327" s="19"/>
      <c r="H327" s="18"/>
      <c r="I327" s="13"/>
      <c r="J327" s="14"/>
      <c r="K327" s="8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</row>
    <row r="328" ht="22.5" customHeight="1">
      <c r="A328" s="7"/>
      <c r="B328" s="8"/>
      <c r="C328" s="8"/>
      <c r="D328" s="8"/>
      <c r="E328" s="16"/>
      <c r="F328" s="8"/>
      <c r="G328" s="19"/>
      <c r="H328" s="18"/>
      <c r="I328" s="13"/>
      <c r="J328" s="14"/>
      <c r="K328" s="8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</row>
    <row r="329" ht="22.5" customHeight="1">
      <c r="A329" s="7"/>
      <c r="B329" s="8"/>
      <c r="C329" s="8"/>
      <c r="D329" s="8"/>
      <c r="E329" s="16"/>
      <c r="F329" s="10"/>
      <c r="G329" s="19"/>
      <c r="H329" s="18"/>
      <c r="I329" s="13"/>
      <c r="J329" s="14"/>
      <c r="K329" s="8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</row>
    <row r="330" ht="22.5" customHeight="1">
      <c r="A330" s="7"/>
      <c r="B330" s="8"/>
      <c r="C330" s="8"/>
      <c r="D330" s="8"/>
      <c r="E330" s="16"/>
      <c r="F330" s="8"/>
      <c r="G330" s="19"/>
      <c r="H330" s="18"/>
      <c r="I330" s="13"/>
      <c r="J330" s="14"/>
      <c r="K330" s="8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</row>
    <row r="331" ht="22.5" customHeight="1">
      <c r="A331" s="7"/>
      <c r="B331" s="8"/>
      <c r="C331" s="8"/>
      <c r="D331" s="8"/>
      <c r="E331" s="16"/>
      <c r="F331" s="10"/>
      <c r="G331" s="19"/>
      <c r="H331" s="18"/>
      <c r="I331" s="13"/>
      <c r="J331" s="14"/>
      <c r="K331" s="8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</row>
    <row r="332" ht="22.5" customHeight="1">
      <c r="A332" s="7"/>
      <c r="B332" s="8"/>
      <c r="C332" s="8"/>
      <c r="D332" s="8"/>
      <c r="E332" s="16"/>
      <c r="F332" s="8"/>
      <c r="G332" s="19"/>
      <c r="H332" s="18"/>
      <c r="I332" s="13"/>
      <c r="J332" s="14"/>
      <c r="K332" s="8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</row>
    <row r="333" ht="22.5" customHeight="1">
      <c r="A333" s="7"/>
      <c r="B333" s="8"/>
      <c r="C333" s="8"/>
      <c r="D333" s="8"/>
      <c r="E333" s="16"/>
      <c r="F333" s="8"/>
      <c r="G333" s="19"/>
      <c r="H333" s="18"/>
      <c r="I333" s="13"/>
      <c r="J333" s="14"/>
      <c r="K333" s="8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</row>
    <row r="334" ht="22.5" customHeight="1">
      <c r="A334" s="7"/>
      <c r="B334" s="8"/>
      <c r="C334" s="8"/>
      <c r="D334" s="8"/>
      <c r="E334" s="16"/>
      <c r="F334" s="8"/>
      <c r="G334" s="17"/>
      <c r="H334" s="7"/>
      <c r="I334" s="13"/>
      <c r="J334" s="14"/>
      <c r="K334" s="8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</row>
    <row r="335" ht="22.5" customHeight="1">
      <c r="A335" s="7"/>
      <c r="B335" s="8"/>
      <c r="C335" s="8"/>
      <c r="D335" s="8"/>
      <c r="E335" s="16"/>
      <c r="F335" s="10"/>
      <c r="G335" s="19"/>
      <c r="H335" s="18"/>
      <c r="I335" s="13"/>
      <c r="J335" s="14"/>
      <c r="K335" s="8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</row>
    <row r="336" ht="22.5" customHeight="1">
      <c r="A336" s="7"/>
      <c r="B336" s="8"/>
      <c r="C336" s="8"/>
      <c r="D336" s="8"/>
      <c r="E336" s="16"/>
      <c r="F336" s="8"/>
      <c r="G336" s="19"/>
      <c r="H336" s="18"/>
      <c r="I336" s="13"/>
      <c r="J336" s="14"/>
      <c r="K336" s="8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</row>
    <row r="337" ht="22.5" customHeight="1">
      <c r="A337" s="7"/>
      <c r="B337" s="8"/>
      <c r="C337" s="8"/>
      <c r="D337" s="8"/>
      <c r="E337" s="16"/>
      <c r="F337" s="8"/>
      <c r="G337" s="19"/>
      <c r="H337" s="18"/>
      <c r="I337" s="13"/>
      <c r="J337" s="14"/>
      <c r="K337" s="8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</row>
    <row r="338" ht="22.5" customHeight="1">
      <c r="A338" s="7"/>
      <c r="B338" s="8"/>
      <c r="C338" s="8"/>
      <c r="D338" s="8"/>
      <c r="E338" s="16"/>
      <c r="F338" s="8"/>
      <c r="G338" s="19"/>
      <c r="H338" s="18"/>
      <c r="I338" s="13"/>
      <c r="J338" s="14"/>
      <c r="K338" s="8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</row>
    <row r="339" ht="22.5" customHeight="1">
      <c r="A339" s="7"/>
      <c r="B339" s="8"/>
      <c r="C339" s="8"/>
      <c r="D339" s="8"/>
      <c r="E339" s="16"/>
      <c r="F339" s="8"/>
      <c r="G339" s="19"/>
      <c r="H339" s="18"/>
      <c r="I339" s="13"/>
      <c r="J339" s="14"/>
      <c r="K339" s="8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</row>
    <row r="340" ht="22.5" customHeight="1">
      <c r="A340" s="7"/>
      <c r="B340" s="8"/>
      <c r="C340" s="8"/>
      <c r="D340" s="8"/>
      <c r="E340" s="16"/>
      <c r="F340" s="8"/>
      <c r="G340" s="19"/>
      <c r="H340" s="18"/>
      <c r="I340" s="13"/>
      <c r="J340" s="14"/>
      <c r="K340" s="8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</row>
    <row r="341" ht="22.5" customHeight="1">
      <c r="A341" s="7"/>
      <c r="B341" s="8"/>
      <c r="C341" s="8"/>
      <c r="D341" s="8"/>
      <c r="E341" s="16"/>
      <c r="F341" s="10"/>
      <c r="G341" s="19"/>
      <c r="H341" s="18"/>
      <c r="I341" s="13"/>
      <c r="J341" s="14"/>
      <c r="K341" s="8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</row>
    <row r="342" ht="22.5" customHeight="1">
      <c r="A342" s="7"/>
      <c r="B342" s="8"/>
      <c r="C342" s="8"/>
      <c r="D342" s="8"/>
      <c r="E342" s="16"/>
      <c r="F342" s="8"/>
      <c r="G342" s="19"/>
      <c r="H342" s="18"/>
      <c r="I342" s="13"/>
      <c r="J342" s="14"/>
      <c r="K342" s="8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</row>
    <row r="343" ht="22.5" customHeight="1">
      <c r="A343" s="7"/>
      <c r="B343" s="8"/>
      <c r="C343" s="8"/>
      <c r="D343" s="8"/>
      <c r="E343" s="16"/>
      <c r="F343" s="10"/>
      <c r="G343" s="19"/>
      <c r="H343" s="18"/>
      <c r="I343" s="13"/>
      <c r="J343" s="14"/>
      <c r="K343" s="8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</row>
    <row r="344" ht="22.5" customHeight="1">
      <c r="A344" s="7"/>
      <c r="B344" s="8"/>
      <c r="C344" s="8"/>
      <c r="D344" s="8"/>
      <c r="E344" s="16"/>
      <c r="F344" s="10"/>
      <c r="G344" s="19"/>
      <c r="H344" s="18"/>
      <c r="I344" s="13"/>
      <c r="J344" s="14"/>
      <c r="K344" s="8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</row>
    <row r="345" ht="22.5" customHeight="1">
      <c r="A345" s="7"/>
      <c r="B345" s="8"/>
      <c r="C345" s="8"/>
      <c r="D345" s="8"/>
      <c r="E345" s="16"/>
      <c r="F345" s="8"/>
      <c r="G345" s="19"/>
      <c r="H345" s="18"/>
      <c r="I345" s="13"/>
      <c r="J345" s="14"/>
      <c r="K345" s="8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</row>
    <row r="346" ht="22.5" customHeight="1">
      <c r="A346" s="7"/>
      <c r="B346" s="8"/>
      <c r="C346" s="8"/>
      <c r="D346" s="8"/>
      <c r="E346" s="16"/>
      <c r="F346" s="10"/>
      <c r="G346" s="19"/>
      <c r="H346" s="18"/>
      <c r="I346" s="13"/>
      <c r="J346" s="14"/>
      <c r="K346" s="8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</row>
    <row r="347" ht="22.5" customHeight="1">
      <c r="A347" s="7"/>
      <c r="B347" s="8"/>
      <c r="C347" s="8"/>
      <c r="D347" s="8"/>
      <c r="E347" s="16"/>
      <c r="F347" s="8"/>
      <c r="G347" s="19"/>
      <c r="H347" s="18"/>
      <c r="I347" s="13"/>
      <c r="J347" s="14"/>
      <c r="K347" s="8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</row>
    <row r="348" ht="22.5" customHeight="1">
      <c r="A348" s="7"/>
      <c r="B348" s="8"/>
      <c r="C348" s="8"/>
      <c r="D348" s="8"/>
      <c r="E348" s="16"/>
      <c r="F348" s="8"/>
      <c r="G348" s="19"/>
      <c r="H348" s="18"/>
      <c r="I348" s="13"/>
      <c r="J348" s="14"/>
      <c r="K348" s="8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</row>
    <row r="349" ht="22.5" customHeight="1">
      <c r="A349" s="7"/>
      <c r="B349" s="8"/>
      <c r="C349" s="8"/>
      <c r="D349" s="8"/>
      <c r="E349" s="16"/>
      <c r="F349" s="8"/>
      <c r="G349" s="19"/>
      <c r="H349" s="18"/>
      <c r="I349" s="13"/>
      <c r="J349" s="14"/>
      <c r="K349" s="8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</row>
    <row r="350" ht="22.5" customHeight="1">
      <c r="A350" s="7"/>
      <c r="B350" s="8"/>
      <c r="C350" s="8"/>
      <c r="D350" s="8"/>
      <c r="E350" s="16"/>
      <c r="F350" s="8"/>
      <c r="G350" s="19"/>
      <c r="H350" s="18"/>
      <c r="I350" s="13"/>
      <c r="J350" s="14"/>
      <c r="K350" s="8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</row>
    <row r="351" ht="22.5" customHeight="1">
      <c r="A351" s="7"/>
      <c r="B351" s="8"/>
      <c r="C351" s="8"/>
      <c r="D351" s="8"/>
      <c r="E351" s="16"/>
      <c r="F351" s="8"/>
      <c r="G351" s="19"/>
      <c r="H351" s="18"/>
      <c r="I351" s="13"/>
      <c r="J351" s="14"/>
      <c r="K351" s="8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</row>
    <row r="352" ht="22.5" customHeight="1">
      <c r="A352" s="7"/>
      <c r="B352" s="8"/>
      <c r="C352" s="8"/>
      <c r="D352" s="8"/>
      <c r="E352" s="16"/>
      <c r="F352" s="10"/>
      <c r="G352" s="19"/>
      <c r="H352" s="18"/>
      <c r="I352" s="13"/>
      <c r="J352" s="14"/>
      <c r="K352" s="8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</row>
    <row r="353" ht="22.5" customHeight="1">
      <c r="A353" s="7"/>
      <c r="B353" s="8"/>
      <c r="C353" s="8"/>
      <c r="D353" s="8"/>
      <c r="E353" s="16"/>
      <c r="F353" s="10"/>
      <c r="G353" s="19"/>
      <c r="H353" s="18"/>
      <c r="I353" s="13"/>
      <c r="J353" s="14"/>
      <c r="K353" s="8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</row>
    <row r="354" ht="22.5" customHeight="1">
      <c r="A354" s="7"/>
      <c r="B354" s="8"/>
      <c r="C354" s="8"/>
      <c r="D354" s="8"/>
      <c r="E354" s="16"/>
      <c r="F354" s="8"/>
      <c r="G354" s="19"/>
      <c r="H354" s="18"/>
      <c r="I354" s="13"/>
      <c r="J354" s="14"/>
      <c r="K354" s="8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</row>
    <row r="355" ht="22.5" customHeight="1">
      <c r="A355" s="7"/>
      <c r="B355" s="8"/>
      <c r="C355" s="8"/>
      <c r="D355" s="8"/>
      <c r="E355" s="16"/>
      <c r="F355" s="8"/>
      <c r="G355" s="19"/>
      <c r="H355" s="18"/>
      <c r="I355" s="13"/>
      <c r="J355" s="14"/>
      <c r="K355" s="8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</row>
    <row r="356" ht="22.5" customHeight="1">
      <c r="A356" s="7"/>
      <c r="B356" s="8"/>
      <c r="C356" s="8"/>
      <c r="D356" s="8"/>
      <c r="E356" s="16"/>
      <c r="F356" s="10"/>
      <c r="G356" s="19"/>
      <c r="H356" s="18"/>
      <c r="I356" s="13"/>
      <c r="J356" s="14"/>
      <c r="K356" s="8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</row>
    <row r="357" ht="22.5" customHeight="1">
      <c r="A357" s="7"/>
      <c r="B357" s="8"/>
      <c r="C357" s="8"/>
      <c r="D357" s="8"/>
      <c r="E357" s="16"/>
      <c r="F357" s="10"/>
      <c r="G357" s="19"/>
      <c r="H357" s="18"/>
      <c r="I357" s="13"/>
      <c r="J357" s="14"/>
      <c r="K357" s="8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</row>
    <row r="358" ht="22.5" customHeight="1">
      <c r="A358" s="7"/>
      <c r="B358" s="8"/>
      <c r="C358" s="8"/>
      <c r="D358" s="8"/>
      <c r="E358" s="16"/>
      <c r="G358" s="19"/>
      <c r="H358" s="18"/>
      <c r="I358" s="13"/>
      <c r="J358" s="14"/>
      <c r="K358" s="8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</row>
    <row r="359" ht="22.5" customHeight="1">
      <c r="A359" s="7"/>
      <c r="B359" s="8"/>
      <c r="C359" s="8"/>
      <c r="D359" s="8"/>
      <c r="E359" s="16"/>
      <c r="F359" s="10"/>
      <c r="G359" s="19"/>
      <c r="H359" s="18"/>
      <c r="I359" s="13"/>
      <c r="J359" s="14"/>
      <c r="K359" s="8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</row>
    <row r="360" ht="22.5" customHeight="1">
      <c r="A360" s="7"/>
      <c r="B360" s="8"/>
      <c r="C360" s="8"/>
      <c r="D360" s="8"/>
      <c r="E360" s="16"/>
      <c r="F360" s="8"/>
      <c r="G360" s="19"/>
      <c r="H360" s="18"/>
      <c r="I360" s="13"/>
      <c r="J360" s="14"/>
      <c r="K360" s="8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</row>
    <row r="361" ht="22.5" customHeight="1">
      <c r="A361" s="7"/>
      <c r="B361" s="8"/>
      <c r="C361" s="8"/>
      <c r="D361" s="8"/>
      <c r="E361" s="16"/>
      <c r="F361" s="8"/>
      <c r="G361" s="19"/>
      <c r="H361" s="18"/>
      <c r="I361" s="13"/>
      <c r="J361" s="14"/>
      <c r="K361" s="8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</row>
    <row r="362" ht="22.5" customHeight="1">
      <c r="A362" s="7"/>
      <c r="B362" s="8"/>
      <c r="C362" s="8"/>
      <c r="D362" s="8"/>
      <c r="E362" s="16"/>
      <c r="F362" s="10"/>
      <c r="G362" s="19"/>
      <c r="H362" s="18"/>
      <c r="I362" s="13"/>
      <c r="J362" s="14"/>
      <c r="K362" s="8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</row>
    <row r="363" ht="22.5" customHeight="1">
      <c r="A363" s="7"/>
      <c r="B363" s="8"/>
      <c r="C363" s="8"/>
      <c r="D363" s="8"/>
      <c r="E363" s="16"/>
      <c r="F363" s="8"/>
      <c r="G363" s="19"/>
      <c r="H363" s="18"/>
      <c r="I363" s="13"/>
      <c r="J363" s="14"/>
      <c r="K363" s="8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</row>
    <row r="364" ht="22.5" customHeight="1">
      <c r="A364" s="7"/>
      <c r="B364" s="8"/>
      <c r="C364" s="8"/>
      <c r="D364" s="8"/>
      <c r="E364" s="16"/>
      <c r="F364" s="10"/>
      <c r="G364" s="19"/>
      <c r="H364" s="18"/>
      <c r="I364" s="13"/>
      <c r="J364" s="14"/>
      <c r="K364" s="8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</row>
    <row r="365" ht="22.5" customHeight="1">
      <c r="A365" s="7"/>
      <c r="B365" s="8"/>
      <c r="C365" s="8"/>
      <c r="D365" s="8"/>
      <c r="E365" s="16"/>
      <c r="F365" s="10"/>
      <c r="G365" s="19"/>
      <c r="H365" s="18"/>
      <c r="I365" s="13"/>
      <c r="J365" s="14"/>
      <c r="K365" s="8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</row>
    <row r="366" ht="22.5" customHeight="1">
      <c r="A366" s="7"/>
      <c r="B366" s="8"/>
      <c r="C366" s="8"/>
      <c r="D366" s="8"/>
      <c r="E366" s="16"/>
      <c r="F366" s="8"/>
      <c r="G366" s="19"/>
      <c r="H366" s="18"/>
      <c r="I366" s="13"/>
      <c r="J366" s="14"/>
      <c r="K366" s="8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</row>
    <row r="367" ht="22.5" customHeight="1">
      <c r="A367" s="7"/>
      <c r="B367" s="8"/>
      <c r="C367" s="8"/>
      <c r="D367" s="8"/>
      <c r="E367" s="16"/>
      <c r="F367" s="10"/>
      <c r="G367" s="19"/>
      <c r="H367" s="18"/>
      <c r="I367" s="13"/>
      <c r="J367" s="14"/>
      <c r="K367" s="8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</row>
    <row r="368" ht="22.5" customHeight="1">
      <c r="A368" s="7"/>
      <c r="B368" s="8"/>
      <c r="C368" s="8"/>
      <c r="D368" s="8"/>
      <c r="E368" s="16"/>
      <c r="F368" s="10"/>
      <c r="G368" s="19"/>
      <c r="H368" s="18"/>
      <c r="I368" s="13"/>
      <c r="J368" s="14"/>
      <c r="K368" s="8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</row>
    <row r="369" ht="22.5" customHeight="1">
      <c r="A369" s="7"/>
      <c r="B369" s="8"/>
      <c r="C369" s="8"/>
      <c r="D369" s="8"/>
      <c r="E369" s="16"/>
      <c r="F369" s="8"/>
      <c r="G369" s="19"/>
      <c r="H369" s="18"/>
      <c r="I369" s="13"/>
      <c r="J369" s="14"/>
      <c r="K369" s="8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</row>
    <row r="370" ht="22.5" customHeight="1">
      <c r="A370" s="7"/>
      <c r="B370" s="8"/>
      <c r="C370" s="8"/>
      <c r="D370" s="8"/>
      <c r="E370" s="16"/>
      <c r="F370" s="8"/>
      <c r="G370" s="19"/>
      <c r="H370" s="18"/>
      <c r="I370" s="13"/>
      <c r="J370" s="14"/>
      <c r="K370" s="8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</row>
    <row r="371" ht="22.5" customHeight="1">
      <c r="A371" s="7"/>
      <c r="B371" s="8"/>
      <c r="C371" s="8"/>
      <c r="D371" s="8"/>
      <c r="E371" s="16"/>
      <c r="F371" s="8"/>
      <c r="G371" s="19"/>
      <c r="H371" s="18"/>
      <c r="I371" s="13"/>
      <c r="J371" s="14"/>
      <c r="K371" s="8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</row>
    <row r="372" ht="22.5" customHeight="1">
      <c r="A372" s="7"/>
      <c r="B372" s="8"/>
      <c r="C372" s="8"/>
      <c r="D372" s="8"/>
      <c r="E372" s="16"/>
      <c r="F372" s="10"/>
      <c r="G372" s="19"/>
      <c r="H372" s="18"/>
      <c r="I372" s="13"/>
      <c r="J372" s="14"/>
      <c r="K372" s="8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</row>
    <row r="373" ht="22.5" customHeight="1">
      <c r="A373" s="7"/>
      <c r="B373" s="8"/>
      <c r="C373" s="8"/>
      <c r="D373" s="8"/>
      <c r="E373" s="16"/>
      <c r="F373" s="10"/>
      <c r="G373" s="19"/>
      <c r="H373" s="18"/>
      <c r="I373" s="13"/>
      <c r="J373" s="14"/>
      <c r="K373" s="8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</row>
    <row r="374" ht="22.5" customHeight="1">
      <c r="A374" s="7"/>
      <c r="B374" s="8"/>
      <c r="C374" s="8"/>
      <c r="D374" s="8"/>
      <c r="E374" s="16"/>
      <c r="F374" s="10"/>
      <c r="G374" s="19"/>
      <c r="H374" s="18"/>
      <c r="I374" s="13"/>
      <c r="J374" s="14"/>
      <c r="K374" s="8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</row>
    <row r="375" ht="22.5" customHeight="1">
      <c r="A375" s="7"/>
      <c r="B375" s="8"/>
      <c r="C375" s="8"/>
      <c r="D375" s="8"/>
      <c r="E375" s="16"/>
      <c r="F375" s="10"/>
      <c r="G375" s="19"/>
      <c r="H375" s="18"/>
      <c r="I375" s="13"/>
      <c r="J375" s="14"/>
      <c r="K375" s="8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</row>
    <row r="376" ht="22.5" customHeight="1">
      <c r="A376" s="7"/>
      <c r="B376" s="8"/>
      <c r="C376" s="8"/>
      <c r="D376" s="8"/>
      <c r="E376" s="16"/>
      <c r="F376" s="10"/>
      <c r="G376" s="19"/>
      <c r="H376" s="18"/>
      <c r="I376" s="13"/>
      <c r="J376" s="14"/>
      <c r="K376" s="8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</row>
    <row r="377" ht="22.5" customHeight="1">
      <c r="A377" s="7"/>
      <c r="B377" s="8"/>
      <c r="C377" s="8"/>
      <c r="D377" s="8"/>
      <c r="E377" s="16"/>
      <c r="F377" s="8"/>
      <c r="G377" s="19"/>
      <c r="H377" s="18"/>
      <c r="I377" s="13"/>
      <c r="J377" s="14"/>
      <c r="K377" s="8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</row>
    <row r="378" ht="22.5" customHeight="1">
      <c r="A378" s="7"/>
      <c r="B378" s="8"/>
      <c r="C378" s="8"/>
      <c r="D378" s="8"/>
      <c r="E378" s="16"/>
      <c r="F378" s="8"/>
      <c r="G378" s="19"/>
      <c r="H378" s="18"/>
      <c r="I378" s="13"/>
      <c r="J378" s="14"/>
      <c r="K378" s="8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</row>
    <row r="379" ht="22.5" customHeight="1">
      <c r="A379" s="7"/>
      <c r="B379" s="8"/>
      <c r="C379" s="8"/>
      <c r="D379" s="8"/>
      <c r="E379" s="16"/>
      <c r="F379" s="8"/>
      <c r="G379" s="19"/>
      <c r="H379" s="18"/>
      <c r="I379" s="13"/>
      <c r="J379" s="14"/>
      <c r="K379" s="8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</row>
    <row r="380" ht="22.5" customHeight="1">
      <c r="A380" s="7"/>
      <c r="B380" s="8"/>
      <c r="C380" s="8"/>
      <c r="D380" s="8"/>
      <c r="E380" s="16"/>
      <c r="F380" s="10"/>
      <c r="G380" s="19"/>
      <c r="H380" s="18"/>
      <c r="I380" s="13"/>
      <c r="J380" s="14"/>
      <c r="K380" s="8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</row>
    <row r="381" ht="22.5" customHeight="1">
      <c r="A381" s="7"/>
      <c r="B381" s="8"/>
      <c r="C381" s="8"/>
      <c r="D381" s="8"/>
      <c r="E381" s="16"/>
      <c r="F381" s="8"/>
      <c r="G381" s="19"/>
      <c r="H381" s="18"/>
      <c r="I381" s="13"/>
      <c r="J381" s="14"/>
      <c r="K381" s="8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</row>
    <row r="382" ht="22.5" customHeight="1">
      <c r="A382" s="7"/>
      <c r="B382" s="8"/>
      <c r="C382" s="8"/>
      <c r="D382" s="8"/>
      <c r="E382" s="16"/>
      <c r="F382" s="8"/>
      <c r="G382" s="19"/>
      <c r="H382" s="18"/>
      <c r="I382" s="13"/>
      <c r="J382" s="14"/>
      <c r="K382" s="8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</row>
    <row r="383" ht="22.5" customHeight="1">
      <c r="A383" s="7"/>
      <c r="B383" s="8"/>
      <c r="C383" s="8"/>
      <c r="D383" s="8"/>
      <c r="E383" s="16"/>
      <c r="F383" s="8"/>
      <c r="G383" s="19"/>
      <c r="H383" s="18"/>
      <c r="I383" s="13"/>
      <c r="J383" s="14"/>
      <c r="K383" s="8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</row>
    <row r="384" ht="22.5" customHeight="1">
      <c r="A384" s="7"/>
      <c r="B384" s="8"/>
      <c r="C384" s="8"/>
      <c r="D384" s="8"/>
      <c r="E384" s="16"/>
      <c r="F384" s="8"/>
      <c r="G384" s="19"/>
      <c r="H384" s="18"/>
      <c r="I384" s="13"/>
      <c r="J384" s="14"/>
      <c r="K384" s="8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</row>
    <row r="385" ht="22.5" customHeight="1">
      <c r="A385" s="7"/>
      <c r="B385" s="8"/>
      <c r="C385" s="8"/>
      <c r="D385" s="8"/>
      <c r="E385" s="16"/>
      <c r="F385" s="8"/>
      <c r="G385" s="19"/>
      <c r="H385" s="18"/>
      <c r="I385" s="13"/>
      <c r="J385" s="14"/>
      <c r="K385" s="8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</row>
    <row r="386" ht="22.5" customHeight="1">
      <c r="A386" s="7"/>
      <c r="B386" s="8"/>
      <c r="C386" s="8"/>
      <c r="D386" s="8"/>
      <c r="E386" s="16"/>
      <c r="F386" s="8"/>
      <c r="G386" s="19"/>
      <c r="H386" s="18"/>
      <c r="I386" s="13"/>
      <c r="J386" s="14"/>
      <c r="K386" s="8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</row>
    <row r="387" ht="22.5" customHeight="1">
      <c r="A387" s="7"/>
      <c r="B387" s="8"/>
      <c r="C387" s="8"/>
      <c r="D387" s="8"/>
      <c r="E387" s="16"/>
      <c r="F387" s="10"/>
      <c r="G387" s="19"/>
      <c r="H387" s="18"/>
      <c r="I387" s="13"/>
      <c r="J387" s="14"/>
      <c r="K387" s="8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</row>
    <row r="388" ht="22.5" customHeight="1">
      <c r="A388" s="7"/>
      <c r="B388" s="23"/>
      <c r="C388" s="8"/>
      <c r="D388" s="8"/>
      <c r="E388" s="16"/>
      <c r="F388" s="10"/>
      <c r="G388" s="19"/>
      <c r="H388" s="18"/>
      <c r="I388" s="13"/>
      <c r="J388" s="14"/>
      <c r="K388" s="8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</row>
    <row r="389" ht="22.5" customHeight="1">
      <c r="A389" s="7"/>
      <c r="B389" s="8"/>
      <c r="C389" s="8"/>
      <c r="D389" s="8"/>
      <c r="E389" s="16"/>
      <c r="F389" s="10"/>
      <c r="G389" s="19"/>
      <c r="H389" s="18"/>
      <c r="I389" s="13"/>
      <c r="J389" s="14"/>
      <c r="K389" s="8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</row>
    <row r="390" ht="22.5" customHeight="1">
      <c r="A390" s="7"/>
      <c r="B390" s="8"/>
      <c r="C390" s="8"/>
      <c r="D390" s="8"/>
      <c r="E390" s="16"/>
      <c r="F390" s="8"/>
      <c r="G390" s="19"/>
      <c r="H390" s="18"/>
      <c r="I390" s="13"/>
      <c r="J390" s="14"/>
      <c r="K390" s="8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</row>
    <row r="391" ht="22.5" customHeight="1">
      <c r="A391" s="7"/>
      <c r="B391" s="8"/>
      <c r="C391" s="8"/>
      <c r="D391" s="8"/>
      <c r="E391" s="16"/>
      <c r="F391" s="8"/>
      <c r="G391" s="19"/>
      <c r="H391" s="18"/>
      <c r="I391" s="13"/>
      <c r="J391" s="14"/>
      <c r="K391" s="8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</row>
    <row r="392" ht="22.5" customHeight="1">
      <c r="A392" s="7"/>
      <c r="B392" s="8"/>
      <c r="C392" s="8"/>
      <c r="D392" s="8"/>
      <c r="E392" s="16"/>
      <c r="F392" s="10"/>
      <c r="G392" s="19"/>
      <c r="H392" s="18"/>
      <c r="I392" s="13"/>
      <c r="J392" s="14"/>
      <c r="K392" s="8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</row>
    <row r="393" ht="22.5" customHeight="1">
      <c r="A393" s="7"/>
      <c r="B393" s="23"/>
      <c r="C393" s="8"/>
      <c r="D393" s="8"/>
      <c r="E393" s="16"/>
      <c r="F393" s="8"/>
      <c r="G393" s="19"/>
      <c r="H393" s="18"/>
      <c r="I393" s="13"/>
      <c r="J393" s="14"/>
      <c r="K393" s="8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</row>
    <row r="394" ht="22.5" customHeight="1">
      <c r="A394" s="7"/>
      <c r="B394" s="8"/>
      <c r="C394" s="8"/>
      <c r="D394" s="8"/>
      <c r="E394" s="16"/>
      <c r="F394" s="8"/>
      <c r="G394" s="19"/>
      <c r="H394" s="18"/>
      <c r="I394" s="13"/>
      <c r="J394" s="14"/>
      <c r="K394" s="8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</row>
    <row r="395" ht="22.5" customHeight="1">
      <c r="A395" s="7"/>
      <c r="B395" s="8"/>
      <c r="C395" s="8"/>
      <c r="D395" s="8"/>
      <c r="E395" s="16"/>
      <c r="F395" s="10"/>
      <c r="G395" s="19"/>
      <c r="H395" s="18"/>
      <c r="I395" s="13"/>
      <c r="J395" s="14"/>
      <c r="K395" s="8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</row>
    <row r="396" ht="22.5" customHeight="1">
      <c r="A396" s="7"/>
      <c r="B396" s="8"/>
      <c r="C396" s="8"/>
      <c r="D396" s="8"/>
      <c r="E396" s="16"/>
      <c r="F396" s="10"/>
      <c r="G396" s="19"/>
      <c r="H396" s="18"/>
      <c r="I396" s="13"/>
      <c r="J396" s="14"/>
      <c r="K396" s="8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</row>
    <row r="397" ht="22.5" customHeight="1">
      <c r="A397" s="7"/>
      <c r="B397" s="8"/>
      <c r="C397" s="8"/>
      <c r="D397" s="8"/>
      <c r="E397" s="16"/>
      <c r="F397" s="10"/>
      <c r="G397" s="19"/>
      <c r="H397" s="18"/>
      <c r="I397" s="13"/>
      <c r="J397" s="14"/>
      <c r="K397" s="4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</row>
    <row r="398" ht="22.5" customHeight="1">
      <c r="A398" s="7"/>
      <c r="B398" s="8"/>
      <c r="C398" s="8"/>
      <c r="D398" s="8"/>
      <c r="E398" s="16"/>
      <c r="F398" s="10"/>
      <c r="G398" s="19"/>
      <c r="H398" s="18"/>
      <c r="I398" s="7"/>
      <c r="J398" s="14"/>
      <c r="K398" s="8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</row>
    <row r="399" ht="22.5" customHeight="1">
      <c r="A399" s="7"/>
      <c r="B399" s="8"/>
      <c r="C399" s="8"/>
      <c r="D399" s="8"/>
      <c r="E399" s="16"/>
      <c r="F399" s="10"/>
      <c r="G399" s="19"/>
      <c r="H399" s="18"/>
      <c r="I399" s="13"/>
      <c r="J399" s="14"/>
      <c r="K399" s="8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</row>
    <row r="400" ht="22.5" customHeight="1">
      <c r="A400" s="7"/>
      <c r="B400" s="8"/>
      <c r="C400" s="8"/>
      <c r="D400" s="8"/>
      <c r="E400" s="16"/>
      <c r="F400" s="10"/>
      <c r="G400" s="19"/>
      <c r="H400" s="18"/>
      <c r="I400" s="13"/>
      <c r="J400" s="14"/>
      <c r="K400" s="8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</row>
    <row r="401" ht="22.5" customHeight="1">
      <c r="A401" s="7"/>
      <c r="B401" s="8"/>
      <c r="C401" s="8"/>
      <c r="D401" s="8"/>
      <c r="E401" s="16"/>
      <c r="F401" s="10"/>
      <c r="G401" s="19"/>
      <c r="H401" s="18"/>
      <c r="I401" s="13"/>
      <c r="J401" s="14"/>
      <c r="K401" s="8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</row>
    <row r="402" ht="22.5" customHeight="1">
      <c r="A402" s="7"/>
      <c r="B402" s="8"/>
      <c r="C402" s="8"/>
      <c r="D402" s="8"/>
      <c r="E402" s="16"/>
      <c r="F402" s="10"/>
      <c r="G402" s="19"/>
      <c r="H402" s="18"/>
      <c r="I402" s="13"/>
      <c r="J402" s="14"/>
      <c r="K402" s="8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</row>
    <row r="403" ht="22.5" customHeight="1">
      <c r="A403" s="7"/>
      <c r="B403" s="8"/>
      <c r="C403" s="8"/>
      <c r="D403" s="8"/>
      <c r="E403" s="16"/>
      <c r="F403" s="10"/>
      <c r="G403" s="19"/>
      <c r="H403" s="18"/>
      <c r="I403" s="13"/>
      <c r="J403" s="14"/>
      <c r="K403" s="8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</row>
    <row r="404" ht="22.5" customHeight="1">
      <c r="A404" s="7"/>
      <c r="B404" s="8"/>
      <c r="C404" s="8"/>
      <c r="D404" s="8"/>
      <c r="E404" s="16"/>
      <c r="F404" s="8"/>
      <c r="G404" s="19"/>
      <c r="H404" s="18"/>
      <c r="I404" s="13"/>
      <c r="J404" s="14"/>
      <c r="K404" s="8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</row>
    <row r="405" ht="22.5" customHeight="1">
      <c r="A405" s="7"/>
      <c r="B405" s="8"/>
      <c r="C405" s="8"/>
      <c r="D405" s="8"/>
      <c r="E405" s="16"/>
      <c r="F405" s="8"/>
      <c r="G405" s="19"/>
      <c r="H405" s="18"/>
      <c r="I405" s="13"/>
      <c r="J405" s="14"/>
      <c r="K405" s="8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</row>
    <row r="406" ht="22.5" customHeight="1">
      <c r="A406" s="7"/>
      <c r="B406" s="8"/>
      <c r="C406" s="8"/>
      <c r="D406" s="8"/>
      <c r="E406" s="16"/>
      <c r="F406" s="10"/>
      <c r="G406" s="19"/>
      <c r="H406" s="18"/>
      <c r="I406" s="13"/>
      <c r="J406" s="14"/>
      <c r="K406" s="8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</row>
    <row r="407" ht="22.5" customHeight="1">
      <c r="A407" s="7"/>
      <c r="B407" s="23"/>
      <c r="C407" s="8"/>
      <c r="D407" s="8"/>
      <c r="E407" s="16"/>
      <c r="F407" s="10"/>
      <c r="G407" s="19"/>
      <c r="H407" s="18"/>
      <c r="I407" s="13"/>
      <c r="J407" s="14"/>
      <c r="K407" s="8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</row>
    <row r="408" ht="22.5" customHeight="1">
      <c r="A408" s="7"/>
      <c r="B408" s="23"/>
      <c r="C408" s="8"/>
      <c r="D408" s="8"/>
      <c r="E408" s="16"/>
      <c r="F408" s="10"/>
      <c r="G408" s="19"/>
      <c r="H408" s="18"/>
      <c r="I408" s="13"/>
      <c r="J408" s="14"/>
      <c r="K408" s="8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</row>
    <row r="409" ht="22.5" customHeight="1">
      <c r="A409" s="7"/>
      <c r="B409" s="8"/>
      <c r="C409" s="8"/>
      <c r="D409" s="8"/>
      <c r="E409" s="16"/>
      <c r="F409" s="10"/>
      <c r="G409" s="19"/>
      <c r="H409" s="18"/>
      <c r="I409" s="7"/>
      <c r="J409" s="14"/>
      <c r="K409" s="8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</row>
    <row r="410" ht="22.5" customHeight="1">
      <c r="A410" s="7"/>
      <c r="B410" s="8"/>
      <c r="C410" s="8"/>
      <c r="D410" s="8"/>
      <c r="E410" s="16"/>
      <c r="F410" s="8"/>
      <c r="G410" s="19"/>
      <c r="H410" s="18"/>
      <c r="I410" s="13"/>
      <c r="J410" s="14"/>
      <c r="K410" s="8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</row>
    <row r="411" ht="22.5" customHeight="1">
      <c r="A411" s="7"/>
      <c r="B411" s="8"/>
      <c r="C411" s="8"/>
      <c r="D411" s="8"/>
      <c r="E411" s="16"/>
      <c r="F411" s="8"/>
      <c r="G411" s="19"/>
      <c r="H411" s="18"/>
      <c r="I411" s="13"/>
      <c r="J411" s="14"/>
      <c r="K411" s="8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</row>
    <row r="412" ht="22.5" customHeight="1">
      <c r="A412" s="7"/>
      <c r="B412" s="8"/>
      <c r="C412" s="8"/>
      <c r="D412" s="8"/>
      <c r="E412" s="16"/>
      <c r="F412" s="8"/>
      <c r="G412" s="19"/>
      <c r="H412" s="18"/>
      <c r="I412" s="13"/>
      <c r="J412" s="14"/>
      <c r="K412" s="8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</row>
    <row r="413" ht="22.5" customHeight="1">
      <c r="A413" s="7"/>
      <c r="B413" s="8"/>
      <c r="C413" s="8"/>
      <c r="D413" s="8"/>
      <c r="E413" s="16"/>
      <c r="F413" s="8"/>
      <c r="G413" s="19"/>
      <c r="H413" s="18"/>
      <c r="I413" s="13"/>
      <c r="J413" s="14"/>
      <c r="K413" s="8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</row>
    <row r="414" ht="22.5" customHeight="1">
      <c r="A414" s="7"/>
      <c r="B414" s="8"/>
      <c r="C414" s="8"/>
      <c r="D414" s="8"/>
      <c r="E414" s="16"/>
      <c r="F414" s="10"/>
      <c r="G414" s="19"/>
      <c r="H414" s="18"/>
      <c r="I414" s="13"/>
      <c r="J414" s="14"/>
      <c r="K414" s="8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</row>
    <row r="415" ht="22.5" customHeight="1">
      <c r="A415" s="7"/>
      <c r="B415" s="8"/>
      <c r="C415" s="8"/>
      <c r="D415" s="8"/>
      <c r="E415" s="16"/>
      <c r="F415" s="10"/>
      <c r="G415" s="19"/>
      <c r="H415" s="18"/>
      <c r="I415" s="13"/>
      <c r="J415" s="14"/>
      <c r="K415" s="8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</row>
    <row r="416" ht="22.5" customHeight="1">
      <c r="A416" s="7"/>
      <c r="B416" s="8"/>
      <c r="C416" s="8"/>
      <c r="D416" s="8"/>
      <c r="E416" s="16"/>
      <c r="F416" s="10"/>
      <c r="G416" s="19"/>
      <c r="H416" s="18"/>
      <c r="I416" s="13"/>
      <c r="J416" s="14"/>
      <c r="K416" s="8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</row>
    <row r="417" ht="22.5" customHeight="1">
      <c r="A417" s="7"/>
      <c r="B417" s="8"/>
      <c r="C417" s="8"/>
      <c r="D417" s="8"/>
      <c r="E417" s="16"/>
      <c r="F417" s="10"/>
      <c r="G417" s="19"/>
      <c r="H417" s="18"/>
      <c r="I417" s="13"/>
      <c r="J417" s="14"/>
      <c r="K417" s="8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</row>
    <row r="418" ht="22.5" customHeight="1">
      <c r="A418" s="7"/>
      <c r="B418" s="8"/>
      <c r="C418" s="8"/>
      <c r="D418" s="8"/>
      <c r="E418" s="16"/>
      <c r="F418" s="10"/>
      <c r="G418" s="19"/>
      <c r="H418" s="18"/>
      <c r="I418" s="13"/>
      <c r="J418" s="14"/>
      <c r="K418" s="8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</row>
    <row r="419" ht="22.5" customHeight="1">
      <c r="A419" s="7"/>
      <c r="B419" s="8"/>
      <c r="C419" s="8"/>
      <c r="D419" s="8"/>
      <c r="E419" s="16"/>
      <c r="F419" s="10"/>
      <c r="G419" s="19"/>
      <c r="H419" s="18"/>
      <c r="I419" s="13"/>
      <c r="J419" s="14"/>
      <c r="K419" s="8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</row>
    <row r="420" ht="22.5" customHeight="1">
      <c r="A420" s="7"/>
      <c r="B420" s="8"/>
      <c r="C420" s="8"/>
      <c r="D420" s="8"/>
      <c r="E420" s="16"/>
      <c r="F420" s="10"/>
      <c r="G420" s="19"/>
      <c r="H420" s="18"/>
      <c r="I420" s="13"/>
      <c r="J420" s="14"/>
      <c r="K420" s="8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</row>
    <row r="421" ht="22.5" customHeight="1">
      <c r="A421" s="7"/>
      <c r="B421" s="8"/>
      <c r="C421" s="8"/>
      <c r="D421" s="8"/>
      <c r="E421" s="16"/>
      <c r="F421" s="10"/>
      <c r="G421" s="19"/>
      <c r="H421" s="18"/>
      <c r="I421" s="13"/>
      <c r="J421" s="14"/>
      <c r="K421" s="8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</row>
    <row r="422" ht="22.5" customHeight="1">
      <c r="A422" s="7"/>
      <c r="B422" s="8"/>
      <c r="C422" s="8"/>
      <c r="D422" s="8"/>
      <c r="E422" s="16"/>
      <c r="F422" s="10"/>
      <c r="G422" s="19"/>
      <c r="H422" s="18"/>
      <c r="I422" s="13"/>
      <c r="J422" s="14"/>
      <c r="K422" s="8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</row>
    <row r="423" ht="22.5" customHeight="1">
      <c r="A423" s="7"/>
      <c r="B423" s="8"/>
      <c r="C423" s="8"/>
      <c r="D423" s="8"/>
      <c r="E423" s="16"/>
      <c r="F423" s="10"/>
      <c r="G423" s="19"/>
      <c r="H423" s="18"/>
      <c r="I423" s="13"/>
      <c r="J423" s="14"/>
      <c r="K423" s="8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</row>
    <row r="424" ht="22.5" customHeight="1">
      <c r="A424" s="7"/>
      <c r="B424" s="8"/>
      <c r="C424" s="8"/>
      <c r="D424" s="8"/>
      <c r="E424" s="16"/>
      <c r="F424" s="10"/>
      <c r="G424" s="19"/>
      <c r="H424" s="18"/>
      <c r="I424" s="13"/>
      <c r="J424" s="14"/>
      <c r="K424" s="8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</row>
    <row r="425" ht="22.5" customHeight="1">
      <c r="A425" s="7"/>
      <c r="B425" s="8"/>
      <c r="C425" s="8"/>
      <c r="D425" s="8"/>
      <c r="E425" s="16"/>
      <c r="F425" s="8"/>
      <c r="G425" s="19"/>
      <c r="H425" s="18"/>
      <c r="I425" s="13"/>
      <c r="J425" s="14"/>
      <c r="K425" s="8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</row>
    <row r="426" ht="22.5" customHeight="1">
      <c r="A426" s="7"/>
      <c r="B426" s="8"/>
      <c r="C426" s="8"/>
      <c r="D426" s="8"/>
      <c r="E426" s="16"/>
      <c r="F426" s="10"/>
      <c r="G426" s="19"/>
      <c r="H426" s="18"/>
      <c r="I426" s="13"/>
      <c r="J426" s="14"/>
      <c r="K426" s="8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</row>
    <row r="427" ht="22.5" customHeight="1">
      <c r="A427" s="7"/>
      <c r="B427" s="8"/>
      <c r="C427" s="8"/>
      <c r="D427" s="8"/>
      <c r="E427" s="16"/>
      <c r="F427" s="10"/>
      <c r="G427" s="19"/>
      <c r="H427" s="18"/>
      <c r="I427" s="13"/>
      <c r="J427" s="14"/>
      <c r="K427" s="8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</row>
    <row r="428" ht="22.5" customHeight="1">
      <c r="A428" s="7"/>
      <c r="B428" s="8"/>
      <c r="C428" s="8"/>
      <c r="D428" s="8"/>
      <c r="E428" s="16"/>
      <c r="F428" s="10"/>
      <c r="G428" s="19"/>
      <c r="H428" s="18"/>
      <c r="I428" s="13"/>
      <c r="J428" s="14"/>
      <c r="K428" s="8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</row>
    <row r="429" ht="22.5" customHeight="1">
      <c r="A429" s="7"/>
      <c r="B429" s="8"/>
      <c r="C429" s="8"/>
      <c r="D429" s="8"/>
      <c r="E429" s="16"/>
      <c r="F429" s="8"/>
      <c r="G429" s="19"/>
      <c r="H429" s="18"/>
      <c r="I429" s="13"/>
      <c r="J429" s="14"/>
      <c r="K429" s="8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</row>
    <row r="430" ht="22.5" customHeight="1">
      <c r="A430" s="7"/>
      <c r="B430" s="8"/>
      <c r="C430" s="8"/>
      <c r="D430" s="8"/>
      <c r="E430" s="16"/>
      <c r="F430" s="10"/>
      <c r="G430" s="19"/>
      <c r="H430" s="18"/>
      <c r="I430" s="13"/>
      <c r="J430" s="14"/>
      <c r="K430" s="8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</row>
    <row r="431" ht="22.5" customHeight="1">
      <c r="A431" s="7"/>
      <c r="B431" s="8"/>
      <c r="C431" s="8"/>
      <c r="D431" s="8"/>
      <c r="E431" s="16"/>
      <c r="F431" s="8"/>
      <c r="G431" s="19"/>
      <c r="H431" s="18"/>
      <c r="I431" s="13"/>
      <c r="J431" s="14"/>
      <c r="K431" s="8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</row>
    <row r="432" ht="22.5" customHeight="1">
      <c r="A432" s="7"/>
      <c r="B432" s="8"/>
      <c r="C432" s="8"/>
      <c r="D432" s="8"/>
      <c r="E432" s="16"/>
      <c r="F432" s="8"/>
      <c r="G432" s="19"/>
      <c r="H432" s="18"/>
      <c r="I432" s="13"/>
      <c r="J432" s="14"/>
      <c r="K432" s="8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</row>
    <row r="433" ht="22.5" customHeight="1">
      <c r="A433" s="7"/>
      <c r="B433" s="8"/>
      <c r="C433" s="8"/>
      <c r="D433" s="8"/>
      <c r="E433" s="16"/>
      <c r="F433" s="10"/>
      <c r="G433" s="19"/>
      <c r="H433" s="18"/>
      <c r="I433" s="13"/>
      <c r="J433" s="14"/>
      <c r="K433" s="8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</row>
    <row r="434" ht="22.5" customHeight="1">
      <c r="A434" s="7"/>
      <c r="B434" s="8"/>
      <c r="C434" s="8"/>
      <c r="D434" s="8"/>
      <c r="E434" s="16"/>
      <c r="F434" s="10"/>
      <c r="G434" s="19"/>
      <c r="H434" s="18"/>
      <c r="I434" s="13"/>
      <c r="J434" s="14"/>
      <c r="K434" s="8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</row>
    <row r="435" ht="22.5" customHeight="1">
      <c r="A435" s="7"/>
      <c r="B435" s="8"/>
      <c r="C435" s="8"/>
      <c r="D435" s="8"/>
      <c r="E435" s="16"/>
      <c r="F435" s="8"/>
      <c r="G435" s="19"/>
      <c r="H435" s="18"/>
      <c r="I435" s="13"/>
      <c r="J435" s="14"/>
      <c r="K435" s="8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</row>
    <row r="436" ht="22.5" customHeight="1">
      <c r="A436" s="7"/>
      <c r="B436" s="23"/>
      <c r="C436" s="8"/>
      <c r="D436" s="8"/>
      <c r="E436" s="16"/>
      <c r="F436" s="10"/>
      <c r="G436" s="19"/>
      <c r="H436" s="18"/>
      <c r="I436" s="13"/>
      <c r="J436" s="14"/>
      <c r="K436" s="8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</row>
    <row r="437" ht="22.5" customHeight="1">
      <c r="A437" s="7"/>
      <c r="B437" s="8"/>
      <c r="C437" s="8"/>
      <c r="D437" s="8"/>
      <c r="E437" s="16"/>
      <c r="F437" s="10"/>
      <c r="G437" s="19"/>
      <c r="H437" s="18"/>
      <c r="I437" s="13"/>
      <c r="J437" s="14"/>
      <c r="K437" s="8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</row>
    <row r="438" ht="22.5" customHeight="1">
      <c r="A438" s="7"/>
      <c r="B438" s="8"/>
      <c r="C438" s="8"/>
      <c r="D438" s="8"/>
      <c r="E438" s="16"/>
      <c r="F438" s="8"/>
      <c r="G438" s="19"/>
      <c r="H438" s="18"/>
      <c r="I438" s="13"/>
      <c r="J438" s="14"/>
      <c r="K438" s="8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</row>
    <row r="439" ht="22.5" customHeight="1">
      <c r="A439" s="7"/>
      <c r="B439" s="8"/>
      <c r="C439" s="8"/>
      <c r="D439" s="8"/>
      <c r="E439" s="16"/>
      <c r="F439" s="8"/>
      <c r="G439" s="19"/>
      <c r="H439" s="18"/>
      <c r="I439" s="13"/>
      <c r="J439" s="14"/>
      <c r="K439" s="8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</row>
    <row r="440" ht="22.5" customHeight="1">
      <c r="A440" s="7"/>
      <c r="B440" s="23"/>
      <c r="C440" s="8"/>
      <c r="D440" s="8"/>
      <c r="E440" s="16"/>
      <c r="F440" s="10"/>
      <c r="G440" s="19"/>
      <c r="H440" s="18"/>
      <c r="I440" s="13"/>
      <c r="J440" s="14"/>
      <c r="K440" s="8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</row>
    <row r="441" ht="22.5" customHeight="1">
      <c r="A441" s="7"/>
      <c r="B441" s="8"/>
      <c r="C441" s="8"/>
      <c r="D441" s="8"/>
      <c r="E441" s="16"/>
      <c r="F441" s="10"/>
      <c r="G441" s="19"/>
      <c r="H441" s="18"/>
      <c r="I441" s="13"/>
      <c r="J441" s="14"/>
      <c r="K441" s="8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</row>
    <row r="442" ht="22.5" customHeight="1">
      <c r="A442" s="7"/>
      <c r="B442" s="8"/>
      <c r="C442" s="8"/>
      <c r="D442" s="8"/>
      <c r="E442" s="16"/>
      <c r="F442" s="8"/>
      <c r="G442" s="19"/>
      <c r="H442" s="18"/>
      <c r="I442" s="13"/>
      <c r="J442" s="14"/>
      <c r="K442" s="8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</row>
    <row r="443" ht="22.5" customHeight="1">
      <c r="A443" s="7"/>
      <c r="B443" s="8"/>
      <c r="C443" s="8"/>
      <c r="D443" s="8"/>
      <c r="E443" s="16"/>
      <c r="F443" s="8"/>
      <c r="G443" s="19"/>
      <c r="H443" s="18"/>
      <c r="I443" s="13"/>
      <c r="J443" s="14"/>
      <c r="K443" s="8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</row>
    <row r="444" ht="22.5" customHeight="1">
      <c r="A444" s="7"/>
      <c r="B444" s="8"/>
      <c r="C444" s="8"/>
      <c r="D444" s="8"/>
      <c r="E444" s="16"/>
      <c r="F444" s="8"/>
      <c r="G444" s="19"/>
      <c r="H444" s="18"/>
      <c r="I444" s="13"/>
      <c r="J444" s="14"/>
      <c r="K444" s="8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</row>
    <row r="445" ht="22.5" customHeight="1">
      <c r="A445" s="7"/>
      <c r="B445" s="8"/>
      <c r="C445" s="8"/>
      <c r="D445" s="8"/>
      <c r="E445" s="16"/>
      <c r="F445" s="8"/>
      <c r="G445" s="19"/>
      <c r="H445" s="18"/>
      <c r="I445" s="13"/>
      <c r="J445" s="14"/>
      <c r="K445" s="8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</row>
    <row r="446" ht="22.5" customHeight="1">
      <c r="A446" s="7"/>
      <c r="B446" s="8"/>
      <c r="C446" s="8"/>
      <c r="D446" s="8"/>
      <c r="E446" s="16"/>
      <c r="F446" s="10"/>
      <c r="G446" s="19"/>
      <c r="H446" s="18"/>
      <c r="I446" s="13"/>
      <c r="J446" s="14"/>
      <c r="K446" s="8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</row>
    <row r="447" ht="22.5" customHeight="1">
      <c r="A447" s="7"/>
      <c r="B447" s="8"/>
      <c r="C447" s="8"/>
      <c r="D447" s="8"/>
      <c r="E447" s="16"/>
      <c r="F447" s="10"/>
      <c r="G447" s="19"/>
      <c r="H447" s="18"/>
      <c r="I447" s="13"/>
      <c r="J447" s="14"/>
      <c r="K447" s="8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</row>
    <row r="448" ht="22.5" customHeight="1">
      <c r="A448" s="7"/>
      <c r="B448" s="8"/>
      <c r="C448" s="8"/>
      <c r="D448" s="8"/>
      <c r="E448" s="16"/>
      <c r="F448" s="10"/>
      <c r="G448" s="19"/>
      <c r="H448" s="18"/>
      <c r="I448" s="7"/>
      <c r="J448" s="14"/>
      <c r="K448" s="8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</row>
    <row r="449" ht="22.5" customHeight="1">
      <c r="A449" s="7"/>
      <c r="B449" s="8"/>
      <c r="C449" s="8"/>
      <c r="D449" s="8"/>
      <c r="E449" s="16"/>
      <c r="F449" s="10"/>
      <c r="G449" s="19"/>
      <c r="H449" s="18"/>
      <c r="I449" s="13"/>
      <c r="J449" s="14"/>
      <c r="K449" s="8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</row>
    <row r="450" ht="22.5" customHeight="1">
      <c r="A450" s="7"/>
      <c r="B450" s="8"/>
      <c r="C450" s="8"/>
      <c r="D450" s="8"/>
      <c r="E450" s="16"/>
      <c r="F450" s="8"/>
      <c r="G450" s="19"/>
      <c r="H450" s="18"/>
      <c r="I450" s="13"/>
      <c r="J450" s="14"/>
      <c r="K450" s="8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</row>
    <row r="451" ht="22.5" customHeight="1">
      <c r="A451" s="7"/>
      <c r="B451" s="8"/>
      <c r="C451" s="8"/>
      <c r="D451" s="8"/>
      <c r="E451" s="16"/>
      <c r="F451" s="10"/>
      <c r="G451" s="19"/>
      <c r="H451" s="18"/>
      <c r="I451" s="13"/>
      <c r="J451" s="14"/>
      <c r="K451" s="8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</row>
    <row r="452" ht="22.5" customHeight="1">
      <c r="A452" s="7"/>
      <c r="B452" s="8"/>
      <c r="C452" s="8"/>
      <c r="D452" s="8"/>
      <c r="E452" s="16"/>
      <c r="F452" s="10"/>
      <c r="G452" s="19"/>
      <c r="H452" s="18"/>
      <c r="I452" s="13"/>
      <c r="J452" s="14"/>
      <c r="K452" s="8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</row>
    <row r="453" ht="22.5" customHeight="1">
      <c r="A453" s="7"/>
      <c r="B453" s="8"/>
      <c r="C453" s="8"/>
      <c r="D453" s="8"/>
      <c r="E453" s="16"/>
      <c r="F453" s="10"/>
      <c r="G453" s="19"/>
      <c r="H453" s="18"/>
      <c r="I453" s="13"/>
      <c r="J453" s="14"/>
      <c r="K453" s="8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</row>
    <row r="454" ht="22.5" customHeight="1">
      <c r="A454" s="7"/>
      <c r="B454" s="23"/>
      <c r="C454" s="8"/>
      <c r="D454" s="8"/>
      <c r="E454" s="16"/>
      <c r="F454" s="8"/>
      <c r="G454" s="19"/>
      <c r="H454" s="18"/>
      <c r="I454" s="13"/>
      <c r="J454" s="14"/>
      <c r="K454" s="8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</row>
    <row r="455" ht="22.5" customHeight="1">
      <c r="A455" s="7"/>
      <c r="B455" s="8"/>
      <c r="C455" s="8"/>
      <c r="D455" s="8"/>
      <c r="E455" s="16"/>
      <c r="F455" s="10"/>
      <c r="G455" s="19"/>
      <c r="H455" s="18"/>
      <c r="I455" s="13"/>
      <c r="J455" s="14"/>
      <c r="K455" s="8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</row>
    <row r="456" ht="22.5" customHeight="1">
      <c r="A456" s="7"/>
      <c r="B456" s="8"/>
      <c r="C456" s="8"/>
      <c r="D456" s="8"/>
      <c r="E456" s="16"/>
      <c r="F456" s="8"/>
      <c r="G456" s="19"/>
      <c r="H456" s="18"/>
      <c r="I456" s="13"/>
      <c r="J456" s="14"/>
      <c r="K456" s="8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</row>
    <row r="457" ht="22.5" customHeight="1">
      <c r="A457" s="7"/>
      <c r="B457" s="8"/>
      <c r="C457" s="8"/>
      <c r="D457" s="8"/>
      <c r="E457" s="16"/>
      <c r="F457" s="8"/>
      <c r="G457" s="19"/>
      <c r="H457" s="18"/>
      <c r="I457" s="13"/>
      <c r="J457" s="14"/>
      <c r="K457" s="8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</row>
    <row r="458" ht="22.5" customHeight="1">
      <c r="A458" s="7"/>
      <c r="B458" s="8"/>
      <c r="C458" s="8"/>
      <c r="D458" s="8"/>
      <c r="E458" s="16"/>
      <c r="F458" s="8"/>
      <c r="G458" s="19"/>
      <c r="H458" s="18"/>
      <c r="I458" s="13"/>
      <c r="J458" s="14"/>
      <c r="K458" s="8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</row>
    <row r="459" ht="22.5" customHeight="1">
      <c r="A459" s="7"/>
      <c r="B459" s="8"/>
      <c r="C459" s="8"/>
      <c r="D459" s="8"/>
      <c r="E459" s="16"/>
      <c r="F459" s="10"/>
      <c r="G459" s="19"/>
      <c r="H459" s="18"/>
      <c r="I459" s="13"/>
      <c r="J459" s="14"/>
      <c r="K459" s="8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</row>
    <row r="460" ht="22.5" customHeight="1">
      <c r="A460" s="7"/>
      <c r="B460" s="8"/>
      <c r="C460" s="8"/>
      <c r="D460" s="8"/>
      <c r="E460" s="16"/>
      <c r="F460" s="10"/>
      <c r="G460" s="19"/>
      <c r="H460" s="18"/>
      <c r="I460" s="13"/>
      <c r="J460" s="14"/>
      <c r="K460" s="8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</row>
    <row r="461" ht="22.5" customHeight="1">
      <c r="A461" s="7"/>
      <c r="B461" s="8"/>
      <c r="C461" s="8"/>
      <c r="D461" s="8"/>
      <c r="E461" s="16"/>
      <c r="F461" s="10"/>
      <c r="G461" s="19"/>
      <c r="H461" s="18"/>
      <c r="I461" s="13"/>
      <c r="J461" s="14"/>
      <c r="K461" s="8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</row>
    <row r="462" ht="22.5" customHeight="1">
      <c r="A462" s="7"/>
      <c r="B462" s="8"/>
      <c r="C462" s="8"/>
      <c r="D462" s="8"/>
      <c r="E462" s="16"/>
      <c r="F462" s="10"/>
      <c r="G462" s="19"/>
      <c r="H462" s="18"/>
      <c r="I462" s="13"/>
      <c r="J462" s="14"/>
      <c r="K462" s="8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</row>
    <row r="463" ht="22.5" customHeight="1">
      <c r="A463" s="7"/>
      <c r="B463" s="8"/>
      <c r="C463" s="8"/>
      <c r="D463" s="8"/>
      <c r="E463" s="16"/>
      <c r="F463" s="10"/>
      <c r="G463" s="19"/>
      <c r="H463" s="18"/>
      <c r="I463" s="13"/>
      <c r="J463" s="14"/>
      <c r="K463" s="8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</row>
    <row r="464" ht="22.5" customHeight="1">
      <c r="A464" s="7"/>
      <c r="B464" s="8"/>
      <c r="C464" s="8"/>
      <c r="D464" s="8"/>
      <c r="E464" s="16"/>
      <c r="F464" s="10"/>
      <c r="G464" s="19"/>
      <c r="H464" s="18"/>
      <c r="I464" s="13"/>
      <c r="J464" s="14"/>
      <c r="K464" s="8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</row>
    <row r="465" ht="22.5" customHeight="1">
      <c r="A465" s="7"/>
      <c r="B465" s="8"/>
      <c r="C465" s="8"/>
      <c r="D465" s="8"/>
      <c r="E465" s="16"/>
      <c r="F465" s="8"/>
      <c r="G465" s="19"/>
      <c r="H465" s="18"/>
      <c r="I465" s="13"/>
      <c r="J465" s="14"/>
      <c r="K465" s="8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</row>
    <row r="466" ht="22.5" customHeight="1">
      <c r="A466" s="7"/>
      <c r="B466" s="8"/>
      <c r="C466" s="8"/>
      <c r="D466" s="8"/>
      <c r="E466" s="16"/>
      <c r="F466" s="10"/>
      <c r="G466" s="19"/>
      <c r="H466" s="18"/>
      <c r="I466" s="13"/>
      <c r="J466" s="14"/>
      <c r="K466" s="8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</row>
    <row r="467" ht="22.5" customHeight="1">
      <c r="A467" s="7"/>
      <c r="B467" s="8"/>
      <c r="C467" s="8"/>
      <c r="D467" s="8"/>
      <c r="E467" s="16"/>
      <c r="F467" s="10"/>
      <c r="G467" s="19"/>
      <c r="H467" s="18"/>
      <c r="I467" s="13"/>
      <c r="J467" s="14"/>
      <c r="K467" s="8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</row>
    <row r="468" ht="22.5" customHeight="1">
      <c r="A468" s="7"/>
      <c r="B468" s="8"/>
      <c r="C468" s="8"/>
      <c r="D468" s="8"/>
      <c r="E468" s="16"/>
      <c r="F468" s="10"/>
      <c r="G468" s="19"/>
      <c r="H468" s="18"/>
      <c r="I468" s="13"/>
      <c r="J468" s="14"/>
      <c r="K468" s="8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</row>
    <row r="469" ht="22.5" customHeight="1">
      <c r="A469" s="7"/>
      <c r="B469" s="8"/>
      <c r="C469" s="8"/>
      <c r="D469" s="8"/>
      <c r="E469" s="16"/>
      <c r="F469" s="8"/>
      <c r="G469" s="19"/>
      <c r="H469" s="18"/>
      <c r="I469" s="13"/>
      <c r="J469" s="14"/>
      <c r="K469" s="8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</row>
    <row r="470" ht="22.5" customHeight="1">
      <c r="A470" s="7"/>
      <c r="B470" s="8"/>
      <c r="C470" s="8"/>
      <c r="D470" s="8"/>
      <c r="E470" s="16"/>
      <c r="F470" s="10"/>
      <c r="G470" s="19"/>
      <c r="H470" s="18"/>
      <c r="I470" s="13"/>
      <c r="J470" s="14"/>
      <c r="K470" s="8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</row>
    <row r="471" ht="22.5" customHeight="1">
      <c r="A471" s="7"/>
      <c r="B471" s="8"/>
      <c r="C471" s="8"/>
      <c r="D471" s="8"/>
      <c r="E471" s="16"/>
      <c r="F471" s="10"/>
      <c r="G471" s="19"/>
      <c r="H471" s="18"/>
      <c r="I471" s="13"/>
      <c r="J471" s="14"/>
      <c r="K471" s="8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</row>
    <row r="472" ht="22.5" customHeight="1">
      <c r="A472" s="7"/>
      <c r="B472" s="8"/>
      <c r="C472" s="8"/>
      <c r="D472" s="8"/>
      <c r="E472" s="16"/>
      <c r="F472" s="8"/>
      <c r="G472" s="19"/>
      <c r="H472" s="18"/>
      <c r="I472" s="13"/>
      <c r="J472" s="14"/>
      <c r="K472" s="8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</row>
    <row r="473" ht="22.5" customHeight="1">
      <c r="A473" s="7"/>
      <c r="B473" s="8"/>
      <c r="C473" s="8"/>
      <c r="D473" s="8"/>
      <c r="E473" s="16"/>
      <c r="F473" s="8"/>
      <c r="G473" s="19"/>
      <c r="H473" s="18"/>
      <c r="I473" s="13"/>
      <c r="J473" s="14"/>
      <c r="K473" s="8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</row>
    <row r="474" ht="22.5" customHeight="1">
      <c r="A474" s="7"/>
      <c r="B474" s="8"/>
      <c r="C474" s="8"/>
      <c r="D474" s="8"/>
      <c r="E474" s="16"/>
      <c r="F474" s="10"/>
      <c r="G474" s="19"/>
      <c r="H474" s="18"/>
      <c r="I474" s="13"/>
      <c r="J474" s="14"/>
      <c r="K474" s="8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</row>
    <row r="475" ht="22.5" customHeight="1">
      <c r="A475" s="7"/>
      <c r="B475" s="8"/>
      <c r="C475" s="8"/>
      <c r="D475" s="8"/>
      <c r="E475" s="16"/>
      <c r="F475" s="10"/>
      <c r="G475" s="19"/>
      <c r="H475" s="18"/>
      <c r="I475" s="13"/>
      <c r="J475" s="14"/>
      <c r="K475" s="8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</row>
    <row r="476" ht="22.5" customHeight="1">
      <c r="A476" s="7"/>
      <c r="B476" s="8"/>
      <c r="C476" s="8"/>
      <c r="D476" s="8"/>
      <c r="E476" s="16"/>
      <c r="F476" s="10"/>
      <c r="G476" s="19"/>
      <c r="H476" s="18"/>
      <c r="I476" s="13"/>
      <c r="J476" s="14"/>
      <c r="K476" s="8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</row>
    <row r="477" ht="22.5" customHeight="1">
      <c r="A477" s="7"/>
      <c r="B477" s="8"/>
      <c r="C477" s="8"/>
      <c r="D477" s="8"/>
      <c r="E477" s="16"/>
      <c r="F477" s="10"/>
      <c r="G477" s="19"/>
      <c r="H477" s="18"/>
      <c r="I477" s="13"/>
      <c r="J477" s="14"/>
      <c r="K477" s="8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</row>
    <row r="478" ht="22.5" customHeight="1">
      <c r="A478" s="7"/>
      <c r="B478" s="8"/>
      <c r="C478" s="8"/>
      <c r="D478" s="8"/>
      <c r="E478" s="16"/>
      <c r="F478" s="10"/>
      <c r="G478" s="19"/>
      <c r="H478" s="18"/>
      <c r="I478" s="13"/>
      <c r="J478" s="14"/>
      <c r="K478" s="8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</row>
    <row r="479" ht="22.5" customHeight="1">
      <c r="A479" s="7"/>
      <c r="B479" s="8"/>
      <c r="C479" s="8"/>
      <c r="D479" s="8"/>
      <c r="E479" s="16"/>
      <c r="F479" s="8"/>
      <c r="G479" s="19"/>
      <c r="H479" s="18"/>
      <c r="I479" s="13"/>
      <c r="J479" s="14"/>
      <c r="K479" s="8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</row>
    <row r="480" ht="22.5" customHeight="1">
      <c r="A480" s="7"/>
      <c r="B480" s="8"/>
      <c r="C480" s="8"/>
      <c r="D480" s="8"/>
      <c r="E480" s="16"/>
      <c r="F480" s="8"/>
      <c r="G480" s="19"/>
      <c r="H480" s="18"/>
      <c r="I480" s="13"/>
      <c r="J480" s="14"/>
      <c r="K480" s="8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</row>
    <row r="481" ht="22.5" customHeight="1">
      <c r="A481" s="7"/>
      <c r="B481" s="8"/>
      <c r="C481" s="8"/>
      <c r="D481" s="8"/>
      <c r="E481" s="16"/>
      <c r="F481" s="8"/>
      <c r="G481" s="19"/>
      <c r="H481" s="18"/>
      <c r="I481" s="13"/>
      <c r="J481" s="14"/>
      <c r="K481" s="8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</row>
    <row r="482" ht="22.5" customHeight="1">
      <c r="A482" s="7"/>
      <c r="B482" s="8"/>
      <c r="C482" s="8"/>
      <c r="D482" s="8"/>
      <c r="E482" s="16"/>
      <c r="F482" s="8"/>
      <c r="G482" s="19"/>
      <c r="H482" s="18"/>
      <c r="I482" s="13"/>
      <c r="J482" s="14"/>
      <c r="K482" s="8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</row>
    <row r="483" ht="22.5" customHeight="1">
      <c r="A483" s="7"/>
      <c r="B483" s="8"/>
      <c r="C483" s="8"/>
      <c r="D483" s="8"/>
      <c r="E483" s="16"/>
      <c r="F483" s="10"/>
      <c r="G483" s="19"/>
      <c r="H483" s="18"/>
      <c r="I483" s="13"/>
      <c r="J483" s="14"/>
      <c r="K483" s="8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</row>
    <row r="484" ht="22.5" customHeight="1">
      <c r="A484" s="7"/>
      <c r="B484" s="8"/>
      <c r="C484" s="8"/>
      <c r="D484" s="8"/>
      <c r="E484" s="16"/>
      <c r="F484" s="8"/>
      <c r="G484" s="19"/>
      <c r="H484" s="18"/>
      <c r="I484" s="13"/>
      <c r="J484" s="14"/>
      <c r="K484" s="8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</row>
    <row r="485" ht="22.5" customHeight="1">
      <c r="A485" s="7"/>
      <c r="B485" s="8"/>
      <c r="C485" s="8"/>
      <c r="D485" s="8"/>
      <c r="E485" s="16"/>
      <c r="F485" s="10"/>
      <c r="G485" s="19"/>
      <c r="H485" s="18"/>
      <c r="I485" s="13"/>
      <c r="J485" s="14"/>
      <c r="K485" s="8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</row>
    <row r="486" ht="22.5" customHeight="1">
      <c r="A486" s="7"/>
      <c r="B486" s="8"/>
      <c r="C486" s="8"/>
      <c r="D486" s="8"/>
      <c r="E486" s="16"/>
      <c r="F486" s="10"/>
      <c r="G486" s="19"/>
      <c r="H486" s="18"/>
      <c r="I486" s="13"/>
      <c r="J486" s="14"/>
      <c r="K486" s="8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</row>
    <row r="487" ht="22.5" customHeight="1">
      <c r="A487" s="7"/>
      <c r="B487" s="8"/>
      <c r="C487" s="8"/>
      <c r="D487" s="8"/>
      <c r="E487" s="16"/>
      <c r="F487" s="10"/>
      <c r="G487" s="19"/>
      <c r="H487" s="18"/>
      <c r="I487" s="13"/>
      <c r="J487" s="14"/>
      <c r="K487" s="8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</row>
    <row r="488" ht="22.5" customHeight="1">
      <c r="A488" s="7"/>
      <c r="B488" s="8"/>
      <c r="C488" s="8"/>
      <c r="D488" s="8"/>
      <c r="E488" s="16"/>
      <c r="F488" s="8"/>
      <c r="G488" s="19"/>
      <c r="H488" s="18"/>
      <c r="I488" s="13"/>
      <c r="J488" s="14"/>
      <c r="K488" s="8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</row>
    <row r="489" ht="22.5" customHeight="1">
      <c r="A489" s="7"/>
      <c r="B489" s="8"/>
      <c r="C489" s="8"/>
      <c r="D489" s="8"/>
      <c r="E489" s="16"/>
      <c r="F489" s="10"/>
      <c r="G489" s="19"/>
      <c r="H489" s="18"/>
      <c r="I489" s="13"/>
      <c r="J489" s="14"/>
      <c r="K489" s="8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</row>
    <row r="490" ht="22.5" customHeight="1">
      <c r="A490" s="7"/>
      <c r="B490" s="8"/>
      <c r="C490" s="8"/>
      <c r="D490" s="8"/>
      <c r="E490" s="16"/>
      <c r="F490" s="10"/>
      <c r="G490" s="19"/>
      <c r="H490" s="18"/>
      <c r="I490" s="13"/>
      <c r="J490" s="14"/>
      <c r="K490" s="8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</row>
    <row r="491" ht="22.5" customHeight="1">
      <c r="A491" s="7"/>
      <c r="B491" s="8"/>
      <c r="C491" s="8"/>
      <c r="D491" s="8"/>
      <c r="E491" s="16"/>
      <c r="F491" s="8"/>
      <c r="G491" s="19"/>
      <c r="H491" s="18"/>
      <c r="I491" s="13"/>
      <c r="J491" s="14"/>
      <c r="K491" s="8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</row>
    <row r="492" ht="22.5" customHeight="1">
      <c r="A492" s="7"/>
      <c r="B492" s="8"/>
      <c r="C492" s="8"/>
      <c r="D492" s="8"/>
      <c r="E492" s="16"/>
      <c r="F492" s="8"/>
      <c r="G492" s="19"/>
      <c r="H492" s="18"/>
      <c r="I492" s="13"/>
      <c r="J492" s="14"/>
      <c r="K492" s="8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</row>
    <row r="493" ht="22.5" customHeight="1">
      <c r="A493" s="7"/>
      <c r="B493" s="8"/>
      <c r="C493" s="8"/>
      <c r="D493" s="8"/>
      <c r="E493" s="16"/>
      <c r="F493" s="8"/>
      <c r="G493" s="19"/>
      <c r="H493" s="18"/>
      <c r="I493" s="13"/>
      <c r="J493" s="14"/>
      <c r="K493" s="8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</row>
    <row r="494" ht="22.5" customHeight="1">
      <c r="A494" s="7"/>
      <c r="B494" s="8"/>
      <c r="C494" s="8"/>
      <c r="D494" s="8"/>
      <c r="E494" s="16"/>
      <c r="F494" s="10"/>
      <c r="G494" s="19"/>
      <c r="H494" s="18"/>
      <c r="I494" s="13"/>
      <c r="J494" s="14"/>
      <c r="K494" s="8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</row>
    <row r="495" ht="22.5" customHeight="1">
      <c r="A495" s="7"/>
      <c r="B495" s="8"/>
      <c r="C495" s="8"/>
      <c r="D495" s="8"/>
      <c r="E495" s="16"/>
      <c r="F495" s="10"/>
      <c r="G495" s="19"/>
      <c r="H495" s="18"/>
      <c r="I495" s="13"/>
      <c r="J495" s="14"/>
      <c r="K495" s="8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</row>
    <row r="496" ht="22.5" customHeight="1">
      <c r="A496" s="7"/>
      <c r="B496" s="8"/>
      <c r="C496" s="8"/>
      <c r="D496" s="8"/>
      <c r="E496" s="16"/>
      <c r="F496" s="10"/>
      <c r="G496" s="19"/>
      <c r="H496" s="18"/>
      <c r="I496" s="13"/>
      <c r="J496" s="14"/>
      <c r="K496" s="8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</row>
    <row r="497" ht="22.5" customHeight="1">
      <c r="A497" s="7"/>
      <c r="B497" s="8"/>
      <c r="C497" s="8"/>
      <c r="D497" s="8"/>
      <c r="E497" s="16"/>
      <c r="F497" s="10"/>
      <c r="G497" s="19"/>
      <c r="H497" s="18"/>
      <c r="I497" s="13"/>
      <c r="J497" s="14"/>
      <c r="K497" s="8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</row>
    <row r="498" ht="22.5" customHeight="1">
      <c r="A498" s="7"/>
      <c r="B498" s="8"/>
      <c r="C498" s="8"/>
      <c r="D498" s="8"/>
      <c r="E498" s="16"/>
      <c r="F498" s="10"/>
      <c r="G498" s="19"/>
      <c r="H498" s="18"/>
      <c r="I498" s="13"/>
      <c r="J498" s="14"/>
      <c r="K498" s="8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</row>
    <row r="499" ht="22.5" customHeight="1">
      <c r="A499" s="7"/>
      <c r="B499" s="8"/>
      <c r="C499" s="8"/>
      <c r="D499" s="8"/>
      <c r="E499" s="16"/>
      <c r="F499" s="10"/>
      <c r="G499" s="19"/>
      <c r="H499" s="18"/>
      <c r="I499" s="13"/>
      <c r="J499" s="14"/>
      <c r="K499" s="8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</row>
    <row r="500" ht="22.5" customHeight="1">
      <c r="A500" s="7"/>
      <c r="B500" s="8"/>
      <c r="C500" s="8"/>
      <c r="D500" s="8"/>
      <c r="E500" s="16"/>
      <c r="F500" s="10"/>
      <c r="G500" s="19"/>
      <c r="H500" s="18"/>
      <c r="I500" s="13"/>
      <c r="J500" s="14"/>
      <c r="K500" s="8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</row>
    <row r="501" ht="22.5" customHeight="1">
      <c r="A501" s="7"/>
      <c r="B501" s="8"/>
      <c r="C501" s="8"/>
      <c r="D501" s="8"/>
      <c r="E501" s="16"/>
      <c r="F501" s="10"/>
      <c r="G501" s="19"/>
      <c r="H501" s="18"/>
      <c r="I501" s="13"/>
      <c r="J501" s="14"/>
      <c r="K501" s="8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</row>
    <row r="502" ht="22.5" customHeight="1">
      <c r="A502" s="7"/>
      <c r="B502" s="8"/>
      <c r="C502" s="8"/>
      <c r="D502" s="8"/>
      <c r="E502" s="16"/>
      <c r="F502" s="10"/>
      <c r="G502" s="19"/>
      <c r="H502" s="18"/>
      <c r="I502" s="13"/>
      <c r="J502" s="14"/>
      <c r="K502" s="8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</row>
    <row r="503" ht="22.5" customHeight="1">
      <c r="A503" s="7"/>
      <c r="B503" s="8"/>
      <c r="C503" s="8"/>
      <c r="D503" s="8"/>
      <c r="E503" s="16"/>
      <c r="F503" s="10"/>
      <c r="G503" s="19"/>
      <c r="H503" s="18"/>
      <c r="I503" s="13"/>
      <c r="J503" s="14"/>
      <c r="K503" s="8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</row>
    <row r="504" ht="22.5" customHeight="1">
      <c r="A504" s="7"/>
      <c r="B504" s="8"/>
      <c r="C504" s="8"/>
      <c r="D504" s="8"/>
      <c r="E504" s="16"/>
      <c r="F504" s="10"/>
      <c r="G504" s="19"/>
      <c r="H504" s="18"/>
      <c r="I504" s="13"/>
      <c r="J504" s="14"/>
      <c r="K504" s="8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</row>
    <row r="505" ht="22.5" customHeight="1">
      <c r="A505" s="7"/>
      <c r="B505" s="8"/>
      <c r="C505" s="8"/>
      <c r="D505" s="8"/>
      <c r="E505" s="16"/>
      <c r="F505" s="10"/>
      <c r="G505" s="19"/>
      <c r="H505" s="18"/>
      <c r="I505" s="13"/>
      <c r="J505" s="14"/>
      <c r="K505" s="8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</row>
    <row r="506" ht="22.5" customHeight="1">
      <c r="A506" s="7"/>
      <c r="B506" s="8"/>
      <c r="C506" s="8"/>
      <c r="D506" s="8"/>
      <c r="E506" s="16"/>
      <c r="F506" s="10"/>
      <c r="G506" s="19"/>
      <c r="H506" s="18"/>
      <c r="I506" s="13"/>
      <c r="J506" s="14"/>
      <c r="K506" s="8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</row>
    <row r="507" ht="22.5" customHeight="1">
      <c r="A507" s="7"/>
      <c r="B507" s="8"/>
      <c r="C507" s="8"/>
      <c r="D507" s="8"/>
      <c r="E507" s="16"/>
      <c r="F507" s="10"/>
      <c r="G507" s="19"/>
      <c r="H507" s="18"/>
      <c r="I507" s="13"/>
      <c r="J507" s="14"/>
      <c r="K507" s="8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</row>
    <row r="508" ht="22.5" customHeight="1">
      <c r="A508" s="7"/>
      <c r="B508" s="8"/>
      <c r="C508" s="8"/>
      <c r="D508" s="8"/>
      <c r="E508" s="16"/>
      <c r="F508" s="10"/>
      <c r="G508" s="19"/>
      <c r="H508" s="18"/>
      <c r="I508" s="13"/>
      <c r="J508" s="14"/>
      <c r="K508" s="8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</row>
    <row r="509" ht="22.5" customHeight="1">
      <c r="A509" s="7"/>
      <c r="B509" s="8"/>
      <c r="C509" s="8"/>
      <c r="D509" s="8"/>
      <c r="E509" s="16"/>
      <c r="F509" s="10"/>
      <c r="G509" s="19"/>
      <c r="H509" s="18"/>
      <c r="I509" s="13"/>
      <c r="J509" s="14"/>
      <c r="K509" s="8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</row>
    <row r="510" ht="22.5" customHeight="1">
      <c r="A510" s="7"/>
      <c r="B510" s="8"/>
      <c r="C510" s="8"/>
      <c r="D510" s="8"/>
      <c r="E510" s="16"/>
      <c r="F510" s="10"/>
      <c r="G510" s="19"/>
      <c r="H510" s="18"/>
      <c r="I510" s="13"/>
      <c r="J510" s="14"/>
      <c r="K510" s="8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</row>
    <row r="511" ht="22.5" customHeight="1">
      <c r="A511" s="7"/>
      <c r="B511" s="8"/>
      <c r="C511" s="8"/>
      <c r="D511" s="8"/>
      <c r="E511" s="16"/>
      <c r="F511" s="10"/>
      <c r="G511" s="19"/>
      <c r="H511" s="18"/>
      <c r="I511" s="13"/>
      <c r="J511" s="14"/>
      <c r="K511" s="8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</row>
    <row r="512" ht="22.5" customHeight="1">
      <c r="A512" s="7"/>
      <c r="B512" s="8"/>
      <c r="C512" s="8"/>
      <c r="D512" s="8"/>
      <c r="E512" s="16"/>
      <c r="F512" s="10"/>
      <c r="G512" s="19"/>
      <c r="H512" s="18"/>
      <c r="I512" s="13"/>
      <c r="J512" s="14"/>
      <c r="K512" s="8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</row>
    <row r="513" ht="22.5" customHeight="1">
      <c r="A513" s="7"/>
      <c r="B513" s="8"/>
      <c r="C513" s="8"/>
      <c r="D513" s="8"/>
      <c r="E513" s="16"/>
      <c r="F513" s="10"/>
      <c r="G513" s="19"/>
      <c r="H513" s="18"/>
      <c r="I513" s="13"/>
      <c r="J513" s="14"/>
      <c r="K513" s="8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</row>
    <row r="514" ht="22.5" customHeight="1">
      <c r="A514" s="7"/>
      <c r="B514" s="8"/>
      <c r="C514" s="8"/>
      <c r="D514" s="8"/>
      <c r="E514" s="16"/>
      <c r="F514" s="10"/>
      <c r="G514" s="19"/>
      <c r="H514" s="18"/>
      <c r="I514" s="13"/>
      <c r="J514" s="14"/>
      <c r="K514" s="8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</row>
    <row r="515" ht="22.5" customHeight="1">
      <c r="A515" s="7"/>
      <c r="B515" s="8"/>
      <c r="C515" s="8"/>
      <c r="D515" s="8"/>
      <c r="E515" s="16"/>
      <c r="F515" s="10"/>
      <c r="G515" s="19"/>
      <c r="H515" s="18"/>
      <c r="I515" s="13"/>
      <c r="J515" s="14"/>
      <c r="K515" s="8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</row>
    <row r="516" ht="22.5" customHeight="1">
      <c r="A516" s="7"/>
      <c r="B516" s="8"/>
      <c r="C516" s="8"/>
      <c r="D516" s="8"/>
      <c r="E516" s="16"/>
      <c r="F516" s="10"/>
      <c r="G516" s="19"/>
      <c r="H516" s="18"/>
      <c r="I516" s="13"/>
      <c r="J516" s="14"/>
      <c r="K516" s="8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</row>
    <row r="517" ht="22.5" customHeight="1">
      <c r="A517" s="7"/>
      <c r="B517" s="8"/>
      <c r="C517" s="8"/>
      <c r="D517" s="8"/>
      <c r="E517" s="16"/>
      <c r="F517" s="10"/>
      <c r="G517" s="19"/>
      <c r="H517" s="18"/>
      <c r="I517" s="13"/>
      <c r="J517" s="14"/>
      <c r="K517" s="8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</row>
    <row r="518" ht="22.5" customHeight="1">
      <c r="A518" s="7"/>
      <c r="B518" s="8"/>
      <c r="C518" s="8"/>
      <c r="D518" s="8"/>
      <c r="E518" s="16"/>
      <c r="F518" s="10"/>
      <c r="G518" s="19"/>
      <c r="H518" s="18"/>
      <c r="I518" s="13"/>
      <c r="J518" s="14"/>
      <c r="K518" s="8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</row>
    <row r="519" ht="22.5" customHeight="1">
      <c r="A519" s="7"/>
      <c r="B519" s="8"/>
      <c r="C519" s="8"/>
      <c r="D519" s="8"/>
      <c r="E519" s="16"/>
      <c r="F519" s="10"/>
      <c r="G519" s="19"/>
      <c r="H519" s="18"/>
      <c r="I519" s="13"/>
      <c r="J519" s="14"/>
      <c r="K519" s="8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</row>
    <row r="520" ht="22.5" customHeight="1">
      <c r="A520" s="7"/>
      <c r="B520" s="8"/>
      <c r="C520" s="8"/>
      <c r="D520" s="8"/>
      <c r="E520" s="16"/>
      <c r="F520" s="10"/>
      <c r="G520" s="19"/>
      <c r="H520" s="18"/>
      <c r="I520" s="13"/>
      <c r="J520" s="14"/>
      <c r="K520" s="8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</row>
    <row r="521" ht="22.5" customHeight="1">
      <c r="A521" s="7"/>
      <c r="B521" s="8"/>
      <c r="C521" s="8"/>
      <c r="D521" s="8"/>
      <c r="E521" s="16"/>
      <c r="F521" s="10"/>
      <c r="G521" s="19"/>
      <c r="H521" s="18"/>
      <c r="I521" s="13"/>
      <c r="J521" s="14"/>
      <c r="K521" s="8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</row>
    <row r="522" ht="22.5" customHeight="1">
      <c r="A522" s="7"/>
      <c r="B522" s="8"/>
      <c r="C522" s="8"/>
      <c r="D522" s="8"/>
      <c r="E522" s="16"/>
      <c r="F522" s="10"/>
      <c r="G522" s="19"/>
      <c r="H522" s="18"/>
      <c r="I522" s="13"/>
      <c r="J522" s="14"/>
      <c r="K522" s="8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</row>
    <row r="523" ht="22.5" customHeight="1">
      <c r="A523" s="7"/>
      <c r="B523" s="8"/>
      <c r="C523" s="8"/>
      <c r="D523" s="8"/>
      <c r="E523" s="16"/>
      <c r="F523" s="10"/>
      <c r="G523" s="19"/>
      <c r="H523" s="18"/>
      <c r="I523" s="13"/>
      <c r="J523" s="14"/>
      <c r="K523" s="8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</row>
    <row r="524" ht="22.5" customHeight="1">
      <c r="A524" s="7"/>
      <c r="B524" s="8"/>
      <c r="C524" s="8"/>
      <c r="D524" s="8"/>
      <c r="E524" s="16"/>
      <c r="F524" s="10"/>
      <c r="G524" s="19"/>
      <c r="H524" s="18"/>
      <c r="I524" s="13"/>
      <c r="J524" s="14"/>
      <c r="K524" s="8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</row>
    <row r="525" ht="22.5" customHeight="1">
      <c r="A525" s="7"/>
      <c r="B525" s="8"/>
      <c r="C525" s="8"/>
      <c r="D525" s="8"/>
      <c r="E525" s="16"/>
      <c r="F525" s="10"/>
      <c r="G525" s="19"/>
      <c r="H525" s="18"/>
      <c r="I525" s="13"/>
      <c r="J525" s="14"/>
      <c r="K525" s="8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</row>
    <row r="526" ht="22.5" customHeight="1">
      <c r="A526" s="7"/>
      <c r="B526" s="8"/>
      <c r="C526" s="8"/>
      <c r="D526" s="8"/>
      <c r="E526" s="16"/>
      <c r="F526" s="10"/>
      <c r="G526" s="19"/>
      <c r="H526" s="18"/>
      <c r="I526" s="13"/>
      <c r="J526" s="14"/>
      <c r="K526" s="8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</row>
    <row r="527" ht="22.5" customHeight="1">
      <c r="A527" s="7"/>
      <c r="B527" s="8"/>
      <c r="C527" s="8"/>
      <c r="D527" s="8"/>
      <c r="E527" s="16"/>
      <c r="F527" s="10"/>
      <c r="G527" s="19"/>
      <c r="H527" s="18"/>
      <c r="I527" s="13"/>
      <c r="J527" s="14"/>
      <c r="K527" s="8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</row>
    <row r="528" ht="22.5" customHeight="1">
      <c r="A528" s="7"/>
      <c r="B528" s="8"/>
      <c r="C528" s="8"/>
      <c r="D528" s="8"/>
      <c r="E528" s="16"/>
      <c r="F528" s="10"/>
      <c r="G528" s="19"/>
      <c r="H528" s="18"/>
      <c r="I528" s="13"/>
      <c r="J528" s="14"/>
      <c r="K528" s="8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</row>
    <row r="529" ht="22.5" customHeight="1">
      <c r="A529" s="7"/>
      <c r="B529" s="8"/>
      <c r="C529" s="8"/>
      <c r="D529" s="8"/>
      <c r="E529" s="16"/>
      <c r="F529" s="10"/>
      <c r="G529" s="19"/>
      <c r="H529" s="18"/>
      <c r="I529" s="13"/>
      <c r="J529" s="14"/>
      <c r="K529" s="8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</row>
    <row r="530" ht="22.5" customHeight="1">
      <c r="A530" s="7"/>
      <c r="B530" s="8"/>
      <c r="C530" s="8"/>
      <c r="D530" s="8"/>
      <c r="E530" s="16"/>
      <c r="F530" s="10"/>
      <c r="G530" s="19"/>
      <c r="H530" s="18"/>
      <c r="I530" s="13"/>
      <c r="J530" s="14"/>
      <c r="K530" s="8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</row>
    <row r="531" ht="22.5" customHeight="1">
      <c r="A531" s="7"/>
      <c r="B531" s="8"/>
      <c r="C531" s="8"/>
      <c r="D531" s="8"/>
      <c r="E531" s="16"/>
      <c r="F531" s="10"/>
      <c r="G531" s="19"/>
      <c r="H531" s="18"/>
      <c r="I531" s="13"/>
      <c r="J531" s="14"/>
      <c r="K531" s="8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</row>
    <row r="532" ht="22.5" customHeight="1">
      <c r="A532" s="7"/>
      <c r="B532" s="8"/>
      <c r="C532" s="8"/>
      <c r="D532" s="8"/>
      <c r="E532" s="16"/>
      <c r="F532" s="10"/>
      <c r="G532" s="19"/>
      <c r="H532" s="18"/>
      <c r="I532" s="13"/>
      <c r="J532" s="14"/>
      <c r="K532" s="8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</row>
    <row r="533" ht="22.5" customHeight="1">
      <c r="A533" s="7"/>
      <c r="B533" s="8"/>
      <c r="C533" s="8"/>
      <c r="D533" s="8"/>
      <c r="E533" s="16"/>
      <c r="F533" s="10"/>
      <c r="G533" s="19"/>
      <c r="H533" s="18"/>
      <c r="I533" s="13"/>
      <c r="J533" s="14"/>
      <c r="K533" s="8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</row>
    <row r="534" ht="22.5" customHeight="1">
      <c r="A534" s="7"/>
      <c r="B534" s="8"/>
      <c r="C534" s="8"/>
      <c r="D534" s="8"/>
      <c r="E534" s="16"/>
      <c r="F534" s="10"/>
      <c r="G534" s="19"/>
      <c r="H534" s="18"/>
      <c r="I534" s="13"/>
      <c r="J534" s="14"/>
      <c r="K534" s="8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</row>
    <row r="535" ht="22.5" customHeight="1">
      <c r="A535" s="7"/>
      <c r="B535" s="8"/>
      <c r="C535" s="8"/>
      <c r="D535" s="8"/>
      <c r="E535" s="16"/>
      <c r="F535" s="10"/>
      <c r="G535" s="19"/>
      <c r="H535" s="18"/>
      <c r="I535" s="13"/>
      <c r="J535" s="14"/>
      <c r="K535" s="8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</row>
    <row r="536" ht="22.5" customHeight="1">
      <c r="A536" s="7"/>
      <c r="B536" s="8"/>
      <c r="C536" s="8"/>
      <c r="D536" s="8"/>
      <c r="E536" s="16"/>
      <c r="F536" s="10"/>
      <c r="G536" s="19"/>
      <c r="H536" s="18"/>
      <c r="I536" s="13"/>
      <c r="J536" s="14"/>
      <c r="K536" s="8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</row>
    <row r="537" ht="22.5" customHeight="1">
      <c r="A537" s="7"/>
      <c r="B537" s="8"/>
      <c r="C537" s="8"/>
      <c r="D537" s="8"/>
      <c r="E537" s="16"/>
      <c r="F537" s="10"/>
      <c r="G537" s="19"/>
      <c r="H537" s="18"/>
      <c r="I537" s="13"/>
      <c r="J537" s="14"/>
      <c r="K537" s="8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</row>
    <row r="538" ht="22.5" customHeight="1">
      <c r="A538" s="7"/>
      <c r="B538" s="8"/>
      <c r="C538" s="8"/>
      <c r="D538" s="8"/>
      <c r="E538" s="16"/>
      <c r="F538" s="10"/>
      <c r="G538" s="19"/>
      <c r="H538" s="18"/>
      <c r="I538" s="13"/>
      <c r="J538" s="14"/>
      <c r="K538" s="8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</row>
    <row r="539" ht="22.5" customHeight="1">
      <c r="A539" s="7"/>
      <c r="B539" s="8"/>
      <c r="C539" s="8"/>
      <c r="D539" s="8"/>
      <c r="E539" s="16"/>
      <c r="F539" s="10"/>
      <c r="G539" s="19"/>
      <c r="H539" s="18"/>
      <c r="I539" s="13"/>
      <c r="J539" s="14"/>
      <c r="K539" s="8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</row>
    <row r="540" ht="22.5" customHeight="1">
      <c r="A540" s="7"/>
      <c r="B540" s="8"/>
      <c r="C540" s="8"/>
      <c r="D540" s="8"/>
      <c r="E540" s="16"/>
      <c r="F540" s="10"/>
      <c r="G540" s="19"/>
      <c r="H540" s="18"/>
      <c r="I540" s="13"/>
      <c r="J540" s="14"/>
      <c r="K540" s="8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</row>
    <row r="541" ht="22.5" customHeight="1">
      <c r="A541" s="7"/>
      <c r="B541" s="8"/>
      <c r="C541" s="8"/>
      <c r="D541" s="8"/>
      <c r="E541" s="16"/>
      <c r="F541" s="10"/>
      <c r="G541" s="19"/>
      <c r="H541" s="18"/>
      <c r="I541" s="13"/>
      <c r="J541" s="14"/>
      <c r="K541" s="8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</row>
    <row r="542" ht="22.5" customHeight="1">
      <c r="A542" s="7"/>
      <c r="B542" s="8"/>
      <c r="C542" s="8"/>
      <c r="D542" s="8"/>
      <c r="E542" s="16"/>
      <c r="F542" s="10"/>
      <c r="G542" s="19"/>
      <c r="H542" s="18"/>
      <c r="I542" s="13"/>
      <c r="J542" s="14"/>
      <c r="K542" s="8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</row>
    <row r="543" ht="22.5" customHeight="1">
      <c r="A543" s="7"/>
      <c r="B543" s="8"/>
      <c r="C543" s="8"/>
      <c r="D543" s="8"/>
      <c r="E543" s="16"/>
      <c r="F543" s="10"/>
      <c r="G543" s="19"/>
      <c r="H543" s="18"/>
      <c r="I543" s="13"/>
      <c r="J543" s="14"/>
      <c r="K543" s="8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</row>
    <row r="544" ht="22.5" customHeight="1">
      <c r="A544" s="7"/>
      <c r="B544" s="8"/>
      <c r="C544" s="8"/>
      <c r="D544" s="8"/>
      <c r="E544" s="16"/>
      <c r="F544" s="10"/>
      <c r="G544" s="19"/>
      <c r="H544" s="18"/>
      <c r="I544" s="13"/>
      <c r="J544" s="14"/>
      <c r="K544" s="8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</row>
    <row r="545" ht="22.5" customHeight="1">
      <c r="A545" s="7"/>
      <c r="B545" s="8"/>
      <c r="C545" s="8"/>
      <c r="D545" s="8"/>
      <c r="E545" s="16"/>
      <c r="F545" s="10"/>
      <c r="G545" s="19"/>
      <c r="H545" s="18"/>
      <c r="I545" s="13"/>
      <c r="J545" s="14"/>
      <c r="K545" s="8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</row>
    <row r="546" ht="22.5" customHeight="1">
      <c r="A546" s="7"/>
      <c r="B546" s="8"/>
      <c r="C546" s="8"/>
      <c r="D546" s="8"/>
      <c r="E546" s="16"/>
      <c r="F546" s="10"/>
      <c r="G546" s="19"/>
      <c r="H546" s="18"/>
      <c r="I546" s="13"/>
      <c r="J546" s="14"/>
      <c r="K546" s="8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</row>
    <row r="547" ht="22.5" customHeight="1">
      <c r="A547" s="7"/>
      <c r="B547" s="8"/>
      <c r="C547" s="8"/>
      <c r="D547" s="8"/>
      <c r="E547" s="16"/>
      <c r="F547" s="10"/>
      <c r="G547" s="19"/>
      <c r="H547" s="18"/>
      <c r="I547" s="13"/>
      <c r="J547" s="14"/>
      <c r="K547" s="8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</row>
    <row r="548" ht="22.5" customHeight="1">
      <c r="A548" s="7"/>
      <c r="B548" s="8"/>
      <c r="C548" s="8"/>
      <c r="D548" s="8"/>
      <c r="E548" s="16"/>
      <c r="F548" s="10"/>
      <c r="G548" s="19"/>
      <c r="H548" s="18"/>
      <c r="I548" s="13"/>
      <c r="J548" s="14"/>
      <c r="K548" s="8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</row>
    <row r="549" ht="22.5" customHeight="1">
      <c r="A549" s="7"/>
      <c r="B549" s="8"/>
      <c r="C549" s="8"/>
      <c r="D549" s="8"/>
      <c r="E549" s="16"/>
      <c r="F549" s="10"/>
      <c r="G549" s="19"/>
      <c r="H549" s="18"/>
      <c r="I549" s="13"/>
      <c r="J549" s="14"/>
      <c r="K549" s="8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</row>
    <row r="550" ht="22.5" customHeight="1">
      <c r="A550" s="7"/>
      <c r="B550" s="8"/>
      <c r="C550" s="8"/>
      <c r="D550" s="8"/>
      <c r="E550" s="16"/>
      <c r="F550" s="10"/>
      <c r="G550" s="19"/>
      <c r="H550" s="18"/>
      <c r="I550" s="13"/>
      <c r="J550" s="14"/>
      <c r="K550" s="8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</row>
    <row r="551" ht="22.5" customHeight="1">
      <c r="A551" s="7"/>
      <c r="B551" s="8"/>
      <c r="C551" s="8"/>
      <c r="D551" s="8"/>
      <c r="E551" s="16"/>
      <c r="F551" s="10"/>
      <c r="G551" s="19"/>
      <c r="H551" s="18"/>
      <c r="I551" s="13"/>
      <c r="J551" s="14"/>
      <c r="K551" s="8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</row>
    <row r="552" ht="22.5" customHeight="1">
      <c r="A552" s="7"/>
      <c r="B552" s="8"/>
      <c r="C552" s="8"/>
      <c r="D552" s="8"/>
      <c r="E552" s="16"/>
      <c r="F552" s="10"/>
      <c r="G552" s="19"/>
      <c r="H552" s="18"/>
      <c r="I552" s="13"/>
      <c r="J552" s="14"/>
      <c r="K552" s="8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</row>
    <row r="553" ht="22.5" customHeight="1">
      <c r="A553" s="7"/>
      <c r="B553" s="8"/>
      <c r="C553" s="8"/>
      <c r="D553" s="8"/>
      <c r="E553" s="16"/>
      <c r="F553" s="10"/>
      <c r="G553" s="19"/>
      <c r="H553" s="18"/>
      <c r="I553" s="13"/>
      <c r="J553" s="14"/>
      <c r="K553" s="8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</row>
    <row r="554" ht="22.5" customHeight="1">
      <c r="A554" s="7"/>
      <c r="B554" s="8"/>
      <c r="C554" s="8"/>
      <c r="D554" s="8"/>
      <c r="E554" s="16"/>
      <c r="F554" s="10"/>
      <c r="G554" s="19"/>
      <c r="H554" s="18"/>
      <c r="I554" s="13"/>
      <c r="J554" s="14"/>
      <c r="K554" s="8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</row>
    <row r="555" ht="22.5" customHeight="1">
      <c r="A555" s="7"/>
      <c r="B555" s="8"/>
      <c r="C555" s="8"/>
      <c r="D555" s="8"/>
      <c r="E555" s="16"/>
      <c r="F555" s="10"/>
      <c r="G555" s="19"/>
      <c r="H555" s="18"/>
      <c r="I555" s="13"/>
      <c r="J555" s="14"/>
      <c r="K555" s="8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</row>
    <row r="556" ht="22.5" customHeight="1">
      <c r="A556" s="7"/>
      <c r="B556" s="8"/>
      <c r="C556" s="8"/>
      <c r="D556" s="8"/>
      <c r="E556" s="16"/>
      <c r="F556" s="10"/>
      <c r="G556" s="19"/>
      <c r="H556" s="18"/>
      <c r="I556" s="13"/>
      <c r="J556" s="14"/>
      <c r="K556" s="8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</row>
    <row r="557" ht="22.5" customHeight="1">
      <c r="A557" s="7"/>
      <c r="B557" s="8"/>
      <c r="C557" s="8"/>
      <c r="D557" s="8"/>
      <c r="E557" s="16"/>
      <c r="F557" s="10"/>
      <c r="G557" s="19"/>
      <c r="H557" s="18"/>
      <c r="I557" s="13"/>
      <c r="J557" s="14"/>
      <c r="K557" s="8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</row>
    <row r="558" ht="22.5" customHeight="1">
      <c r="A558" s="7"/>
      <c r="B558" s="8"/>
      <c r="C558" s="8"/>
      <c r="D558" s="8"/>
      <c r="E558" s="16"/>
      <c r="F558" s="10"/>
      <c r="G558" s="19"/>
      <c r="H558" s="18"/>
      <c r="I558" s="13"/>
      <c r="J558" s="14"/>
      <c r="K558" s="8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</row>
    <row r="559" ht="22.5" customHeight="1">
      <c r="A559" s="7"/>
      <c r="B559" s="8"/>
      <c r="C559" s="8"/>
      <c r="D559" s="8"/>
      <c r="E559" s="16"/>
      <c r="F559" s="10"/>
      <c r="G559" s="19"/>
      <c r="H559" s="18"/>
      <c r="I559" s="13"/>
      <c r="J559" s="14"/>
      <c r="K559" s="8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</row>
    <row r="560" ht="22.5" customHeight="1">
      <c r="A560" s="7"/>
      <c r="B560" s="8"/>
      <c r="C560" s="8"/>
      <c r="D560" s="8"/>
      <c r="E560" s="16"/>
      <c r="F560" s="10"/>
      <c r="G560" s="19"/>
      <c r="H560" s="18"/>
      <c r="I560" s="13"/>
      <c r="J560" s="14"/>
      <c r="K560" s="8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</row>
    <row r="561" ht="22.5" customHeight="1">
      <c r="A561" s="7"/>
      <c r="B561" s="8"/>
      <c r="C561" s="8"/>
      <c r="D561" s="8"/>
      <c r="E561" s="16"/>
      <c r="F561" s="10"/>
      <c r="G561" s="19"/>
      <c r="H561" s="18"/>
      <c r="I561" s="13"/>
      <c r="J561" s="14"/>
      <c r="K561" s="8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</row>
    <row r="562" ht="22.5" customHeight="1">
      <c r="A562" s="7"/>
      <c r="B562" s="8"/>
      <c r="C562" s="8"/>
      <c r="D562" s="8"/>
      <c r="E562" s="16"/>
      <c r="F562" s="10"/>
      <c r="G562" s="19"/>
      <c r="H562" s="18"/>
      <c r="I562" s="13"/>
      <c r="J562" s="14"/>
      <c r="K562" s="8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</row>
    <row r="563" ht="22.5" customHeight="1">
      <c r="A563" s="7"/>
      <c r="B563" s="8"/>
      <c r="C563" s="8"/>
      <c r="D563" s="8"/>
      <c r="E563" s="16"/>
      <c r="F563" s="10"/>
      <c r="G563" s="19"/>
      <c r="H563" s="18"/>
      <c r="I563" s="13"/>
      <c r="J563" s="14"/>
      <c r="K563" s="8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</row>
    <row r="564" ht="22.5" customHeight="1">
      <c r="A564" s="7"/>
      <c r="B564" s="8"/>
      <c r="C564" s="8"/>
      <c r="D564" s="8"/>
      <c r="E564" s="16"/>
      <c r="F564" s="10"/>
      <c r="G564" s="19"/>
      <c r="H564" s="18"/>
      <c r="I564" s="13"/>
      <c r="J564" s="14"/>
      <c r="K564" s="8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</row>
    <row r="565" ht="22.5" customHeight="1">
      <c r="A565" s="7"/>
      <c r="B565" s="8"/>
      <c r="C565" s="8"/>
      <c r="D565" s="8"/>
      <c r="E565" s="16"/>
      <c r="F565" s="10"/>
      <c r="G565" s="19"/>
      <c r="H565" s="18"/>
      <c r="I565" s="13"/>
      <c r="J565" s="14"/>
      <c r="K565" s="8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</row>
    <row r="566" ht="22.5" customHeight="1">
      <c r="A566" s="7"/>
      <c r="B566" s="8"/>
      <c r="C566" s="8"/>
      <c r="D566" s="8"/>
      <c r="E566" s="16"/>
      <c r="F566" s="10"/>
      <c r="G566" s="19"/>
      <c r="H566" s="18"/>
      <c r="I566" s="13"/>
      <c r="J566" s="14"/>
      <c r="K566" s="8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</row>
    <row r="567" ht="22.5" customHeight="1">
      <c r="A567" s="7"/>
      <c r="B567" s="8"/>
      <c r="C567" s="8"/>
      <c r="D567" s="8"/>
      <c r="E567" s="16"/>
      <c r="F567" s="10"/>
      <c r="G567" s="19"/>
      <c r="H567" s="18"/>
      <c r="I567" s="13"/>
      <c r="J567" s="14"/>
      <c r="K567" s="8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</row>
    <row r="568" ht="22.5" customHeight="1">
      <c r="A568" s="7"/>
      <c r="B568" s="8"/>
      <c r="C568" s="8"/>
      <c r="D568" s="8"/>
      <c r="E568" s="16"/>
      <c r="F568" s="10"/>
      <c r="G568" s="19"/>
      <c r="H568" s="18"/>
      <c r="I568" s="13"/>
      <c r="J568" s="14"/>
      <c r="K568" s="8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</row>
    <row r="569" ht="22.5" customHeight="1">
      <c r="A569" s="7"/>
      <c r="B569" s="8"/>
      <c r="C569" s="8"/>
      <c r="D569" s="8"/>
      <c r="E569" s="16"/>
      <c r="F569" s="10"/>
      <c r="G569" s="19"/>
      <c r="H569" s="18"/>
      <c r="I569" s="13"/>
      <c r="J569" s="14"/>
      <c r="K569" s="8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</row>
    <row r="570" ht="22.5" customHeight="1">
      <c r="A570" s="7"/>
      <c r="B570" s="8"/>
      <c r="C570" s="8"/>
      <c r="D570" s="8"/>
      <c r="E570" s="16"/>
      <c r="F570" s="10"/>
      <c r="G570" s="19"/>
      <c r="H570" s="18"/>
      <c r="I570" s="13"/>
      <c r="J570" s="14"/>
      <c r="K570" s="8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</row>
    <row r="571" ht="22.5" customHeight="1">
      <c r="A571" s="7"/>
      <c r="B571" s="8"/>
      <c r="C571" s="8"/>
      <c r="D571" s="8"/>
      <c r="E571" s="16"/>
      <c r="F571" s="10"/>
      <c r="G571" s="19"/>
      <c r="H571" s="18"/>
      <c r="I571" s="13"/>
      <c r="J571" s="14"/>
      <c r="K571" s="8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</row>
    <row r="572" ht="22.5" customHeight="1">
      <c r="A572" s="7"/>
      <c r="B572" s="8"/>
      <c r="C572" s="8"/>
      <c r="D572" s="8"/>
      <c r="E572" s="16"/>
      <c r="F572" s="10"/>
      <c r="G572" s="19"/>
      <c r="H572" s="18"/>
      <c r="I572" s="13"/>
      <c r="J572" s="14"/>
      <c r="K572" s="8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</row>
    <row r="573" ht="22.5" customHeight="1">
      <c r="A573" s="7"/>
      <c r="B573" s="8"/>
      <c r="C573" s="8"/>
      <c r="D573" s="8"/>
      <c r="E573" s="16"/>
      <c r="F573" s="10"/>
      <c r="G573" s="19"/>
      <c r="H573" s="18"/>
      <c r="I573" s="13"/>
      <c r="J573" s="14"/>
      <c r="K573" s="8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</row>
    <row r="574" ht="22.5" customHeight="1">
      <c r="A574" s="7"/>
      <c r="B574" s="8"/>
      <c r="C574" s="8"/>
      <c r="D574" s="8"/>
      <c r="E574" s="16"/>
      <c r="F574" s="10"/>
      <c r="G574" s="19"/>
      <c r="H574" s="18"/>
      <c r="I574" s="13"/>
      <c r="J574" s="14"/>
      <c r="K574" s="8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</row>
    <row r="575" ht="22.5" customHeight="1">
      <c r="A575" s="7"/>
      <c r="B575" s="8"/>
      <c r="C575" s="8"/>
      <c r="D575" s="8"/>
      <c r="E575" s="16"/>
      <c r="F575" s="10"/>
      <c r="G575" s="19"/>
      <c r="H575" s="18"/>
      <c r="I575" s="13"/>
      <c r="J575" s="14"/>
      <c r="K575" s="8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</row>
    <row r="576" ht="22.5" customHeight="1">
      <c r="A576" s="7"/>
      <c r="B576" s="8"/>
      <c r="C576" s="8"/>
      <c r="D576" s="8"/>
      <c r="E576" s="16"/>
      <c r="F576" s="10"/>
      <c r="G576" s="19"/>
      <c r="H576" s="18"/>
      <c r="I576" s="13"/>
      <c r="J576" s="14"/>
      <c r="K576" s="8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</row>
    <row r="577" ht="22.5" customHeight="1">
      <c r="A577" s="7"/>
      <c r="B577" s="8"/>
      <c r="C577" s="8"/>
      <c r="D577" s="8"/>
      <c r="E577" s="16"/>
      <c r="F577" s="10"/>
      <c r="G577" s="19"/>
      <c r="H577" s="18"/>
      <c r="I577" s="13"/>
      <c r="J577" s="14"/>
      <c r="K577" s="8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</row>
    <row r="578" ht="22.5" customHeight="1">
      <c r="A578" s="7"/>
      <c r="B578" s="8"/>
      <c r="C578" s="8"/>
      <c r="D578" s="8"/>
      <c r="E578" s="16"/>
      <c r="F578" s="10"/>
      <c r="G578" s="19"/>
      <c r="H578" s="18"/>
      <c r="I578" s="13"/>
      <c r="J578" s="14"/>
      <c r="K578" s="8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</row>
    <row r="579" ht="22.5" customHeight="1">
      <c r="A579" s="7"/>
      <c r="B579" s="8"/>
      <c r="C579" s="8"/>
      <c r="D579" s="8"/>
      <c r="E579" s="16"/>
      <c r="F579" s="10"/>
      <c r="G579" s="19"/>
      <c r="H579" s="18"/>
      <c r="I579" s="13"/>
      <c r="J579" s="14"/>
      <c r="K579" s="8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</row>
    <row r="580" ht="22.5" customHeight="1">
      <c r="A580" s="7"/>
      <c r="B580" s="8"/>
      <c r="C580" s="8"/>
      <c r="D580" s="8"/>
      <c r="E580" s="16"/>
      <c r="F580" s="10"/>
      <c r="G580" s="19"/>
      <c r="H580" s="18"/>
      <c r="I580" s="13"/>
      <c r="J580" s="14"/>
      <c r="K580" s="8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</row>
    <row r="581" ht="22.5" customHeight="1">
      <c r="A581" s="7"/>
      <c r="B581" s="8"/>
      <c r="C581" s="8"/>
      <c r="D581" s="8"/>
      <c r="E581" s="16"/>
      <c r="F581" s="10"/>
      <c r="G581" s="19"/>
      <c r="H581" s="18"/>
      <c r="I581" s="13"/>
      <c r="J581" s="14"/>
      <c r="K581" s="8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</row>
    <row r="582" ht="22.5" customHeight="1">
      <c r="A582" s="7"/>
      <c r="B582" s="8"/>
      <c r="C582" s="8"/>
      <c r="D582" s="8"/>
      <c r="E582" s="16"/>
      <c r="F582" s="10"/>
      <c r="G582" s="19"/>
      <c r="H582" s="18"/>
      <c r="I582" s="13"/>
      <c r="J582" s="14"/>
      <c r="K582" s="8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</row>
    <row r="583" ht="22.5" customHeight="1">
      <c r="A583" s="7"/>
      <c r="B583" s="8"/>
      <c r="C583" s="8"/>
      <c r="D583" s="8"/>
      <c r="E583" s="16"/>
      <c r="F583" s="10"/>
      <c r="G583" s="19"/>
      <c r="H583" s="18"/>
      <c r="I583" s="13"/>
      <c r="J583" s="14"/>
      <c r="K583" s="8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</row>
    <row r="584" ht="22.5" customHeight="1">
      <c r="A584" s="7"/>
      <c r="B584" s="8"/>
      <c r="C584" s="8"/>
      <c r="D584" s="8"/>
      <c r="E584" s="16"/>
      <c r="F584" s="10"/>
      <c r="G584" s="19"/>
      <c r="H584" s="18"/>
      <c r="I584" s="13"/>
      <c r="J584" s="14"/>
      <c r="K584" s="8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</row>
    <row r="585" ht="22.5" customHeight="1">
      <c r="A585" s="7"/>
      <c r="B585" s="8"/>
      <c r="C585" s="8"/>
      <c r="D585" s="8"/>
      <c r="E585" s="16"/>
      <c r="F585" s="10"/>
      <c r="G585" s="19"/>
      <c r="H585" s="18"/>
      <c r="I585" s="13"/>
      <c r="J585" s="14"/>
      <c r="K585" s="8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</row>
    <row r="586" ht="22.5" customHeight="1">
      <c r="A586" s="7"/>
      <c r="B586" s="8"/>
      <c r="C586" s="8"/>
      <c r="D586" s="8"/>
      <c r="E586" s="16"/>
      <c r="F586" s="10"/>
      <c r="G586" s="19"/>
      <c r="H586" s="18"/>
      <c r="I586" s="13"/>
      <c r="J586" s="14"/>
      <c r="K586" s="8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</row>
    <row r="587" ht="22.5" customHeight="1">
      <c r="A587" s="7"/>
      <c r="B587" s="8"/>
      <c r="C587" s="8"/>
      <c r="D587" s="8"/>
      <c r="E587" s="16"/>
      <c r="F587" s="10"/>
      <c r="G587" s="19"/>
      <c r="H587" s="18"/>
      <c r="I587" s="13"/>
      <c r="J587" s="14"/>
      <c r="K587" s="8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</row>
    <row r="588" ht="22.5" customHeight="1">
      <c r="A588" s="7"/>
      <c r="B588" s="8"/>
      <c r="C588" s="8"/>
      <c r="D588" s="8"/>
      <c r="E588" s="16"/>
      <c r="F588" s="10"/>
      <c r="G588" s="19"/>
      <c r="H588" s="18"/>
      <c r="I588" s="13"/>
      <c r="J588" s="14"/>
      <c r="K588" s="8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</row>
    <row r="589" ht="22.5" customHeight="1">
      <c r="A589" s="7"/>
      <c r="B589" s="8"/>
      <c r="C589" s="8"/>
      <c r="D589" s="8"/>
      <c r="E589" s="16"/>
      <c r="F589" s="10"/>
      <c r="G589" s="19"/>
      <c r="H589" s="18"/>
      <c r="I589" s="13"/>
      <c r="J589" s="14"/>
      <c r="K589" s="8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</row>
    <row r="590" ht="22.5" customHeight="1">
      <c r="A590" s="7"/>
      <c r="B590" s="8"/>
      <c r="C590" s="8"/>
      <c r="D590" s="8"/>
      <c r="E590" s="16"/>
      <c r="F590" s="10"/>
      <c r="G590" s="19"/>
      <c r="H590" s="18"/>
      <c r="I590" s="13"/>
      <c r="J590" s="14"/>
      <c r="K590" s="8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</row>
    <row r="591" ht="22.5" customHeight="1">
      <c r="A591" s="7"/>
      <c r="B591" s="8"/>
      <c r="C591" s="8"/>
      <c r="D591" s="8"/>
      <c r="E591" s="16"/>
      <c r="F591" s="10"/>
      <c r="G591" s="19"/>
      <c r="H591" s="18"/>
      <c r="I591" s="13"/>
      <c r="J591" s="14"/>
      <c r="K591" s="8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</row>
    <row r="592" ht="22.5" customHeight="1">
      <c r="A592" s="7"/>
      <c r="B592" s="8"/>
      <c r="C592" s="8"/>
      <c r="D592" s="8"/>
      <c r="E592" s="16"/>
      <c r="F592" s="10"/>
      <c r="G592" s="19"/>
      <c r="H592" s="18"/>
      <c r="I592" s="13"/>
      <c r="J592" s="14"/>
      <c r="K592" s="8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</row>
    <row r="593" ht="22.5" customHeight="1">
      <c r="A593" s="7"/>
      <c r="B593" s="8"/>
      <c r="C593" s="8"/>
      <c r="D593" s="8"/>
      <c r="E593" s="16"/>
      <c r="F593" s="10"/>
      <c r="G593" s="19"/>
      <c r="H593" s="18"/>
      <c r="I593" s="13"/>
      <c r="J593" s="14"/>
      <c r="K593" s="8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</row>
    <row r="594" ht="22.5" customHeight="1">
      <c r="A594" s="7"/>
      <c r="B594" s="8"/>
      <c r="C594" s="8"/>
      <c r="D594" s="8"/>
      <c r="E594" s="16"/>
      <c r="F594" s="10"/>
      <c r="G594" s="19"/>
      <c r="H594" s="18"/>
      <c r="I594" s="13"/>
      <c r="J594" s="14"/>
      <c r="K594" s="8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</row>
    <row r="595" ht="22.5" customHeight="1">
      <c r="A595" s="7"/>
      <c r="B595" s="8"/>
      <c r="C595" s="8"/>
      <c r="D595" s="8"/>
      <c r="E595" s="16"/>
      <c r="F595" s="10"/>
      <c r="G595" s="19"/>
      <c r="H595" s="18"/>
      <c r="I595" s="13"/>
      <c r="J595" s="14"/>
      <c r="K595" s="8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</row>
    <row r="596" ht="22.5" customHeight="1">
      <c r="A596" s="7"/>
      <c r="B596" s="8"/>
      <c r="C596" s="8"/>
      <c r="D596" s="8"/>
      <c r="E596" s="16"/>
      <c r="F596" s="10"/>
      <c r="G596" s="19"/>
      <c r="H596" s="18"/>
      <c r="I596" s="13"/>
      <c r="J596" s="14"/>
      <c r="K596" s="8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</row>
    <row r="597" ht="22.5" customHeight="1">
      <c r="A597" s="7"/>
      <c r="B597" s="8"/>
      <c r="C597" s="8"/>
      <c r="D597" s="8"/>
      <c r="E597" s="16"/>
      <c r="F597" s="10"/>
      <c r="G597" s="19"/>
      <c r="H597" s="18"/>
      <c r="I597" s="13"/>
      <c r="J597" s="14"/>
      <c r="K597" s="8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</row>
    <row r="598" ht="22.5" customHeight="1">
      <c r="A598" s="7"/>
      <c r="B598" s="8"/>
      <c r="C598" s="8"/>
      <c r="D598" s="8"/>
      <c r="E598" s="16"/>
      <c r="F598" s="10"/>
      <c r="G598" s="19"/>
      <c r="H598" s="18"/>
      <c r="I598" s="13"/>
      <c r="J598" s="14"/>
      <c r="K598" s="8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</row>
    <row r="599" ht="22.5" customHeight="1">
      <c r="A599" s="7"/>
      <c r="B599" s="8"/>
      <c r="C599" s="8"/>
      <c r="D599" s="8"/>
      <c r="E599" s="16"/>
      <c r="F599" s="10"/>
      <c r="G599" s="19"/>
      <c r="H599" s="18"/>
      <c r="I599" s="13"/>
      <c r="J599" s="14"/>
      <c r="K599" s="8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</row>
    <row r="600" ht="22.5" customHeight="1">
      <c r="A600" s="7"/>
      <c r="B600" s="8"/>
      <c r="C600" s="8"/>
      <c r="D600" s="8"/>
      <c r="E600" s="16"/>
      <c r="F600" s="10"/>
      <c r="G600" s="19"/>
      <c r="H600" s="18"/>
      <c r="I600" s="13"/>
      <c r="J600" s="14"/>
      <c r="K600" s="8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</row>
    <row r="601" ht="22.5" customHeight="1">
      <c r="A601" s="7"/>
      <c r="B601" s="8"/>
      <c r="C601" s="8"/>
      <c r="D601" s="8"/>
      <c r="E601" s="16"/>
      <c r="F601" s="10"/>
      <c r="G601" s="19"/>
      <c r="H601" s="18"/>
      <c r="I601" s="13"/>
      <c r="J601" s="14"/>
      <c r="K601" s="8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</row>
    <row r="602" ht="22.5" customHeight="1">
      <c r="A602" s="7"/>
      <c r="B602" s="8"/>
      <c r="C602" s="8"/>
      <c r="D602" s="8"/>
      <c r="E602" s="16"/>
      <c r="F602" s="10"/>
      <c r="G602" s="19"/>
      <c r="H602" s="18"/>
      <c r="I602" s="13"/>
      <c r="J602" s="14"/>
      <c r="K602" s="8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</row>
    <row r="603" ht="22.5" customHeight="1">
      <c r="A603" s="7"/>
      <c r="B603" s="8"/>
      <c r="C603" s="8"/>
      <c r="D603" s="8"/>
      <c r="E603" s="16"/>
      <c r="F603" s="10"/>
      <c r="G603" s="19"/>
      <c r="H603" s="18"/>
      <c r="I603" s="13"/>
      <c r="J603" s="14"/>
      <c r="K603" s="8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</row>
    <row r="604" ht="22.5" customHeight="1">
      <c r="A604" s="7"/>
      <c r="B604" s="8"/>
      <c r="C604" s="8"/>
      <c r="D604" s="8"/>
      <c r="E604" s="16"/>
      <c r="F604" s="10"/>
      <c r="G604" s="19"/>
      <c r="H604" s="18"/>
      <c r="I604" s="13"/>
      <c r="J604" s="14"/>
      <c r="K604" s="8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</row>
    <row r="605" ht="22.5" customHeight="1">
      <c r="A605" s="7"/>
      <c r="B605" s="8"/>
      <c r="C605" s="8"/>
      <c r="D605" s="8"/>
      <c r="E605" s="16"/>
      <c r="F605" s="10"/>
      <c r="G605" s="19"/>
      <c r="H605" s="18"/>
      <c r="I605" s="13"/>
      <c r="J605" s="14"/>
      <c r="K605" s="8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</row>
    <row r="606" ht="22.5" customHeight="1">
      <c r="A606" s="7"/>
      <c r="B606" s="8"/>
      <c r="C606" s="8"/>
      <c r="D606" s="8"/>
      <c r="E606" s="16"/>
      <c r="F606" s="10"/>
      <c r="G606" s="19"/>
      <c r="H606" s="18"/>
      <c r="I606" s="13"/>
      <c r="J606" s="14"/>
      <c r="K606" s="8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</row>
    <row r="607" ht="22.5" customHeight="1">
      <c r="A607" s="7"/>
      <c r="B607" s="8"/>
      <c r="C607" s="8"/>
      <c r="D607" s="8"/>
      <c r="E607" s="16"/>
      <c r="F607" s="10"/>
      <c r="G607" s="19"/>
      <c r="H607" s="18"/>
      <c r="I607" s="13"/>
      <c r="J607" s="14"/>
      <c r="K607" s="8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</row>
    <row r="608" ht="22.5" customHeight="1">
      <c r="A608" s="7"/>
      <c r="B608" s="8"/>
      <c r="C608" s="8"/>
      <c r="D608" s="8"/>
      <c r="E608" s="16"/>
      <c r="F608" s="10"/>
      <c r="G608" s="19"/>
      <c r="H608" s="18"/>
      <c r="I608" s="13"/>
      <c r="J608" s="14"/>
      <c r="K608" s="8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</row>
    <row r="609" ht="22.5" customHeight="1">
      <c r="A609" s="7"/>
      <c r="B609" s="8"/>
      <c r="C609" s="8"/>
      <c r="D609" s="8"/>
      <c r="E609" s="16"/>
      <c r="F609" s="10"/>
      <c r="G609" s="19"/>
      <c r="H609" s="18"/>
      <c r="I609" s="13"/>
      <c r="J609" s="14"/>
      <c r="K609" s="8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</row>
    <row r="610" ht="22.5" customHeight="1">
      <c r="A610" s="7"/>
      <c r="B610" s="8"/>
      <c r="C610" s="8"/>
      <c r="D610" s="8"/>
      <c r="E610" s="16"/>
      <c r="F610" s="10"/>
      <c r="G610" s="19"/>
      <c r="H610" s="18"/>
      <c r="I610" s="13"/>
      <c r="J610" s="14"/>
      <c r="K610" s="8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</row>
    <row r="611" ht="22.5" customHeight="1">
      <c r="A611" s="7"/>
      <c r="B611" s="8"/>
      <c r="C611" s="8"/>
      <c r="D611" s="8"/>
      <c r="E611" s="16"/>
      <c r="F611" s="10"/>
      <c r="G611" s="19"/>
      <c r="H611" s="18"/>
      <c r="I611" s="13"/>
      <c r="J611" s="14"/>
      <c r="K611" s="8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</row>
    <row r="612" ht="22.5" customHeight="1">
      <c r="A612" s="7"/>
      <c r="B612" s="8"/>
      <c r="C612" s="8"/>
      <c r="D612" s="8"/>
      <c r="E612" s="16"/>
      <c r="F612" s="10"/>
      <c r="G612" s="19"/>
      <c r="H612" s="18"/>
      <c r="I612" s="13"/>
      <c r="J612" s="14"/>
      <c r="K612" s="8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</row>
    <row r="613" ht="22.5" customHeight="1">
      <c r="A613" s="7"/>
      <c r="B613" s="8"/>
      <c r="C613" s="8"/>
      <c r="D613" s="8"/>
      <c r="E613" s="16"/>
      <c r="F613" s="10"/>
      <c r="G613" s="19"/>
      <c r="H613" s="18"/>
      <c r="I613" s="13"/>
      <c r="J613" s="14"/>
      <c r="K613" s="8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</row>
    <row r="614" ht="22.5" customHeight="1">
      <c r="A614" s="7"/>
      <c r="B614" s="8"/>
      <c r="C614" s="8"/>
      <c r="D614" s="8"/>
      <c r="E614" s="16"/>
      <c r="F614" s="10"/>
      <c r="G614" s="19"/>
      <c r="H614" s="18"/>
      <c r="I614" s="13"/>
      <c r="J614" s="14"/>
      <c r="K614" s="8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</row>
    <row r="615" ht="22.5" customHeight="1">
      <c r="A615" s="7"/>
      <c r="B615" s="8"/>
      <c r="C615" s="8"/>
      <c r="D615" s="8"/>
      <c r="E615" s="16"/>
      <c r="F615" s="10"/>
      <c r="G615" s="19"/>
      <c r="H615" s="18"/>
      <c r="I615" s="13"/>
      <c r="J615" s="14"/>
      <c r="K615" s="8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</row>
    <row r="616" ht="22.5" customHeight="1">
      <c r="A616" s="7"/>
      <c r="B616" s="8"/>
      <c r="C616" s="8"/>
      <c r="D616" s="8"/>
      <c r="E616" s="16"/>
      <c r="F616" s="10"/>
      <c r="G616" s="19"/>
      <c r="H616" s="18"/>
      <c r="I616" s="13"/>
      <c r="J616" s="14"/>
      <c r="K616" s="8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</row>
    <row r="617" ht="22.5" customHeight="1">
      <c r="A617" s="7"/>
      <c r="B617" s="8"/>
      <c r="C617" s="8"/>
      <c r="D617" s="8"/>
      <c r="E617" s="16"/>
      <c r="F617" s="10"/>
      <c r="G617" s="19"/>
      <c r="H617" s="18"/>
      <c r="I617" s="13"/>
      <c r="J617" s="14"/>
      <c r="K617" s="8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</row>
    <row r="618" ht="22.5" customHeight="1">
      <c r="A618" s="7"/>
      <c r="B618" s="8"/>
      <c r="C618" s="8"/>
      <c r="D618" s="8"/>
      <c r="E618" s="16"/>
      <c r="F618" s="10"/>
      <c r="G618" s="19"/>
      <c r="H618" s="18"/>
      <c r="I618" s="13"/>
      <c r="J618" s="14"/>
      <c r="K618" s="8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</row>
    <row r="619" ht="22.5" customHeight="1">
      <c r="A619" s="7"/>
      <c r="B619" s="8"/>
      <c r="C619" s="8"/>
      <c r="D619" s="8"/>
      <c r="E619" s="16"/>
      <c r="F619" s="10"/>
      <c r="G619" s="19"/>
      <c r="H619" s="18"/>
      <c r="I619" s="13"/>
      <c r="J619" s="14"/>
      <c r="K619" s="8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</row>
    <row r="620" ht="22.5" customHeight="1">
      <c r="A620" s="7"/>
      <c r="B620" s="8"/>
      <c r="C620" s="8"/>
      <c r="D620" s="8"/>
      <c r="E620" s="16"/>
      <c r="F620" s="10"/>
      <c r="G620" s="19"/>
      <c r="H620" s="18"/>
      <c r="I620" s="13"/>
      <c r="J620" s="14"/>
      <c r="K620" s="8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</row>
    <row r="621" ht="22.5" customHeight="1">
      <c r="A621" s="7"/>
      <c r="B621" s="8"/>
      <c r="C621" s="8"/>
      <c r="D621" s="8"/>
      <c r="E621" s="16"/>
      <c r="F621" s="10"/>
      <c r="G621" s="19"/>
      <c r="H621" s="18"/>
      <c r="I621" s="13"/>
      <c r="J621" s="14"/>
      <c r="K621" s="8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</row>
    <row r="622" ht="22.5" customHeight="1">
      <c r="A622" s="7"/>
      <c r="B622" s="8"/>
      <c r="C622" s="8"/>
      <c r="D622" s="8"/>
      <c r="E622" s="16"/>
      <c r="F622" s="10"/>
      <c r="G622" s="19"/>
      <c r="H622" s="18"/>
      <c r="I622" s="13"/>
      <c r="J622" s="14"/>
      <c r="K622" s="8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</row>
    <row r="623" ht="22.5" customHeight="1">
      <c r="A623" s="7"/>
      <c r="B623" s="8"/>
      <c r="C623" s="8"/>
      <c r="D623" s="8"/>
      <c r="E623" s="16"/>
      <c r="F623" s="10"/>
      <c r="G623" s="19"/>
      <c r="H623" s="18"/>
      <c r="I623" s="13"/>
      <c r="J623" s="14"/>
      <c r="K623" s="8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</row>
    <row r="624" ht="22.5" customHeight="1">
      <c r="A624" s="7"/>
      <c r="B624" s="8"/>
      <c r="C624" s="8"/>
      <c r="D624" s="8"/>
      <c r="E624" s="16"/>
      <c r="F624" s="10"/>
      <c r="G624" s="19"/>
      <c r="H624" s="18"/>
      <c r="I624" s="13"/>
      <c r="J624" s="14"/>
      <c r="K624" s="8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</row>
    <row r="625" ht="22.5" customHeight="1">
      <c r="A625" s="7"/>
      <c r="B625" s="8"/>
      <c r="C625" s="8"/>
      <c r="D625" s="8"/>
      <c r="E625" s="16"/>
      <c r="F625" s="10"/>
      <c r="G625" s="19"/>
      <c r="H625" s="18"/>
      <c r="I625" s="13"/>
      <c r="J625" s="14"/>
      <c r="K625" s="8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</row>
    <row r="626" ht="22.5" customHeight="1">
      <c r="A626" s="7"/>
      <c r="B626" s="8"/>
      <c r="C626" s="8"/>
      <c r="D626" s="8"/>
      <c r="E626" s="16"/>
      <c r="F626" s="10"/>
      <c r="G626" s="19"/>
      <c r="H626" s="18"/>
      <c r="I626" s="13"/>
      <c r="J626" s="14"/>
      <c r="K626" s="8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</row>
    <row r="627" ht="22.5" customHeight="1">
      <c r="A627" s="7"/>
      <c r="B627" s="8"/>
      <c r="C627" s="8"/>
      <c r="D627" s="8"/>
      <c r="E627" s="16"/>
      <c r="F627" s="10"/>
      <c r="G627" s="19"/>
      <c r="H627" s="18"/>
      <c r="I627" s="13"/>
      <c r="J627" s="14"/>
      <c r="K627" s="8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</row>
    <row r="628" ht="22.5" customHeight="1">
      <c r="A628" s="7"/>
      <c r="B628" s="8"/>
      <c r="C628" s="8"/>
      <c r="D628" s="8"/>
      <c r="E628" s="16"/>
      <c r="F628" s="10"/>
      <c r="G628" s="19"/>
      <c r="H628" s="18"/>
      <c r="I628" s="13"/>
      <c r="J628" s="14"/>
      <c r="K628" s="8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</row>
    <row r="629" ht="22.5" customHeight="1">
      <c r="A629" s="7"/>
      <c r="B629" s="8"/>
      <c r="C629" s="8"/>
      <c r="D629" s="8"/>
      <c r="E629" s="16"/>
      <c r="F629" s="10"/>
      <c r="G629" s="19"/>
      <c r="H629" s="18"/>
      <c r="I629" s="13"/>
      <c r="J629" s="14"/>
      <c r="K629" s="8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</row>
    <row r="630" ht="22.5" customHeight="1">
      <c r="A630" s="7"/>
      <c r="B630" s="8"/>
      <c r="C630" s="8"/>
      <c r="D630" s="8"/>
      <c r="E630" s="16"/>
      <c r="F630" s="10"/>
      <c r="G630" s="19"/>
      <c r="H630" s="18"/>
      <c r="I630" s="13"/>
      <c r="J630" s="14"/>
      <c r="K630" s="8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</row>
    <row r="631" ht="22.5" customHeight="1">
      <c r="A631" s="7"/>
      <c r="B631" s="8"/>
      <c r="C631" s="8"/>
      <c r="D631" s="8"/>
      <c r="E631" s="16"/>
      <c r="F631" s="10"/>
      <c r="G631" s="19"/>
      <c r="H631" s="18"/>
      <c r="I631" s="13"/>
      <c r="J631" s="14"/>
      <c r="K631" s="8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</row>
    <row r="632" ht="22.5" customHeight="1">
      <c r="A632" s="7"/>
      <c r="B632" s="8"/>
      <c r="C632" s="8"/>
      <c r="D632" s="8"/>
      <c r="E632" s="16"/>
      <c r="F632" s="10"/>
      <c r="G632" s="19"/>
      <c r="H632" s="18"/>
      <c r="I632" s="13"/>
      <c r="J632" s="14"/>
      <c r="K632" s="8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</row>
    <row r="633" ht="22.5" customHeight="1">
      <c r="A633" s="7"/>
      <c r="B633" s="8"/>
      <c r="C633" s="8"/>
      <c r="D633" s="8"/>
      <c r="E633" s="16"/>
      <c r="F633" s="10"/>
      <c r="G633" s="19"/>
      <c r="H633" s="18"/>
      <c r="I633" s="13"/>
      <c r="J633" s="14"/>
      <c r="K633" s="8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</row>
    <row r="634" ht="22.5" customHeight="1">
      <c r="A634" s="7"/>
      <c r="B634" s="8"/>
      <c r="C634" s="8"/>
      <c r="D634" s="8"/>
      <c r="E634" s="16"/>
      <c r="F634" s="10"/>
      <c r="G634" s="19"/>
      <c r="H634" s="18"/>
      <c r="I634" s="13"/>
      <c r="J634" s="14"/>
      <c r="K634" s="8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</row>
    <row r="635" ht="22.5" customHeight="1">
      <c r="A635" s="7"/>
      <c r="B635" s="8"/>
      <c r="C635" s="8"/>
      <c r="D635" s="8"/>
      <c r="E635" s="16"/>
      <c r="F635" s="10"/>
      <c r="G635" s="19"/>
      <c r="H635" s="18"/>
      <c r="I635" s="13"/>
      <c r="J635" s="14"/>
      <c r="K635" s="8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</row>
    <row r="636" ht="22.5" customHeight="1">
      <c r="A636" s="7"/>
      <c r="B636" s="8"/>
      <c r="C636" s="8"/>
      <c r="D636" s="8"/>
      <c r="E636" s="16"/>
      <c r="F636" s="10"/>
      <c r="G636" s="19"/>
      <c r="H636" s="18"/>
      <c r="I636" s="13"/>
      <c r="J636" s="14"/>
      <c r="K636" s="8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</row>
    <row r="637" ht="22.5" customHeight="1">
      <c r="A637" s="7"/>
      <c r="B637" s="8"/>
      <c r="C637" s="8"/>
      <c r="D637" s="8"/>
      <c r="E637" s="16"/>
      <c r="F637" s="10"/>
      <c r="G637" s="19"/>
      <c r="H637" s="18"/>
      <c r="I637" s="13"/>
      <c r="J637" s="14"/>
      <c r="K637" s="8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</row>
    <row r="638" ht="22.5" customHeight="1">
      <c r="A638" s="7"/>
      <c r="B638" s="8"/>
      <c r="C638" s="8"/>
      <c r="D638" s="8"/>
      <c r="E638" s="16"/>
      <c r="F638" s="10"/>
      <c r="G638" s="19"/>
      <c r="H638" s="18"/>
      <c r="I638" s="13"/>
      <c r="J638" s="14"/>
      <c r="K638" s="8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</row>
    <row r="639" ht="22.5" customHeight="1">
      <c r="A639" s="7"/>
      <c r="B639" s="8"/>
      <c r="C639" s="8"/>
      <c r="D639" s="8"/>
      <c r="E639" s="16"/>
      <c r="F639" s="10"/>
      <c r="G639" s="19"/>
      <c r="H639" s="18"/>
      <c r="I639" s="13"/>
      <c r="J639" s="14"/>
      <c r="K639" s="8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</row>
    <row r="640" ht="22.5" customHeight="1">
      <c r="A640" s="7"/>
      <c r="B640" s="8"/>
      <c r="C640" s="8"/>
      <c r="D640" s="8"/>
      <c r="E640" s="16"/>
      <c r="F640" s="10"/>
      <c r="G640" s="19"/>
      <c r="H640" s="18"/>
      <c r="I640" s="13"/>
      <c r="J640" s="14"/>
      <c r="K640" s="8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</row>
    <row r="641" ht="22.5" customHeight="1">
      <c r="A641" s="7"/>
      <c r="B641" s="8"/>
      <c r="C641" s="8"/>
      <c r="D641" s="8"/>
      <c r="E641" s="16"/>
      <c r="F641" s="10"/>
      <c r="G641" s="19"/>
      <c r="H641" s="18"/>
      <c r="I641" s="13"/>
      <c r="J641" s="14"/>
      <c r="K641" s="8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</row>
    <row r="642" ht="22.5" customHeight="1">
      <c r="A642" s="7"/>
      <c r="B642" s="8"/>
      <c r="C642" s="8"/>
      <c r="D642" s="8"/>
      <c r="E642" s="16"/>
      <c r="F642" s="10"/>
      <c r="G642" s="19"/>
      <c r="H642" s="18"/>
      <c r="I642" s="13"/>
      <c r="J642" s="14"/>
      <c r="K642" s="8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</row>
    <row r="643" ht="22.5" customHeight="1">
      <c r="A643" s="7"/>
      <c r="B643" s="8"/>
      <c r="C643" s="8"/>
      <c r="D643" s="8"/>
      <c r="E643" s="16"/>
      <c r="F643" s="10"/>
      <c r="G643" s="19"/>
      <c r="H643" s="18"/>
      <c r="I643" s="13"/>
      <c r="J643" s="14"/>
      <c r="K643" s="8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</row>
    <row r="644" ht="22.5" customHeight="1">
      <c r="A644" s="7"/>
      <c r="B644" s="8"/>
      <c r="C644" s="8"/>
      <c r="D644" s="8"/>
      <c r="E644" s="16"/>
      <c r="F644" s="10"/>
      <c r="G644" s="19"/>
      <c r="H644" s="18"/>
      <c r="I644" s="13"/>
      <c r="J644" s="14"/>
      <c r="K644" s="8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</row>
    <row r="645" ht="22.5" customHeight="1">
      <c r="A645" s="7"/>
      <c r="B645" s="8"/>
      <c r="C645" s="8"/>
      <c r="D645" s="8"/>
      <c r="E645" s="16"/>
      <c r="F645" s="10"/>
      <c r="G645" s="19"/>
      <c r="H645" s="18"/>
      <c r="I645" s="13"/>
      <c r="J645" s="14"/>
      <c r="K645" s="8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</row>
    <row r="646" ht="22.5" customHeight="1">
      <c r="A646" s="7"/>
      <c r="B646" s="8"/>
      <c r="C646" s="8"/>
      <c r="D646" s="8"/>
      <c r="E646" s="16"/>
      <c r="F646" s="10"/>
      <c r="G646" s="19"/>
      <c r="H646" s="18"/>
      <c r="I646" s="13"/>
      <c r="J646" s="14"/>
      <c r="K646" s="8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</row>
    <row r="647" ht="22.5" customHeight="1">
      <c r="A647" s="7"/>
      <c r="B647" s="8"/>
      <c r="C647" s="8"/>
      <c r="D647" s="8"/>
      <c r="E647" s="16"/>
      <c r="F647" s="10"/>
      <c r="G647" s="19"/>
      <c r="H647" s="18"/>
      <c r="I647" s="13"/>
      <c r="J647" s="14"/>
      <c r="K647" s="8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</row>
    <row r="648" ht="22.5" customHeight="1">
      <c r="A648" s="7"/>
      <c r="B648" s="8"/>
      <c r="C648" s="8"/>
      <c r="D648" s="8"/>
      <c r="E648" s="16"/>
      <c r="F648" s="10"/>
      <c r="G648" s="19"/>
      <c r="H648" s="18"/>
      <c r="I648" s="13"/>
      <c r="J648" s="14"/>
      <c r="K648" s="8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</row>
    <row r="649" ht="22.5" customHeight="1">
      <c r="A649" s="7"/>
      <c r="B649" s="8"/>
      <c r="C649" s="8"/>
      <c r="D649" s="8"/>
      <c r="E649" s="16"/>
      <c r="F649" s="10"/>
      <c r="G649" s="19"/>
      <c r="H649" s="18"/>
      <c r="I649" s="13"/>
      <c r="J649" s="14"/>
      <c r="K649" s="8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</row>
    <row r="650" ht="22.5" customHeight="1">
      <c r="A650" s="7"/>
      <c r="B650" s="8"/>
      <c r="C650" s="8"/>
      <c r="D650" s="8"/>
      <c r="E650" s="16"/>
      <c r="F650" s="10"/>
      <c r="G650" s="19"/>
      <c r="H650" s="18"/>
      <c r="I650" s="13"/>
      <c r="J650" s="14"/>
      <c r="K650" s="8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</row>
    <row r="651" ht="22.5" customHeight="1">
      <c r="A651" s="7"/>
      <c r="B651" s="8"/>
      <c r="C651" s="8"/>
      <c r="D651" s="8"/>
      <c r="E651" s="16"/>
      <c r="F651" s="10"/>
      <c r="G651" s="19"/>
      <c r="H651" s="18"/>
      <c r="I651" s="13"/>
      <c r="J651" s="14"/>
      <c r="K651" s="8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</row>
    <row r="652" ht="22.5" customHeight="1">
      <c r="A652" s="7"/>
      <c r="B652" s="8"/>
      <c r="C652" s="8"/>
      <c r="D652" s="8"/>
      <c r="E652" s="16"/>
      <c r="F652" s="10"/>
      <c r="G652" s="19"/>
      <c r="H652" s="18"/>
      <c r="I652" s="13"/>
      <c r="J652" s="14"/>
      <c r="K652" s="8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</row>
    <row r="653" ht="22.5" customHeight="1">
      <c r="A653" s="7"/>
      <c r="B653" s="8"/>
      <c r="C653" s="8"/>
      <c r="D653" s="8"/>
      <c r="E653" s="16"/>
      <c r="F653" s="10"/>
      <c r="G653" s="19"/>
      <c r="H653" s="18"/>
      <c r="I653" s="13"/>
      <c r="J653" s="14"/>
      <c r="K653" s="8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</row>
    <row r="654" ht="22.5" customHeight="1">
      <c r="A654" s="7"/>
      <c r="B654" s="8"/>
      <c r="C654" s="8"/>
      <c r="D654" s="8"/>
      <c r="E654" s="16"/>
      <c r="F654" s="10"/>
      <c r="G654" s="19"/>
      <c r="H654" s="18"/>
      <c r="I654" s="13"/>
      <c r="J654" s="14"/>
      <c r="K654" s="8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</row>
    <row r="655" ht="22.5" customHeight="1">
      <c r="A655" s="7"/>
      <c r="B655" s="8"/>
      <c r="C655" s="8"/>
      <c r="D655" s="8"/>
      <c r="E655" s="16"/>
      <c r="F655" s="10"/>
      <c r="G655" s="19"/>
      <c r="H655" s="18"/>
      <c r="I655" s="13"/>
      <c r="J655" s="14"/>
      <c r="K655" s="8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</row>
    <row r="656" ht="22.5" customHeight="1">
      <c r="A656" s="7"/>
      <c r="B656" s="8"/>
      <c r="C656" s="8"/>
      <c r="D656" s="8"/>
      <c r="E656" s="16"/>
      <c r="F656" s="10"/>
      <c r="G656" s="19"/>
      <c r="H656" s="18"/>
      <c r="I656" s="13"/>
      <c r="J656" s="14"/>
      <c r="K656" s="8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</row>
    <row r="657" ht="22.5" customHeight="1">
      <c r="A657" s="7"/>
      <c r="B657" s="8"/>
      <c r="C657" s="8"/>
      <c r="D657" s="8"/>
      <c r="E657" s="16"/>
      <c r="F657" s="10"/>
      <c r="G657" s="19"/>
      <c r="H657" s="18"/>
      <c r="I657" s="13"/>
      <c r="J657" s="14"/>
      <c r="K657" s="8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</row>
    <row r="658" ht="22.5" customHeight="1">
      <c r="A658" s="7"/>
      <c r="B658" s="8"/>
      <c r="C658" s="8"/>
      <c r="D658" s="8"/>
      <c r="E658" s="16"/>
      <c r="F658" s="10"/>
      <c r="G658" s="19"/>
      <c r="H658" s="18"/>
      <c r="I658" s="13"/>
      <c r="J658" s="14"/>
      <c r="K658" s="8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</row>
    <row r="659" ht="22.5" customHeight="1">
      <c r="A659" s="7"/>
      <c r="B659" s="8"/>
      <c r="C659" s="8"/>
      <c r="D659" s="8"/>
      <c r="E659" s="16"/>
      <c r="F659" s="10"/>
      <c r="G659" s="19"/>
      <c r="H659" s="18"/>
      <c r="I659" s="13"/>
      <c r="J659" s="14"/>
      <c r="K659" s="8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</row>
    <row r="660" ht="22.5" customHeight="1">
      <c r="A660" s="7"/>
      <c r="B660" s="8"/>
      <c r="C660" s="8"/>
      <c r="D660" s="8"/>
      <c r="E660" s="16"/>
      <c r="F660" s="10"/>
      <c r="G660" s="19"/>
      <c r="H660" s="18"/>
      <c r="I660" s="13"/>
      <c r="J660" s="14"/>
      <c r="K660" s="8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</row>
    <row r="661" ht="22.5" customHeight="1">
      <c r="A661" s="7"/>
      <c r="B661" s="8"/>
      <c r="C661" s="8"/>
      <c r="D661" s="8"/>
      <c r="E661" s="16"/>
      <c r="F661" s="10"/>
      <c r="G661" s="19"/>
      <c r="H661" s="18"/>
      <c r="I661" s="13"/>
      <c r="J661" s="14"/>
      <c r="K661" s="8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</row>
    <row r="662" ht="22.5" customHeight="1">
      <c r="A662" s="7"/>
      <c r="B662" s="8"/>
      <c r="C662" s="8"/>
      <c r="D662" s="8"/>
      <c r="E662" s="16"/>
      <c r="F662" s="10"/>
      <c r="G662" s="19"/>
      <c r="H662" s="18"/>
      <c r="I662" s="13"/>
      <c r="J662" s="14"/>
      <c r="K662" s="8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</row>
    <row r="663" ht="22.5" customHeight="1">
      <c r="A663" s="7"/>
      <c r="B663" s="8"/>
      <c r="C663" s="8"/>
      <c r="D663" s="8"/>
      <c r="E663" s="16"/>
      <c r="F663" s="10"/>
      <c r="G663" s="19"/>
      <c r="H663" s="18"/>
      <c r="I663" s="13"/>
      <c r="J663" s="14"/>
      <c r="K663" s="8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</row>
    <row r="664" ht="22.5" customHeight="1">
      <c r="A664" s="7"/>
      <c r="B664" s="8"/>
      <c r="C664" s="8"/>
      <c r="D664" s="8"/>
      <c r="E664" s="16"/>
      <c r="F664" s="10"/>
      <c r="G664" s="19"/>
      <c r="H664" s="18"/>
      <c r="I664" s="13"/>
      <c r="J664" s="14"/>
      <c r="K664" s="8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</row>
    <row r="665" ht="22.5" customHeight="1">
      <c r="A665" s="7"/>
      <c r="B665" s="8"/>
      <c r="C665" s="8"/>
      <c r="D665" s="8"/>
      <c r="E665" s="16"/>
      <c r="F665" s="10"/>
      <c r="G665" s="19"/>
      <c r="H665" s="18"/>
      <c r="I665" s="13"/>
      <c r="J665" s="14"/>
      <c r="K665" s="8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</row>
    <row r="666" ht="22.5" customHeight="1">
      <c r="A666" s="7"/>
      <c r="B666" s="8"/>
      <c r="C666" s="8"/>
      <c r="D666" s="8"/>
      <c r="E666" s="16"/>
      <c r="F666" s="10"/>
      <c r="G666" s="19"/>
      <c r="H666" s="18"/>
      <c r="I666" s="13"/>
      <c r="J666" s="14"/>
      <c r="K666" s="8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</row>
    <row r="667" ht="22.5" customHeight="1">
      <c r="A667" s="7"/>
      <c r="B667" s="8"/>
      <c r="C667" s="8"/>
      <c r="D667" s="8"/>
      <c r="E667" s="16"/>
      <c r="F667" s="10"/>
      <c r="G667" s="19"/>
      <c r="H667" s="18"/>
      <c r="I667" s="13"/>
      <c r="J667" s="14"/>
      <c r="K667" s="8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</row>
    <row r="668" ht="22.5" customHeight="1">
      <c r="A668" s="7"/>
      <c r="B668" s="8"/>
      <c r="C668" s="8"/>
      <c r="D668" s="8"/>
      <c r="E668" s="16"/>
      <c r="F668" s="10"/>
      <c r="G668" s="19"/>
      <c r="H668" s="18"/>
      <c r="I668" s="13"/>
      <c r="J668" s="14"/>
      <c r="K668" s="8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</row>
    <row r="669" ht="22.5" customHeight="1">
      <c r="A669" s="7"/>
      <c r="B669" s="8"/>
      <c r="C669" s="8"/>
      <c r="D669" s="8"/>
      <c r="E669" s="16"/>
      <c r="F669" s="10"/>
      <c r="G669" s="19"/>
      <c r="H669" s="18"/>
      <c r="I669" s="13"/>
      <c r="J669" s="14"/>
      <c r="K669" s="8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</row>
    <row r="670" ht="22.5" customHeight="1">
      <c r="A670" s="7"/>
      <c r="B670" s="8"/>
      <c r="C670" s="8"/>
      <c r="D670" s="8"/>
      <c r="E670" s="16"/>
      <c r="F670" s="10"/>
      <c r="G670" s="19"/>
      <c r="H670" s="18"/>
      <c r="I670" s="13"/>
      <c r="J670" s="14"/>
      <c r="K670" s="8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</row>
    <row r="671" ht="22.5" customHeight="1">
      <c r="A671" s="7"/>
      <c r="B671" s="8"/>
      <c r="C671" s="8"/>
      <c r="D671" s="8"/>
      <c r="E671" s="16"/>
      <c r="F671" s="10"/>
      <c r="G671" s="19"/>
      <c r="H671" s="18"/>
      <c r="I671" s="13"/>
      <c r="J671" s="14"/>
      <c r="K671" s="8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</row>
    <row r="672" ht="22.5" customHeight="1">
      <c r="A672" s="7"/>
      <c r="B672" s="8"/>
      <c r="C672" s="8"/>
      <c r="D672" s="8"/>
      <c r="E672" s="16"/>
      <c r="F672" s="10"/>
      <c r="G672" s="19"/>
      <c r="H672" s="18"/>
      <c r="I672" s="13"/>
      <c r="J672" s="14"/>
      <c r="K672" s="8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</row>
    <row r="673" ht="22.5" customHeight="1">
      <c r="A673" s="7"/>
      <c r="B673" s="8"/>
      <c r="C673" s="8"/>
      <c r="D673" s="8"/>
      <c r="E673" s="16"/>
      <c r="F673" s="10"/>
      <c r="G673" s="19"/>
      <c r="H673" s="18"/>
      <c r="I673" s="13"/>
      <c r="J673" s="14"/>
      <c r="K673" s="8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</row>
    <row r="674" ht="22.5" customHeight="1">
      <c r="A674" s="7"/>
      <c r="B674" s="8"/>
      <c r="C674" s="8"/>
      <c r="D674" s="8"/>
      <c r="E674" s="16"/>
      <c r="F674" s="10"/>
      <c r="G674" s="19"/>
      <c r="H674" s="18"/>
      <c r="I674" s="13"/>
      <c r="J674" s="14"/>
      <c r="K674" s="8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</row>
    <row r="675" ht="22.5" customHeight="1">
      <c r="A675" s="7"/>
      <c r="B675" s="8"/>
      <c r="C675" s="8"/>
      <c r="D675" s="8"/>
      <c r="E675" s="16"/>
      <c r="F675" s="10"/>
      <c r="G675" s="19"/>
      <c r="H675" s="18"/>
      <c r="I675" s="13"/>
      <c r="J675" s="14"/>
      <c r="K675" s="8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</row>
    <row r="676" ht="22.5" customHeight="1">
      <c r="A676" s="7"/>
      <c r="B676" s="8"/>
      <c r="C676" s="8"/>
      <c r="D676" s="8"/>
      <c r="E676" s="16"/>
      <c r="F676" s="10"/>
      <c r="G676" s="19"/>
      <c r="H676" s="18"/>
      <c r="I676" s="13"/>
      <c r="J676" s="14"/>
      <c r="K676" s="8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</row>
    <row r="677" ht="22.5" customHeight="1">
      <c r="A677" s="7"/>
      <c r="B677" s="8"/>
      <c r="C677" s="8"/>
      <c r="D677" s="8"/>
      <c r="E677" s="16"/>
      <c r="F677" s="10"/>
      <c r="G677" s="19"/>
      <c r="H677" s="18"/>
      <c r="I677" s="13"/>
      <c r="J677" s="14"/>
      <c r="K677" s="8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</row>
    <row r="678" ht="22.5" customHeight="1">
      <c r="A678" s="7"/>
      <c r="B678" s="8"/>
      <c r="C678" s="8"/>
      <c r="D678" s="8"/>
      <c r="E678" s="16"/>
      <c r="F678" s="10"/>
      <c r="G678" s="19"/>
      <c r="H678" s="18"/>
      <c r="I678" s="13"/>
      <c r="J678" s="14"/>
      <c r="K678" s="8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</row>
    <row r="679" ht="22.5" customHeight="1">
      <c r="A679" s="7"/>
      <c r="B679" s="8"/>
      <c r="C679" s="8"/>
      <c r="D679" s="8"/>
      <c r="E679" s="16"/>
      <c r="F679" s="10"/>
      <c r="G679" s="19"/>
      <c r="H679" s="18"/>
      <c r="I679" s="13"/>
      <c r="J679" s="14"/>
      <c r="K679" s="8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</row>
    <row r="680" ht="22.5" customHeight="1">
      <c r="A680" s="7"/>
      <c r="B680" s="8"/>
      <c r="C680" s="8"/>
      <c r="D680" s="8"/>
      <c r="E680" s="16"/>
      <c r="F680" s="10"/>
      <c r="G680" s="19"/>
      <c r="H680" s="18"/>
      <c r="I680" s="13"/>
      <c r="J680" s="14"/>
      <c r="K680" s="8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</row>
    <row r="681" ht="22.5" customHeight="1">
      <c r="A681" s="7"/>
      <c r="B681" s="8"/>
      <c r="C681" s="8"/>
      <c r="D681" s="8"/>
      <c r="E681" s="16"/>
      <c r="F681" s="10"/>
      <c r="G681" s="19"/>
      <c r="H681" s="18"/>
      <c r="I681" s="13"/>
      <c r="J681" s="14"/>
      <c r="K681" s="8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</row>
    <row r="682" ht="22.5" customHeight="1">
      <c r="A682" s="7"/>
      <c r="B682" s="8"/>
      <c r="C682" s="8"/>
      <c r="D682" s="8"/>
      <c r="E682" s="16"/>
      <c r="F682" s="10"/>
      <c r="G682" s="19"/>
      <c r="H682" s="18"/>
      <c r="I682" s="13"/>
      <c r="J682" s="14"/>
      <c r="K682" s="8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</row>
    <row r="683" ht="22.5" customHeight="1">
      <c r="A683" s="7"/>
      <c r="B683" s="8"/>
      <c r="C683" s="8"/>
      <c r="D683" s="8"/>
      <c r="E683" s="16"/>
      <c r="F683" s="10"/>
      <c r="G683" s="19"/>
      <c r="H683" s="18"/>
      <c r="I683" s="13"/>
      <c r="J683" s="14"/>
      <c r="K683" s="8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</row>
    <row r="684" ht="22.5" customHeight="1">
      <c r="A684" s="7"/>
      <c r="B684" s="8"/>
      <c r="C684" s="8"/>
      <c r="D684" s="8"/>
      <c r="E684" s="16"/>
      <c r="F684" s="10"/>
      <c r="G684" s="19"/>
      <c r="H684" s="18"/>
      <c r="I684" s="13"/>
      <c r="J684" s="14"/>
      <c r="K684" s="8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</row>
    <row r="685" ht="22.5" customHeight="1">
      <c r="A685" s="7"/>
      <c r="B685" s="8"/>
      <c r="C685" s="8"/>
      <c r="D685" s="8"/>
      <c r="E685" s="16"/>
      <c r="F685" s="10"/>
      <c r="G685" s="19"/>
      <c r="H685" s="18"/>
      <c r="I685" s="13"/>
      <c r="J685" s="14"/>
      <c r="K685" s="8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</row>
    <row r="686" ht="22.5" customHeight="1">
      <c r="A686" s="7"/>
      <c r="B686" s="8"/>
      <c r="C686" s="8"/>
      <c r="D686" s="8"/>
      <c r="E686" s="16"/>
      <c r="F686" s="10"/>
      <c r="G686" s="19"/>
      <c r="H686" s="18"/>
      <c r="I686" s="13"/>
      <c r="J686" s="14"/>
      <c r="K686" s="8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</row>
    <row r="687" ht="22.5" customHeight="1">
      <c r="A687" s="7"/>
      <c r="B687" s="8"/>
      <c r="C687" s="8"/>
      <c r="D687" s="8"/>
      <c r="E687" s="16"/>
      <c r="F687" s="10"/>
      <c r="G687" s="19"/>
      <c r="H687" s="18"/>
      <c r="I687" s="13"/>
      <c r="J687" s="14"/>
      <c r="K687" s="8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</row>
    <row r="688" ht="22.5" customHeight="1">
      <c r="A688" s="7"/>
      <c r="B688" s="8"/>
      <c r="C688" s="8"/>
      <c r="D688" s="8"/>
      <c r="E688" s="16"/>
      <c r="F688" s="10"/>
      <c r="G688" s="19"/>
      <c r="H688" s="18"/>
      <c r="I688" s="13"/>
      <c r="J688" s="14"/>
      <c r="K688" s="8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</row>
    <row r="689" ht="22.5" customHeight="1">
      <c r="A689" s="7"/>
      <c r="B689" s="8"/>
      <c r="C689" s="8"/>
      <c r="D689" s="8"/>
      <c r="E689" s="16"/>
      <c r="F689" s="10"/>
      <c r="G689" s="19"/>
      <c r="H689" s="18"/>
      <c r="I689" s="13"/>
      <c r="J689" s="14"/>
      <c r="K689" s="8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</row>
    <row r="690" ht="22.5" customHeight="1">
      <c r="A690" s="7"/>
      <c r="B690" s="8"/>
      <c r="C690" s="8"/>
      <c r="D690" s="8"/>
      <c r="E690" s="16"/>
      <c r="F690" s="10"/>
      <c r="G690" s="19"/>
      <c r="H690" s="18"/>
      <c r="I690" s="13"/>
      <c r="J690" s="14"/>
      <c r="K690" s="8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</row>
    <row r="691" ht="22.5" customHeight="1">
      <c r="A691" s="7"/>
      <c r="B691" s="8"/>
      <c r="C691" s="8"/>
      <c r="D691" s="8"/>
      <c r="E691" s="16"/>
      <c r="F691" s="10"/>
      <c r="G691" s="19"/>
      <c r="H691" s="18"/>
      <c r="I691" s="13"/>
      <c r="J691" s="14"/>
      <c r="K691" s="8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</row>
    <row r="692" ht="22.5" customHeight="1">
      <c r="A692" s="7"/>
      <c r="B692" s="8"/>
      <c r="C692" s="8"/>
      <c r="D692" s="8"/>
      <c r="E692" s="16"/>
      <c r="F692" s="10"/>
      <c r="G692" s="19"/>
      <c r="H692" s="18"/>
      <c r="I692" s="13"/>
      <c r="J692" s="14"/>
      <c r="K692" s="8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</row>
    <row r="693" ht="22.5" customHeight="1">
      <c r="A693" s="7"/>
      <c r="B693" s="8"/>
      <c r="C693" s="8"/>
      <c r="D693" s="8"/>
      <c r="E693" s="16"/>
      <c r="F693" s="10"/>
      <c r="G693" s="19"/>
      <c r="H693" s="18"/>
      <c r="I693" s="13"/>
      <c r="J693" s="14"/>
      <c r="K693" s="8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</row>
    <row r="694" ht="22.5" customHeight="1">
      <c r="A694" s="7"/>
      <c r="B694" s="8"/>
      <c r="C694" s="8"/>
      <c r="D694" s="8"/>
      <c r="E694" s="16"/>
      <c r="F694" s="10"/>
      <c r="G694" s="19"/>
      <c r="H694" s="18"/>
      <c r="I694" s="13"/>
      <c r="J694" s="14"/>
      <c r="K694" s="8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</row>
    <row r="695" ht="22.5" customHeight="1">
      <c r="A695" s="7"/>
      <c r="B695" s="8"/>
      <c r="C695" s="8"/>
      <c r="D695" s="8"/>
      <c r="E695" s="16"/>
      <c r="F695" s="10"/>
      <c r="G695" s="19"/>
      <c r="H695" s="18"/>
      <c r="I695" s="13"/>
      <c r="J695" s="14"/>
      <c r="K695" s="8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</row>
    <row r="696" ht="22.5" customHeight="1">
      <c r="A696" s="7"/>
      <c r="B696" s="8"/>
      <c r="C696" s="8"/>
      <c r="D696" s="8"/>
      <c r="E696" s="16"/>
      <c r="F696" s="10"/>
      <c r="G696" s="19"/>
      <c r="H696" s="18"/>
      <c r="I696" s="13"/>
      <c r="J696" s="14"/>
      <c r="K696" s="8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</row>
    <row r="697" ht="22.5" customHeight="1">
      <c r="A697" s="7"/>
      <c r="B697" s="8"/>
      <c r="C697" s="8"/>
      <c r="D697" s="8"/>
      <c r="E697" s="16"/>
      <c r="F697" s="10"/>
      <c r="G697" s="19"/>
      <c r="H697" s="18"/>
      <c r="I697" s="13"/>
      <c r="J697" s="14"/>
      <c r="K697" s="8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</row>
    <row r="698" ht="22.5" customHeight="1">
      <c r="A698" s="7"/>
      <c r="B698" s="8"/>
      <c r="C698" s="8"/>
      <c r="D698" s="8"/>
      <c r="E698" s="16"/>
      <c r="F698" s="10"/>
      <c r="G698" s="19"/>
      <c r="H698" s="18"/>
      <c r="I698" s="13"/>
      <c r="J698" s="14"/>
      <c r="K698" s="8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</row>
    <row r="699" ht="22.5" customHeight="1">
      <c r="A699" s="7"/>
      <c r="B699" s="8"/>
      <c r="C699" s="8"/>
      <c r="D699" s="8"/>
      <c r="E699" s="16"/>
      <c r="F699" s="10"/>
      <c r="G699" s="19"/>
      <c r="H699" s="18"/>
      <c r="I699" s="13"/>
      <c r="J699" s="14"/>
      <c r="K699" s="8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</row>
    <row r="700" ht="22.5" customHeight="1">
      <c r="A700" s="7"/>
      <c r="B700" s="8"/>
      <c r="C700" s="8"/>
      <c r="D700" s="8"/>
      <c r="E700" s="16"/>
      <c r="F700" s="10"/>
      <c r="G700" s="19"/>
      <c r="H700" s="18"/>
      <c r="I700" s="13"/>
      <c r="J700" s="14"/>
      <c r="K700" s="8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</row>
    <row r="701" ht="22.5" customHeight="1">
      <c r="A701" s="7"/>
      <c r="B701" s="8"/>
      <c r="C701" s="8"/>
      <c r="D701" s="8"/>
      <c r="E701" s="16"/>
      <c r="F701" s="10"/>
      <c r="G701" s="19"/>
      <c r="H701" s="18"/>
      <c r="I701" s="13"/>
      <c r="J701" s="14"/>
      <c r="K701" s="8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</row>
    <row r="702" ht="22.5" customHeight="1">
      <c r="A702" s="7"/>
      <c r="B702" s="8"/>
      <c r="C702" s="8"/>
      <c r="D702" s="8"/>
      <c r="E702" s="16"/>
      <c r="F702" s="10"/>
      <c r="G702" s="19"/>
      <c r="H702" s="18"/>
      <c r="I702" s="13"/>
      <c r="J702" s="14"/>
      <c r="K702" s="8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</row>
    <row r="703" ht="22.5" customHeight="1">
      <c r="A703" s="7"/>
      <c r="B703" s="8"/>
      <c r="C703" s="8"/>
      <c r="D703" s="8"/>
      <c r="E703" s="16"/>
      <c r="F703" s="10"/>
      <c r="G703" s="19"/>
      <c r="H703" s="18"/>
      <c r="I703" s="13"/>
      <c r="J703" s="14"/>
      <c r="K703" s="8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</row>
    <row r="704" ht="22.5" customHeight="1">
      <c r="A704" s="7"/>
      <c r="B704" s="8"/>
      <c r="C704" s="8"/>
      <c r="D704" s="8"/>
      <c r="E704" s="16"/>
      <c r="F704" s="10"/>
      <c r="G704" s="19"/>
      <c r="H704" s="18"/>
      <c r="I704" s="13"/>
      <c r="J704" s="14"/>
      <c r="K704" s="8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</row>
    <row r="705" ht="22.5" customHeight="1">
      <c r="A705" s="7"/>
      <c r="B705" s="8"/>
      <c r="C705" s="8"/>
      <c r="D705" s="8"/>
      <c r="E705" s="16"/>
      <c r="F705" s="10"/>
      <c r="G705" s="19"/>
      <c r="H705" s="18"/>
      <c r="I705" s="13"/>
      <c r="J705" s="14"/>
      <c r="K705" s="8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</row>
    <row r="706" ht="22.5" customHeight="1">
      <c r="A706" s="7"/>
      <c r="B706" s="8"/>
      <c r="C706" s="8"/>
      <c r="D706" s="8"/>
      <c r="E706" s="16"/>
      <c r="F706" s="10"/>
      <c r="G706" s="19"/>
      <c r="H706" s="18"/>
      <c r="I706" s="13"/>
      <c r="J706" s="14"/>
      <c r="K706" s="8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</row>
    <row r="707" ht="22.5" customHeight="1">
      <c r="A707" s="7"/>
      <c r="B707" s="8"/>
      <c r="C707" s="8"/>
      <c r="D707" s="8"/>
      <c r="E707" s="16"/>
      <c r="F707" s="10"/>
      <c r="G707" s="19"/>
      <c r="H707" s="18"/>
      <c r="I707" s="13"/>
      <c r="J707" s="14"/>
      <c r="K707" s="8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</row>
    <row r="708" ht="22.5" customHeight="1">
      <c r="A708" s="7"/>
      <c r="B708" s="8"/>
      <c r="C708" s="8"/>
      <c r="D708" s="8"/>
      <c r="E708" s="16"/>
      <c r="F708" s="10"/>
      <c r="G708" s="19"/>
      <c r="H708" s="18"/>
      <c r="I708" s="13"/>
      <c r="J708" s="14"/>
      <c r="K708" s="8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</row>
    <row r="709" ht="22.5" customHeight="1">
      <c r="A709" s="7"/>
      <c r="B709" s="8"/>
      <c r="C709" s="8"/>
      <c r="D709" s="8"/>
      <c r="E709" s="16"/>
      <c r="F709" s="10"/>
      <c r="G709" s="19"/>
      <c r="H709" s="18"/>
      <c r="I709" s="13"/>
      <c r="J709" s="14"/>
      <c r="K709" s="8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</row>
    <row r="710" ht="22.5" customHeight="1">
      <c r="A710" s="7"/>
      <c r="B710" s="8"/>
      <c r="C710" s="8"/>
      <c r="D710" s="8"/>
      <c r="E710" s="16"/>
      <c r="F710" s="10"/>
      <c r="G710" s="19"/>
      <c r="H710" s="18"/>
      <c r="I710" s="13"/>
      <c r="J710" s="14"/>
      <c r="K710" s="8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</row>
    <row r="711" ht="22.5" customHeight="1">
      <c r="A711" s="7"/>
      <c r="B711" s="8"/>
      <c r="C711" s="8"/>
      <c r="D711" s="8"/>
      <c r="E711" s="16"/>
      <c r="F711" s="10"/>
      <c r="G711" s="19"/>
      <c r="H711" s="18"/>
      <c r="I711" s="13"/>
      <c r="J711" s="14"/>
      <c r="K711" s="8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</row>
    <row r="712" ht="22.5" customHeight="1">
      <c r="A712" s="7"/>
      <c r="B712" s="8"/>
      <c r="C712" s="8"/>
      <c r="D712" s="8"/>
      <c r="E712" s="16"/>
      <c r="F712" s="10"/>
      <c r="G712" s="19"/>
      <c r="H712" s="18"/>
      <c r="I712" s="13"/>
      <c r="J712" s="14"/>
      <c r="K712" s="8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</row>
    <row r="713" ht="22.5" customHeight="1">
      <c r="A713" s="7"/>
      <c r="B713" s="8"/>
      <c r="C713" s="8"/>
      <c r="D713" s="8"/>
      <c r="E713" s="16"/>
      <c r="F713" s="10"/>
      <c r="G713" s="19"/>
      <c r="H713" s="18"/>
      <c r="I713" s="13"/>
      <c r="J713" s="14"/>
      <c r="K713" s="8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</row>
    <row r="714" ht="22.5" customHeight="1">
      <c r="A714" s="7"/>
      <c r="B714" s="8"/>
      <c r="C714" s="8"/>
      <c r="D714" s="8"/>
      <c r="E714" s="16"/>
      <c r="F714" s="10"/>
      <c r="G714" s="19"/>
      <c r="H714" s="18"/>
      <c r="I714" s="13"/>
      <c r="J714" s="14"/>
      <c r="K714" s="8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</row>
    <row r="715" ht="22.5" customHeight="1">
      <c r="A715" s="7"/>
      <c r="B715" s="8"/>
      <c r="C715" s="8"/>
      <c r="D715" s="8"/>
      <c r="E715" s="16"/>
      <c r="F715" s="10"/>
      <c r="G715" s="19"/>
      <c r="H715" s="18"/>
      <c r="I715" s="13"/>
      <c r="J715" s="14"/>
      <c r="K715" s="8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</row>
    <row r="716" ht="22.5" customHeight="1">
      <c r="A716" s="7"/>
      <c r="B716" s="8"/>
      <c r="C716" s="8"/>
      <c r="D716" s="8"/>
      <c r="E716" s="16"/>
      <c r="F716" s="10"/>
      <c r="G716" s="19"/>
      <c r="H716" s="18"/>
      <c r="I716" s="13"/>
      <c r="J716" s="14"/>
      <c r="K716" s="8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</row>
    <row r="717" ht="22.5" customHeight="1">
      <c r="A717" s="7"/>
      <c r="B717" s="8"/>
      <c r="C717" s="8"/>
      <c r="D717" s="8"/>
      <c r="E717" s="16"/>
      <c r="F717" s="10"/>
      <c r="G717" s="19"/>
      <c r="H717" s="18"/>
      <c r="I717" s="13"/>
      <c r="J717" s="14"/>
      <c r="K717" s="8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</row>
    <row r="718" ht="22.5" customHeight="1">
      <c r="A718" s="7"/>
      <c r="B718" s="8"/>
      <c r="C718" s="8"/>
      <c r="D718" s="8"/>
      <c r="E718" s="16"/>
      <c r="F718" s="10"/>
      <c r="G718" s="19"/>
      <c r="H718" s="18"/>
      <c r="I718" s="13"/>
      <c r="J718" s="14"/>
      <c r="K718" s="8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</row>
    <row r="719" ht="22.5" customHeight="1">
      <c r="A719" s="7"/>
      <c r="B719" s="8"/>
      <c r="C719" s="8"/>
      <c r="D719" s="8"/>
      <c r="E719" s="16"/>
      <c r="F719" s="10"/>
      <c r="G719" s="19"/>
      <c r="H719" s="18"/>
      <c r="I719" s="13"/>
      <c r="J719" s="14"/>
      <c r="K719" s="8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</row>
    <row r="720" ht="22.5" customHeight="1">
      <c r="A720" s="7"/>
      <c r="B720" s="8"/>
      <c r="C720" s="8"/>
      <c r="D720" s="8"/>
      <c r="E720" s="16"/>
      <c r="F720" s="10"/>
      <c r="G720" s="19"/>
      <c r="H720" s="18"/>
      <c r="I720" s="13"/>
      <c r="J720" s="14"/>
      <c r="K720" s="8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</row>
    <row r="721" ht="22.5" customHeight="1">
      <c r="A721" s="7"/>
      <c r="B721" s="8"/>
      <c r="C721" s="8"/>
      <c r="D721" s="8"/>
      <c r="E721" s="16"/>
      <c r="F721" s="10"/>
      <c r="G721" s="19"/>
      <c r="H721" s="18"/>
      <c r="I721" s="13"/>
      <c r="J721" s="14"/>
      <c r="K721" s="8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</row>
    <row r="722" ht="22.5" customHeight="1">
      <c r="A722" s="7"/>
      <c r="B722" s="8"/>
      <c r="C722" s="8"/>
      <c r="D722" s="8"/>
      <c r="E722" s="16"/>
      <c r="F722" s="10"/>
      <c r="G722" s="19"/>
      <c r="H722" s="18"/>
      <c r="I722" s="13"/>
      <c r="J722" s="14"/>
      <c r="K722" s="8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</row>
    <row r="723" ht="22.5" customHeight="1">
      <c r="A723" s="7"/>
      <c r="B723" s="8"/>
      <c r="C723" s="8"/>
      <c r="D723" s="8"/>
      <c r="E723" s="16"/>
      <c r="F723" s="10"/>
      <c r="G723" s="19"/>
      <c r="H723" s="18"/>
      <c r="I723" s="13"/>
      <c r="J723" s="14"/>
      <c r="K723" s="8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</row>
    <row r="724" ht="22.5" customHeight="1">
      <c r="A724" s="7"/>
      <c r="B724" s="8"/>
      <c r="C724" s="8"/>
      <c r="D724" s="8"/>
      <c r="E724" s="16"/>
      <c r="F724" s="10"/>
      <c r="G724" s="19"/>
      <c r="H724" s="18"/>
      <c r="I724" s="13"/>
      <c r="J724" s="14"/>
      <c r="K724" s="8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</row>
    <row r="725" ht="22.5" customHeight="1">
      <c r="A725" s="7"/>
      <c r="B725" s="8"/>
      <c r="C725" s="8"/>
      <c r="D725" s="8"/>
      <c r="E725" s="16"/>
      <c r="F725" s="10"/>
      <c r="G725" s="19"/>
      <c r="H725" s="18"/>
      <c r="I725" s="13"/>
      <c r="J725" s="14"/>
      <c r="K725" s="8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</row>
    <row r="726" ht="22.5" customHeight="1">
      <c r="A726" s="7"/>
      <c r="B726" s="8"/>
      <c r="C726" s="8"/>
      <c r="D726" s="8"/>
      <c r="E726" s="16"/>
      <c r="F726" s="10"/>
      <c r="G726" s="19"/>
      <c r="H726" s="18"/>
      <c r="I726" s="13"/>
      <c r="J726" s="14"/>
      <c r="K726" s="8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</row>
    <row r="727" ht="22.5" customHeight="1">
      <c r="A727" s="7"/>
      <c r="B727" s="8"/>
      <c r="C727" s="8"/>
      <c r="D727" s="8"/>
      <c r="E727" s="16"/>
      <c r="F727" s="10"/>
      <c r="G727" s="19"/>
      <c r="H727" s="18"/>
      <c r="I727" s="13"/>
      <c r="J727" s="14"/>
      <c r="K727" s="8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</row>
    <row r="728" ht="22.5" customHeight="1">
      <c r="A728" s="7"/>
      <c r="B728" s="8"/>
      <c r="C728" s="8"/>
      <c r="D728" s="8"/>
      <c r="E728" s="16"/>
      <c r="F728" s="10"/>
      <c r="G728" s="19"/>
      <c r="H728" s="18"/>
      <c r="I728" s="13"/>
      <c r="J728" s="14"/>
      <c r="K728" s="8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</row>
    <row r="729" ht="22.5" customHeight="1">
      <c r="A729" s="7"/>
      <c r="B729" s="8"/>
      <c r="C729" s="8"/>
      <c r="D729" s="8"/>
      <c r="E729" s="16"/>
      <c r="F729" s="10"/>
      <c r="G729" s="19"/>
      <c r="H729" s="18"/>
      <c r="I729" s="13"/>
      <c r="J729" s="14"/>
      <c r="K729" s="8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</row>
    <row r="730" ht="22.5" customHeight="1">
      <c r="A730" s="7"/>
      <c r="B730" s="8"/>
      <c r="C730" s="8"/>
      <c r="D730" s="8"/>
      <c r="E730" s="16"/>
      <c r="F730" s="10"/>
      <c r="G730" s="19"/>
      <c r="H730" s="18"/>
      <c r="I730" s="13"/>
      <c r="J730" s="14"/>
      <c r="K730" s="8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</row>
    <row r="731" ht="22.5" customHeight="1">
      <c r="A731" s="7"/>
      <c r="B731" s="8"/>
      <c r="C731" s="8"/>
      <c r="D731" s="8"/>
      <c r="E731" s="16"/>
      <c r="F731" s="10"/>
      <c r="G731" s="19"/>
      <c r="H731" s="18"/>
      <c r="I731" s="13"/>
      <c r="J731" s="14"/>
      <c r="K731" s="8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</row>
    <row r="732" ht="22.5" customHeight="1">
      <c r="A732" s="7"/>
      <c r="B732" s="8"/>
      <c r="C732" s="8"/>
      <c r="D732" s="8"/>
      <c r="E732" s="16"/>
      <c r="F732" s="10"/>
      <c r="G732" s="19"/>
      <c r="H732" s="18"/>
      <c r="I732" s="13"/>
      <c r="J732" s="14"/>
      <c r="K732" s="8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</row>
    <row r="733" ht="22.5" customHeight="1">
      <c r="A733" s="7"/>
      <c r="B733" s="8"/>
      <c r="C733" s="8"/>
      <c r="D733" s="8"/>
      <c r="E733" s="16"/>
      <c r="F733" s="10"/>
      <c r="G733" s="19"/>
      <c r="H733" s="18"/>
      <c r="I733" s="13"/>
      <c r="J733" s="14"/>
      <c r="K733" s="8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</row>
    <row r="734" ht="22.5" customHeight="1">
      <c r="A734" s="7"/>
      <c r="B734" s="8"/>
      <c r="C734" s="8"/>
      <c r="D734" s="8"/>
      <c r="E734" s="16"/>
      <c r="F734" s="10"/>
      <c r="G734" s="19"/>
      <c r="H734" s="18"/>
      <c r="I734" s="13"/>
      <c r="J734" s="14"/>
      <c r="K734" s="8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</row>
    <row r="735" ht="22.5" customHeight="1">
      <c r="A735" s="7"/>
      <c r="B735" s="8"/>
      <c r="C735" s="8"/>
      <c r="D735" s="8"/>
      <c r="E735" s="16"/>
      <c r="F735" s="10"/>
      <c r="G735" s="19"/>
      <c r="H735" s="18"/>
      <c r="I735" s="13"/>
      <c r="J735" s="14"/>
      <c r="K735" s="8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</row>
    <row r="736" ht="22.5" customHeight="1">
      <c r="A736" s="7"/>
      <c r="B736" s="8"/>
      <c r="C736" s="8"/>
      <c r="D736" s="8"/>
      <c r="E736" s="16"/>
      <c r="F736" s="10"/>
      <c r="G736" s="19"/>
      <c r="H736" s="18"/>
      <c r="I736" s="13"/>
      <c r="J736" s="14"/>
      <c r="K736" s="8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</row>
    <row r="737" ht="22.5" customHeight="1">
      <c r="A737" s="7"/>
      <c r="B737" s="8"/>
      <c r="C737" s="8"/>
      <c r="D737" s="8"/>
      <c r="E737" s="16"/>
      <c r="F737" s="10"/>
      <c r="G737" s="19"/>
      <c r="H737" s="18"/>
      <c r="I737" s="13"/>
      <c r="J737" s="14"/>
      <c r="K737" s="8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</row>
    <row r="738" ht="22.5" customHeight="1">
      <c r="A738" s="7"/>
      <c r="B738" s="8"/>
      <c r="C738" s="8"/>
      <c r="D738" s="8"/>
      <c r="E738" s="16"/>
      <c r="F738" s="10"/>
      <c r="G738" s="19"/>
      <c r="H738" s="18"/>
      <c r="I738" s="13"/>
      <c r="J738" s="14"/>
      <c r="K738" s="8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</row>
    <row r="739" ht="22.5" customHeight="1">
      <c r="A739" s="7"/>
      <c r="B739" s="8"/>
      <c r="C739" s="8"/>
      <c r="D739" s="8"/>
      <c r="E739" s="16"/>
      <c r="F739" s="10"/>
      <c r="G739" s="19"/>
      <c r="H739" s="18"/>
      <c r="I739" s="13"/>
      <c r="J739" s="14"/>
      <c r="K739" s="8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</row>
    <row r="740" ht="22.5" customHeight="1">
      <c r="A740" s="7"/>
      <c r="B740" s="8"/>
      <c r="C740" s="8"/>
      <c r="D740" s="8"/>
      <c r="E740" s="16"/>
      <c r="F740" s="10"/>
      <c r="G740" s="19"/>
      <c r="H740" s="18"/>
      <c r="I740" s="13"/>
      <c r="J740" s="14"/>
      <c r="K740" s="8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</row>
    <row r="741" ht="22.5" customHeight="1">
      <c r="A741" s="7"/>
      <c r="B741" s="8"/>
      <c r="C741" s="8"/>
      <c r="D741" s="8"/>
      <c r="E741" s="16"/>
      <c r="F741" s="10"/>
      <c r="G741" s="19"/>
      <c r="H741" s="18"/>
      <c r="I741" s="13"/>
      <c r="J741" s="14"/>
      <c r="K741" s="8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</row>
    <row r="742" ht="22.5" customHeight="1">
      <c r="A742" s="7"/>
      <c r="B742" s="8"/>
      <c r="C742" s="8"/>
      <c r="D742" s="8"/>
      <c r="E742" s="16"/>
      <c r="F742" s="10"/>
      <c r="G742" s="19"/>
      <c r="H742" s="18"/>
      <c r="I742" s="13"/>
      <c r="J742" s="14"/>
      <c r="K742" s="8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</row>
    <row r="743" ht="22.5" customHeight="1">
      <c r="A743" s="7"/>
      <c r="B743" s="8"/>
      <c r="C743" s="8"/>
      <c r="D743" s="8"/>
      <c r="E743" s="16"/>
      <c r="F743" s="10"/>
      <c r="G743" s="19"/>
      <c r="H743" s="18"/>
      <c r="I743" s="13"/>
      <c r="J743" s="14"/>
      <c r="K743" s="8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</row>
    <row r="744" ht="22.5" customHeight="1">
      <c r="A744" s="7"/>
      <c r="B744" s="8"/>
      <c r="C744" s="8"/>
      <c r="D744" s="8"/>
      <c r="E744" s="16"/>
      <c r="F744" s="10"/>
      <c r="G744" s="19"/>
      <c r="H744" s="18"/>
      <c r="I744" s="13"/>
      <c r="J744" s="14"/>
      <c r="K744" s="8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</row>
    <row r="745" ht="22.5" customHeight="1">
      <c r="A745" s="7"/>
      <c r="B745" s="8"/>
      <c r="C745" s="8"/>
      <c r="D745" s="8"/>
      <c r="E745" s="16"/>
      <c r="F745" s="10"/>
      <c r="G745" s="19"/>
      <c r="H745" s="18"/>
      <c r="I745" s="13"/>
      <c r="J745" s="14"/>
      <c r="K745" s="8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</row>
    <row r="746" ht="22.5" customHeight="1">
      <c r="A746" s="7"/>
      <c r="B746" s="8"/>
      <c r="C746" s="8"/>
      <c r="D746" s="8"/>
      <c r="E746" s="16"/>
      <c r="F746" s="10"/>
      <c r="G746" s="19"/>
      <c r="H746" s="18"/>
      <c r="I746" s="13"/>
      <c r="J746" s="14"/>
      <c r="K746" s="8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</row>
    <row r="747" ht="22.5" customHeight="1">
      <c r="A747" s="7"/>
      <c r="B747" s="8"/>
      <c r="C747" s="8"/>
      <c r="D747" s="8"/>
      <c r="E747" s="16"/>
      <c r="F747" s="10"/>
      <c r="G747" s="19"/>
      <c r="H747" s="18"/>
      <c r="I747" s="13"/>
      <c r="J747" s="14"/>
      <c r="K747" s="8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</row>
    <row r="748" ht="22.5" customHeight="1">
      <c r="A748" s="7"/>
      <c r="B748" s="8"/>
      <c r="C748" s="8"/>
      <c r="D748" s="8"/>
      <c r="E748" s="16"/>
      <c r="F748" s="10"/>
      <c r="G748" s="19"/>
      <c r="H748" s="18"/>
      <c r="I748" s="13"/>
      <c r="J748" s="14"/>
      <c r="K748" s="8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</row>
    <row r="749" ht="22.5" customHeight="1">
      <c r="A749" s="7"/>
      <c r="B749" s="8"/>
      <c r="C749" s="8"/>
      <c r="D749" s="8"/>
      <c r="E749" s="16"/>
      <c r="F749" s="10"/>
      <c r="G749" s="19"/>
      <c r="H749" s="18"/>
      <c r="I749" s="13"/>
      <c r="J749" s="14"/>
      <c r="K749" s="8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</row>
    <row r="750" ht="22.5" customHeight="1">
      <c r="A750" s="7"/>
      <c r="B750" s="8"/>
      <c r="C750" s="8"/>
      <c r="D750" s="8"/>
      <c r="E750" s="16"/>
      <c r="F750" s="10"/>
      <c r="G750" s="19"/>
      <c r="H750" s="18"/>
      <c r="I750" s="13"/>
      <c r="J750" s="14"/>
      <c r="K750" s="8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</row>
    <row r="751" ht="22.5" customHeight="1">
      <c r="A751" s="7"/>
      <c r="B751" s="8"/>
      <c r="C751" s="8"/>
      <c r="D751" s="8"/>
      <c r="E751" s="16"/>
      <c r="F751" s="10"/>
      <c r="G751" s="19"/>
      <c r="H751" s="18"/>
      <c r="I751" s="13"/>
      <c r="J751" s="14"/>
      <c r="K751" s="8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</row>
    <row r="752" ht="22.5" customHeight="1">
      <c r="A752" s="7"/>
      <c r="B752" s="8"/>
      <c r="C752" s="8"/>
      <c r="D752" s="8"/>
      <c r="E752" s="16"/>
      <c r="F752" s="10"/>
      <c r="G752" s="19"/>
      <c r="H752" s="18"/>
      <c r="I752" s="13"/>
      <c r="J752" s="14"/>
      <c r="K752" s="8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</row>
    <row r="753" ht="22.5" customHeight="1">
      <c r="A753" s="7"/>
      <c r="B753" s="8"/>
      <c r="C753" s="8"/>
      <c r="D753" s="8"/>
      <c r="E753" s="16"/>
      <c r="F753" s="10"/>
      <c r="G753" s="19"/>
      <c r="H753" s="18"/>
      <c r="I753" s="13"/>
      <c r="J753" s="14"/>
      <c r="K753" s="8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</row>
    <row r="754" ht="22.5" customHeight="1">
      <c r="A754" s="7"/>
      <c r="B754" s="8"/>
      <c r="C754" s="8"/>
      <c r="D754" s="8"/>
      <c r="E754" s="16"/>
      <c r="F754" s="10"/>
      <c r="G754" s="19"/>
      <c r="H754" s="18"/>
      <c r="I754" s="13"/>
      <c r="J754" s="14"/>
      <c r="K754" s="8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</row>
    <row r="755" ht="22.5" customHeight="1">
      <c r="A755" s="7"/>
      <c r="B755" s="8"/>
      <c r="C755" s="8"/>
      <c r="D755" s="8"/>
      <c r="E755" s="16"/>
      <c r="F755" s="10"/>
      <c r="G755" s="19"/>
      <c r="H755" s="18"/>
      <c r="I755" s="13"/>
      <c r="J755" s="14"/>
      <c r="K755" s="8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</row>
    <row r="756" ht="22.5" customHeight="1">
      <c r="A756" s="7"/>
      <c r="B756" s="8"/>
      <c r="C756" s="8"/>
      <c r="D756" s="8"/>
      <c r="E756" s="16"/>
      <c r="F756" s="10"/>
      <c r="G756" s="19"/>
      <c r="H756" s="18"/>
      <c r="I756" s="13"/>
      <c r="J756" s="14"/>
      <c r="K756" s="8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</row>
    <row r="757" ht="22.5" customHeight="1">
      <c r="A757" s="7"/>
      <c r="B757" s="8"/>
      <c r="C757" s="8"/>
      <c r="D757" s="8"/>
      <c r="E757" s="16"/>
      <c r="F757" s="10"/>
      <c r="G757" s="19"/>
      <c r="H757" s="18"/>
      <c r="I757" s="13"/>
      <c r="J757" s="14"/>
      <c r="K757" s="8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</row>
    <row r="758" ht="22.5" customHeight="1">
      <c r="A758" s="7"/>
      <c r="B758" s="8"/>
      <c r="C758" s="8"/>
      <c r="D758" s="8"/>
      <c r="E758" s="16"/>
      <c r="F758" s="10"/>
      <c r="G758" s="19"/>
      <c r="H758" s="18"/>
      <c r="I758" s="13"/>
      <c r="J758" s="14"/>
      <c r="K758" s="8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</row>
    <row r="759" ht="22.5" customHeight="1">
      <c r="A759" s="7"/>
      <c r="B759" s="8"/>
      <c r="C759" s="8"/>
      <c r="D759" s="8"/>
      <c r="E759" s="16"/>
      <c r="F759" s="10"/>
      <c r="G759" s="19"/>
      <c r="H759" s="18"/>
      <c r="I759" s="13"/>
      <c r="J759" s="14"/>
      <c r="K759" s="8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</row>
    <row r="760" ht="22.5" customHeight="1">
      <c r="A760" s="7"/>
      <c r="B760" s="8"/>
      <c r="C760" s="8"/>
      <c r="D760" s="8"/>
      <c r="E760" s="16"/>
      <c r="F760" s="10"/>
      <c r="G760" s="19"/>
      <c r="H760" s="18"/>
      <c r="I760" s="13"/>
      <c r="J760" s="14"/>
      <c r="K760" s="8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</row>
    <row r="761" ht="22.5" customHeight="1">
      <c r="A761" s="7"/>
      <c r="B761" s="8"/>
      <c r="C761" s="8"/>
      <c r="D761" s="8"/>
      <c r="E761" s="16"/>
      <c r="F761" s="10"/>
      <c r="G761" s="19"/>
      <c r="H761" s="18"/>
      <c r="I761" s="13"/>
      <c r="J761" s="14"/>
      <c r="K761" s="8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</row>
    <row r="762" ht="22.5" customHeight="1">
      <c r="A762" s="7"/>
      <c r="B762" s="8"/>
      <c r="C762" s="8"/>
      <c r="D762" s="8"/>
      <c r="E762" s="16"/>
      <c r="F762" s="10"/>
      <c r="G762" s="19"/>
      <c r="H762" s="18"/>
      <c r="I762" s="13"/>
      <c r="J762" s="14"/>
      <c r="K762" s="8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</row>
    <row r="763" ht="22.5" customHeight="1">
      <c r="A763" s="7"/>
      <c r="B763" s="8"/>
      <c r="C763" s="8"/>
      <c r="D763" s="8"/>
      <c r="E763" s="16"/>
      <c r="F763" s="10"/>
      <c r="G763" s="19"/>
      <c r="H763" s="18"/>
      <c r="I763" s="13"/>
      <c r="J763" s="14"/>
      <c r="K763" s="8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</row>
    <row r="764" ht="22.5" customHeight="1">
      <c r="A764" s="7"/>
      <c r="B764" s="8"/>
      <c r="C764" s="8"/>
      <c r="D764" s="8"/>
      <c r="E764" s="16"/>
      <c r="F764" s="10"/>
      <c r="G764" s="19"/>
      <c r="H764" s="18"/>
      <c r="I764" s="13"/>
      <c r="J764" s="14"/>
      <c r="K764" s="8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</row>
    <row r="765" ht="22.5" customHeight="1">
      <c r="A765" s="7"/>
      <c r="B765" s="8"/>
      <c r="C765" s="8"/>
      <c r="D765" s="8"/>
      <c r="E765" s="16"/>
      <c r="F765" s="10"/>
      <c r="G765" s="19"/>
      <c r="H765" s="18"/>
      <c r="I765" s="13"/>
      <c r="J765" s="14"/>
      <c r="K765" s="8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</row>
    <row r="766" ht="22.5" customHeight="1">
      <c r="A766" s="7"/>
      <c r="B766" s="8"/>
      <c r="C766" s="8"/>
      <c r="D766" s="8"/>
      <c r="E766" s="16"/>
      <c r="F766" s="10"/>
      <c r="G766" s="19"/>
      <c r="H766" s="18"/>
      <c r="I766" s="13"/>
      <c r="J766" s="14"/>
      <c r="K766" s="8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</row>
    <row r="767" ht="22.5" customHeight="1">
      <c r="A767" s="7"/>
      <c r="B767" s="8"/>
      <c r="C767" s="8"/>
      <c r="D767" s="8"/>
      <c r="E767" s="16"/>
      <c r="F767" s="10"/>
      <c r="G767" s="19"/>
      <c r="H767" s="18"/>
      <c r="I767" s="13"/>
      <c r="J767" s="14"/>
      <c r="K767" s="8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</row>
    <row r="768" ht="22.5" customHeight="1">
      <c r="A768" s="7"/>
      <c r="B768" s="8"/>
      <c r="C768" s="8"/>
      <c r="D768" s="8"/>
      <c r="E768" s="16"/>
      <c r="F768" s="10"/>
      <c r="G768" s="19"/>
      <c r="H768" s="18"/>
      <c r="I768" s="13"/>
      <c r="J768" s="14"/>
      <c r="K768" s="8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</row>
    <row r="769" ht="22.5" customHeight="1">
      <c r="A769" s="7"/>
      <c r="B769" s="8"/>
      <c r="C769" s="8"/>
      <c r="D769" s="8"/>
      <c r="E769" s="16"/>
      <c r="F769" s="10"/>
      <c r="G769" s="19"/>
      <c r="H769" s="18"/>
      <c r="I769" s="13"/>
      <c r="J769" s="14"/>
      <c r="K769" s="8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</row>
    <row r="770" ht="22.5" customHeight="1">
      <c r="A770" s="7"/>
      <c r="B770" s="8"/>
      <c r="C770" s="8"/>
      <c r="D770" s="8"/>
      <c r="E770" s="16"/>
      <c r="F770" s="10"/>
      <c r="G770" s="19"/>
      <c r="H770" s="18"/>
      <c r="I770" s="13"/>
      <c r="J770" s="14"/>
      <c r="K770" s="8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</row>
    <row r="771" ht="22.5" customHeight="1">
      <c r="A771" s="7"/>
      <c r="B771" s="8"/>
      <c r="C771" s="8"/>
      <c r="D771" s="8"/>
      <c r="E771" s="16"/>
      <c r="F771" s="10"/>
      <c r="G771" s="19"/>
      <c r="H771" s="18"/>
      <c r="I771" s="13"/>
      <c r="J771" s="14"/>
      <c r="K771" s="8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</row>
    <row r="772" ht="22.5" customHeight="1">
      <c r="A772" s="7"/>
      <c r="B772" s="8"/>
      <c r="C772" s="8"/>
      <c r="D772" s="8"/>
      <c r="E772" s="16"/>
      <c r="F772" s="10"/>
      <c r="G772" s="19"/>
      <c r="H772" s="18"/>
      <c r="I772" s="13"/>
      <c r="J772" s="14"/>
      <c r="K772" s="8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</row>
    <row r="773" ht="22.5" customHeight="1">
      <c r="A773" s="7"/>
      <c r="B773" s="8"/>
      <c r="C773" s="8"/>
      <c r="D773" s="8"/>
      <c r="E773" s="16"/>
      <c r="F773" s="10"/>
      <c r="G773" s="19"/>
      <c r="H773" s="18"/>
      <c r="I773" s="13"/>
      <c r="J773" s="14"/>
      <c r="K773" s="8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</row>
    <row r="774" ht="22.5" customHeight="1">
      <c r="A774" s="7"/>
      <c r="B774" s="8"/>
      <c r="C774" s="8"/>
      <c r="D774" s="8"/>
      <c r="E774" s="16"/>
      <c r="F774" s="10"/>
      <c r="G774" s="19"/>
      <c r="H774" s="18"/>
      <c r="I774" s="13"/>
      <c r="J774" s="14"/>
      <c r="K774" s="8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</row>
    <row r="775" ht="22.5" customHeight="1">
      <c r="A775" s="7"/>
      <c r="B775" s="8"/>
      <c r="C775" s="8"/>
      <c r="D775" s="8"/>
      <c r="E775" s="16"/>
      <c r="F775" s="10"/>
      <c r="G775" s="19"/>
      <c r="H775" s="18"/>
      <c r="I775" s="13"/>
      <c r="J775" s="14"/>
      <c r="K775" s="8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</row>
    <row r="776" ht="22.5" customHeight="1">
      <c r="A776" s="7"/>
      <c r="B776" s="8"/>
      <c r="C776" s="8"/>
      <c r="D776" s="8"/>
      <c r="E776" s="16"/>
      <c r="F776" s="10"/>
      <c r="G776" s="19"/>
      <c r="H776" s="18"/>
      <c r="I776" s="13"/>
      <c r="J776" s="14"/>
      <c r="K776" s="8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</row>
    <row r="777" ht="22.5" customHeight="1">
      <c r="A777" s="7"/>
      <c r="B777" s="8"/>
      <c r="C777" s="8"/>
      <c r="D777" s="8"/>
      <c r="E777" s="16"/>
      <c r="F777" s="10"/>
      <c r="G777" s="19"/>
      <c r="H777" s="18"/>
      <c r="I777" s="13"/>
      <c r="J777" s="14"/>
      <c r="K777" s="8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</row>
    <row r="778" ht="22.5" customHeight="1">
      <c r="A778" s="7"/>
      <c r="B778" s="8"/>
      <c r="C778" s="8"/>
      <c r="D778" s="8"/>
      <c r="E778" s="16"/>
      <c r="F778" s="10"/>
      <c r="G778" s="19"/>
      <c r="H778" s="18"/>
      <c r="I778" s="13"/>
      <c r="J778" s="14"/>
      <c r="K778" s="8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</row>
    <row r="779" ht="22.5" customHeight="1">
      <c r="A779" s="7"/>
      <c r="B779" s="8"/>
      <c r="C779" s="8"/>
      <c r="D779" s="8"/>
      <c r="E779" s="16"/>
      <c r="F779" s="10"/>
      <c r="G779" s="19"/>
      <c r="H779" s="18"/>
      <c r="I779" s="13"/>
      <c r="J779" s="14"/>
      <c r="K779" s="8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</row>
    <row r="780" ht="22.5" customHeight="1">
      <c r="A780" s="7"/>
      <c r="B780" s="8"/>
      <c r="C780" s="8"/>
      <c r="D780" s="8"/>
      <c r="E780" s="16"/>
      <c r="F780" s="10"/>
      <c r="G780" s="19"/>
      <c r="H780" s="18"/>
      <c r="I780" s="13"/>
      <c r="J780" s="14"/>
      <c r="K780" s="8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</row>
    <row r="781" ht="22.5" customHeight="1">
      <c r="A781" s="7"/>
      <c r="B781" s="8"/>
      <c r="C781" s="8"/>
      <c r="D781" s="8"/>
      <c r="E781" s="16"/>
      <c r="F781" s="10"/>
      <c r="G781" s="19"/>
      <c r="H781" s="18"/>
      <c r="I781" s="13"/>
      <c r="J781" s="14"/>
      <c r="K781" s="8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</row>
    <row r="782" ht="22.5" customHeight="1">
      <c r="A782" s="7"/>
      <c r="B782" s="8"/>
      <c r="C782" s="8"/>
      <c r="D782" s="8"/>
      <c r="E782" s="16"/>
      <c r="F782" s="10"/>
      <c r="G782" s="19"/>
      <c r="H782" s="18"/>
      <c r="I782" s="13"/>
      <c r="J782" s="14"/>
      <c r="K782" s="8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</row>
    <row r="783" ht="22.5" customHeight="1">
      <c r="A783" s="7"/>
      <c r="B783" s="8"/>
      <c r="C783" s="8"/>
      <c r="D783" s="8"/>
      <c r="E783" s="16"/>
      <c r="F783" s="10"/>
      <c r="G783" s="19"/>
      <c r="H783" s="18"/>
      <c r="I783" s="13"/>
      <c r="J783" s="14"/>
      <c r="K783" s="8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</row>
    <row r="784" ht="22.5" customHeight="1">
      <c r="A784" s="7"/>
      <c r="B784" s="8"/>
      <c r="C784" s="8"/>
      <c r="D784" s="8"/>
      <c r="E784" s="16"/>
      <c r="F784" s="10"/>
      <c r="G784" s="19"/>
      <c r="H784" s="18"/>
      <c r="I784" s="13"/>
      <c r="J784" s="14"/>
      <c r="K784" s="8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</row>
    <row r="785" ht="22.5" customHeight="1">
      <c r="A785" s="7"/>
      <c r="B785" s="8"/>
      <c r="C785" s="8"/>
      <c r="D785" s="8"/>
      <c r="E785" s="16"/>
      <c r="F785" s="10"/>
      <c r="G785" s="19"/>
      <c r="H785" s="18"/>
      <c r="I785" s="13"/>
      <c r="J785" s="14"/>
      <c r="K785" s="8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</row>
    <row r="786" ht="22.5" customHeight="1">
      <c r="A786" s="7"/>
      <c r="B786" s="8"/>
      <c r="C786" s="8"/>
      <c r="D786" s="8"/>
      <c r="E786" s="16"/>
      <c r="F786" s="10"/>
      <c r="G786" s="19"/>
      <c r="H786" s="18"/>
      <c r="I786" s="13"/>
      <c r="J786" s="14"/>
      <c r="K786" s="8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</row>
    <row r="787" ht="22.5" customHeight="1">
      <c r="A787" s="7"/>
      <c r="B787" s="8"/>
      <c r="C787" s="8"/>
      <c r="D787" s="8"/>
      <c r="E787" s="16"/>
      <c r="F787" s="10"/>
      <c r="G787" s="19"/>
      <c r="H787" s="18"/>
      <c r="I787" s="13"/>
      <c r="J787" s="14"/>
      <c r="K787" s="8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</row>
    <row r="788" ht="22.5" customHeight="1">
      <c r="A788" s="7"/>
      <c r="B788" s="8"/>
      <c r="C788" s="8"/>
      <c r="D788" s="8"/>
      <c r="E788" s="16"/>
      <c r="F788" s="10"/>
      <c r="G788" s="19"/>
      <c r="H788" s="18"/>
      <c r="I788" s="13"/>
      <c r="J788" s="14"/>
      <c r="K788" s="8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</row>
    <row r="789" ht="22.5" customHeight="1">
      <c r="A789" s="7"/>
      <c r="B789" s="8"/>
      <c r="C789" s="8"/>
      <c r="D789" s="8"/>
      <c r="E789" s="16"/>
      <c r="F789" s="10"/>
      <c r="G789" s="19"/>
      <c r="H789" s="18"/>
      <c r="I789" s="13"/>
      <c r="J789" s="14"/>
      <c r="K789" s="8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</row>
    <row r="790" ht="22.5" customHeight="1">
      <c r="A790" s="7"/>
      <c r="B790" s="8"/>
      <c r="C790" s="8"/>
      <c r="D790" s="8"/>
      <c r="E790" s="16"/>
      <c r="F790" s="10"/>
      <c r="G790" s="19"/>
      <c r="H790" s="18"/>
      <c r="I790" s="13"/>
      <c r="J790" s="14"/>
      <c r="K790" s="8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</row>
    <row r="791" ht="22.5" customHeight="1">
      <c r="A791" s="7"/>
      <c r="B791" s="8"/>
      <c r="C791" s="8"/>
      <c r="D791" s="8"/>
      <c r="E791" s="16"/>
      <c r="F791" s="10"/>
      <c r="G791" s="19"/>
      <c r="H791" s="18"/>
      <c r="I791" s="13"/>
      <c r="J791" s="14"/>
      <c r="K791" s="8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</row>
    <row r="792" ht="22.5" customHeight="1">
      <c r="A792" s="7"/>
      <c r="B792" s="8"/>
      <c r="C792" s="8"/>
      <c r="D792" s="8"/>
      <c r="E792" s="16"/>
      <c r="F792" s="10"/>
      <c r="G792" s="19"/>
      <c r="H792" s="18"/>
      <c r="I792" s="13"/>
      <c r="J792" s="14"/>
      <c r="K792" s="8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</row>
    <row r="793" ht="22.5" customHeight="1">
      <c r="A793" s="7"/>
      <c r="B793" s="8"/>
      <c r="C793" s="8"/>
      <c r="D793" s="8"/>
      <c r="E793" s="16"/>
      <c r="F793" s="10"/>
      <c r="G793" s="19"/>
      <c r="H793" s="18"/>
      <c r="I793" s="13"/>
      <c r="J793" s="14"/>
      <c r="K793" s="8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</row>
    <row r="794" ht="22.5" customHeight="1">
      <c r="A794" s="7"/>
      <c r="B794" s="8"/>
      <c r="C794" s="8"/>
      <c r="D794" s="8"/>
      <c r="E794" s="16"/>
      <c r="F794" s="10"/>
      <c r="G794" s="19"/>
      <c r="H794" s="18"/>
      <c r="I794" s="13"/>
      <c r="J794" s="14"/>
      <c r="K794" s="8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</row>
    <row r="795" ht="22.5" customHeight="1">
      <c r="A795" s="7"/>
      <c r="B795" s="8"/>
      <c r="C795" s="8"/>
      <c r="D795" s="8"/>
      <c r="E795" s="16"/>
      <c r="F795" s="10"/>
      <c r="G795" s="19"/>
      <c r="H795" s="18"/>
      <c r="I795" s="13"/>
      <c r="J795" s="14"/>
      <c r="K795" s="8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</row>
    <row r="796" ht="22.5" customHeight="1">
      <c r="A796" s="7"/>
      <c r="B796" s="8"/>
      <c r="C796" s="8"/>
      <c r="D796" s="8"/>
      <c r="E796" s="16"/>
      <c r="F796" s="10"/>
      <c r="G796" s="19"/>
      <c r="H796" s="18"/>
      <c r="I796" s="13"/>
      <c r="J796" s="14"/>
      <c r="K796" s="8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</row>
    <row r="797" ht="22.5" customHeight="1">
      <c r="A797" s="7"/>
      <c r="B797" s="8"/>
      <c r="C797" s="8"/>
      <c r="D797" s="8"/>
      <c r="E797" s="16"/>
      <c r="F797" s="10"/>
      <c r="G797" s="19"/>
      <c r="H797" s="18"/>
      <c r="I797" s="13"/>
      <c r="J797" s="14"/>
      <c r="K797" s="8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</row>
    <row r="798" ht="22.5" customHeight="1">
      <c r="A798" s="7"/>
      <c r="B798" s="8"/>
      <c r="C798" s="8"/>
      <c r="D798" s="8"/>
      <c r="E798" s="16"/>
      <c r="F798" s="10"/>
      <c r="G798" s="19"/>
      <c r="H798" s="18"/>
      <c r="I798" s="13"/>
      <c r="J798" s="14"/>
      <c r="K798" s="8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</row>
    <row r="799" ht="22.5" customHeight="1">
      <c r="A799" s="7"/>
      <c r="B799" s="8"/>
      <c r="C799" s="8"/>
      <c r="D799" s="8"/>
      <c r="E799" s="16"/>
      <c r="F799" s="10"/>
      <c r="G799" s="19"/>
      <c r="H799" s="18"/>
      <c r="I799" s="13"/>
      <c r="J799" s="14"/>
      <c r="K799" s="8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</row>
    <row r="800" ht="22.5" customHeight="1">
      <c r="A800" s="7"/>
      <c r="B800" s="8"/>
      <c r="C800" s="8"/>
      <c r="D800" s="8"/>
      <c r="E800" s="16"/>
      <c r="F800" s="10"/>
      <c r="G800" s="19"/>
      <c r="H800" s="18"/>
      <c r="I800" s="13"/>
      <c r="J800" s="14"/>
      <c r="K800" s="8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</row>
    <row r="801" ht="22.5" customHeight="1">
      <c r="A801" s="7"/>
      <c r="B801" s="8"/>
      <c r="C801" s="8"/>
      <c r="D801" s="8"/>
      <c r="E801" s="16"/>
      <c r="F801" s="10"/>
      <c r="G801" s="19"/>
      <c r="H801" s="18"/>
      <c r="I801" s="13"/>
      <c r="J801" s="14"/>
      <c r="K801" s="8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</row>
    <row r="802" ht="22.5" customHeight="1">
      <c r="A802" s="7"/>
      <c r="B802" s="8"/>
      <c r="C802" s="8"/>
      <c r="D802" s="8"/>
      <c r="E802" s="16"/>
      <c r="F802" s="10"/>
      <c r="G802" s="19"/>
      <c r="H802" s="18"/>
      <c r="I802" s="13"/>
      <c r="J802" s="14"/>
      <c r="K802" s="8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</row>
    <row r="803" ht="22.5" customHeight="1">
      <c r="A803" s="7"/>
      <c r="B803" s="8"/>
      <c r="C803" s="8"/>
      <c r="D803" s="8"/>
      <c r="E803" s="16"/>
      <c r="F803" s="10"/>
      <c r="G803" s="19"/>
      <c r="H803" s="18"/>
      <c r="I803" s="13"/>
      <c r="J803" s="14"/>
      <c r="K803" s="8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</row>
    <row r="804" ht="22.5" customHeight="1">
      <c r="A804" s="7"/>
      <c r="B804" s="8"/>
      <c r="C804" s="8"/>
      <c r="D804" s="8"/>
      <c r="E804" s="16"/>
      <c r="F804" s="10"/>
      <c r="G804" s="19"/>
      <c r="H804" s="18"/>
      <c r="I804" s="13"/>
      <c r="J804" s="14"/>
      <c r="K804" s="8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</row>
    <row r="805" ht="22.5" customHeight="1">
      <c r="A805" s="7"/>
      <c r="B805" s="8"/>
      <c r="C805" s="8"/>
      <c r="D805" s="8"/>
      <c r="E805" s="16"/>
      <c r="F805" s="10"/>
      <c r="G805" s="19"/>
      <c r="H805" s="18"/>
      <c r="I805" s="13"/>
      <c r="J805" s="14"/>
      <c r="K805" s="8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</row>
    <row r="806" ht="22.5" customHeight="1">
      <c r="A806" s="7"/>
      <c r="B806" s="8"/>
      <c r="C806" s="8"/>
      <c r="D806" s="8"/>
      <c r="E806" s="16"/>
      <c r="F806" s="10"/>
      <c r="G806" s="19"/>
      <c r="H806" s="18"/>
      <c r="I806" s="13"/>
      <c r="J806" s="14"/>
      <c r="K806" s="8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</row>
    <row r="807" ht="22.5" customHeight="1">
      <c r="A807" s="7"/>
      <c r="B807" s="8"/>
      <c r="C807" s="8"/>
      <c r="D807" s="8"/>
      <c r="E807" s="16"/>
      <c r="F807" s="10"/>
      <c r="G807" s="19"/>
      <c r="H807" s="18"/>
      <c r="I807" s="13"/>
      <c r="J807" s="14"/>
      <c r="K807" s="8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</row>
    <row r="808" ht="22.5" customHeight="1">
      <c r="A808" s="7"/>
      <c r="B808" s="8"/>
      <c r="C808" s="8"/>
      <c r="D808" s="8"/>
      <c r="E808" s="16"/>
      <c r="F808" s="10"/>
      <c r="G808" s="19"/>
      <c r="H808" s="18"/>
      <c r="I808" s="13"/>
      <c r="J808" s="14"/>
      <c r="K808" s="8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</row>
    <row r="809" ht="22.5" customHeight="1">
      <c r="A809" s="7"/>
      <c r="B809" s="8"/>
      <c r="C809" s="8"/>
      <c r="D809" s="8"/>
      <c r="E809" s="16"/>
      <c r="F809" s="10"/>
      <c r="G809" s="19"/>
      <c r="H809" s="18"/>
      <c r="I809" s="13"/>
      <c r="J809" s="14"/>
      <c r="K809" s="8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</row>
    <row r="810" ht="22.5" customHeight="1">
      <c r="A810" s="7"/>
      <c r="B810" s="8"/>
      <c r="C810" s="8"/>
      <c r="D810" s="8"/>
      <c r="E810" s="16"/>
      <c r="F810" s="10"/>
      <c r="G810" s="19"/>
      <c r="H810" s="18"/>
      <c r="I810" s="13"/>
      <c r="J810" s="14"/>
      <c r="K810" s="8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</row>
    <row r="811" ht="22.5" customHeight="1">
      <c r="A811" s="7"/>
      <c r="B811" s="8"/>
      <c r="C811" s="8"/>
      <c r="D811" s="8"/>
      <c r="E811" s="16"/>
      <c r="F811" s="10"/>
      <c r="G811" s="19"/>
      <c r="H811" s="18"/>
      <c r="I811" s="13"/>
      <c r="J811" s="14"/>
      <c r="K811" s="8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</row>
    <row r="812" ht="22.5" customHeight="1">
      <c r="A812" s="7"/>
      <c r="B812" s="8"/>
      <c r="C812" s="8"/>
      <c r="D812" s="8"/>
      <c r="E812" s="16"/>
      <c r="F812" s="10"/>
      <c r="G812" s="19"/>
      <c r="H812" s="18"/>
      <c r="I812" s="13"/>
      <c r="J812" s="14"/>
      <c r="K812" s="8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</row>
    <row r="813" ht="22.5" customHeight="1">
      <c r="A813" s="7"/>
      <c r="B813" s="8"/>
      <c r="C813" s="8"/>
      <c r="D813" s="8"/>
      <c r="E813" s="16"/>
      <c r="F813" s="10"/>
      <c r="G813" s="19"/>
      <c r="H813" s="18"/>
      <c r="I813" s="13"/>
      <c r="J813" s="14"/>
      <c r="K813" s="8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</row>
    <row r="814" ht="22.5" customHeight="1">
      <c r="A814" s="7"/>
      <c r="B814" s="8"/>
      <c r="C814" s="8"/>
      <c r="D814" s="8"/>
      <c r="E814" s="16"/>
      <c r="F814" s="10"/>
      <c r="G814" s="19"/>
      <c r="H814" s="18"/>
      <c r="I814" s="13"/>
      <c r="J814" s="14"/>
      <c r="K814" s="8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</row>
    <row r="815" ht="22.5" customHeight="1">
      <c r="A815" s="7"/>
      <c r="B815" s="8"/>
      <c r="C815" s="8"/>
      <c r="D815" s="8"/>
      <c r="E815" s="16"/>
      <c r="F815" s="10"/>
      <c r="G815" s="19"/>
      <c r="H815" s="18"/>
      <c r="I815" s="13"/>
      <c r="J815" s="14"/>
      <c r="K815" s="8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</row>
    <row r="816" ht="22.5" customHeight="1">
      <c r="A816" s="7"/>
      <c r="B816" s="8"/>
      <c r="C816" s="8"/>
      <c r="D816" s="8"/>
      <c r="E816" s="16"/>
      <c r="F816" s="10"/>
      <c r="G816" s="19"/>
      <c r="H816" s="18"/>
      <c r="I816" s="13"/>
      <c r="J816" s="14"/>
      <c r="K816" s="8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</row>
    <row r="817" ht="22.5" customHeight="1">
      <c r="A817" s="7"/>
      <c r="B817" s="8"/>
      <c r="C817" s="8"/>
      <c r="D817" s="8"/>
      <c r="E817" s="16"/>
      <c r="F817" s="10"/>
      <c r="G817" s="19"/>
      <c r="H817" s="18"/>
      <c r="I817" s="13"/>
      <c r="J817" s="14"/>
      <c r="K817" s="8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</row>
    <row r="818" ht="22.5" customHeight="1">
      <c r="A818" s="7"/>
      <c r="B818" s="8"/>
      <c r="C818" s="8"/>
      <c r="D818" s="8"/>
      <c r="E818" s="16"/>
      <c r="F818" s="10"/>
      <c r="G818" s="19"/>
      <c r="H818" s="18"/>
      <c r="I818" s="13"/>
      <c r="J818" s="14"/>
      <c r="K818" s="8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</row>
    <row r="819" ht="22.5" customHeight="1">
      <c r="A819" s="7"/>
      <c r="B819" s="8"/>
      <c r="C819" s="8"/>
      <c r="D819" s="8"/>
      <c r="E819" s="16"/>
      <c r="F819" s="10"/>
      <c r="G819" s="19"/>
      <c r="H819" s="18"/>
      <c r="I819" s="13"/>
      <c r="J819" s="14"/>
      <c r="K819" s="8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</row>
    <row r="820" ht="22.5" customHeight="1">
      <c r="A820" s="7"/>
      <c r="B820" s="8"/>
      <c r="C820" s="8"/>
      <c r="D820" s="8"/>
      <c r="E820" s="16"/>
      <c r="F820" s="10"/>
      <c r="G820" s="19"/>
      <c r="H820" s="18"/>
      <c r="I820" s="13"/>
      <c r="J820" s="14"/>
      <c r="K820" s="8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</row>
    <row r="821" ht="22.5" customHeight="1">
      <c r="A821" s="7"/>
      <c r="B821" s="8"/>
      <c r="C821" s="8"/>
      <c r="D821" s="8"/>
      <c r="E821" s="16"/>
      <c r="F821" s="10"/>
      <c r="G821" s="19"/>
      <c r="H821" s="18"/>
      <c r="I821" s="13"/>
      <c r="J821" s="14"/>
      <c r="K821" s="8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</row>
    <row r="822" ht="22.5" customHeight="1">
      <c r="A822" s="7"/>
      <c r="B822" s="8"/>
      <c r="C822" s="8"/>
      <c r="D822" s="8"/>
      <c r="E822" s="16"/>
      <c r="F822" s="10"/>
      <c r="G822" s="19"/>
      <c r="H822" s="18"/>
      <c r="I822" s="13"/>
      <c r="J822" s="14"/>
      <c r="K822" s="8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</row>
    <row r="823" ht="22.5" customHeight="1">
      <c r="A823" s="7"/>
      <c r="B823" s="8"/>
      <c r="C823" s="8"/>
      <c r="D823" s="8"/>
      <c r="E823" s="16"/>
      <c r="F823" s="10"/>
      <c r="G823" s="19"/>
      <c r="H823" s="18"/>
      <c r="I823" s="13"/>
      <c r="J823" s="14"/>
      <c r="K823" s="8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</row>
    <row r="824" ht="22.5" customHeight="1">
      <c r="A824" s="7"/>
      <c r="B824" s="8"/>
      <c r="C824" s="8"/>
      <c r="D824" s="8"/>
      <c r="E824" s="16"/>
      <c r="F824" s="10"/>
      <c r="G824" s="19"/>
      <c r="H824" s="18"/>
      <c r="I824" s="13"/>
      <c r="J824" s="14"/>
      <c r="K824" s="8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</row>
    <row r="825" ht="22.5" customHeight="1">
      <c r="A825" s="7"/>
      <c r="B825" s="8"/>
      <c r="C825" s="8"/>
      <c r="D825" s="8"/>
      <c r="E825" s="16"/>
      <c r="F825" s="10"/>
      <c r="G825" s="19"/>
      <c r="H825" s="18"/>
      <c r="I825" s="13"/>
      <c r="J825" s="14"/>
      <c r="K825" s="8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</row>
    <row r="826" ht="22.5" customHeight="1">
      <c r="A826" s="7"/>
      <c r="B826" s="8"/>
      <c r="C826" s="8"/>
      <c r="D826" s="8"/>
      <c r="E826" s="16"/>
      <c r="F826" s="10"/>
      <c r="G826" s="19"/>
      <c r="H826" s="18"/>
      <c r="I826" s="13"/>
      <c r="J826" s="14"/>
      <c r="K826" s="8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</row>
    <row r="827" ht="22.5" customHeight="1">
      <c r="A827" s="7"/>
      <c r="B827" s="8"/>
      <c r="C827" s="8"/>
      <c r="D827" s="8"/>
      <c r="E827" s="16"/>
      <c r="F827" s="10"/>
      <c r="G827" s="19"/>
      <c r="H827" s="18"/>
      <c r="I827" s="13"/>
      <c r="J827" s="14"/>
      <c r="K827" s="8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</row>
    <row r="828" ht="22.5" customHeight="1">
      <c r="A828" s="7"/>
      <c r="B828" s="8"/>
      <c r="C828" s="8"/>
      <c r="D828" s="8"/>
      <c r="E828" s="16"/>
      <c r="F828" s="10"/>
      <c r="G828" s="19"/>
      <c r="H828" s="18"/>
      <c r="I828" s="13"/>
      <c r="J828" s="14"/>
      <c r="K828" s="8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</row>
    <row r="829" ht="22.5" customHeight="1">
      <c r="A829" s="7"/>
      <c r="B829" s="8"/>
      <c r="C829" s="8"/>
      <c r="D829" s="8"/>
      <c r="E829" s="16"/>
      <c r="F829" s="10"/>
      <c r="G829" s="19"/>
      <c r="H829" s="18"/>
      <c r="I829" s="13"/>
      <c r="J829" s="14"/>
      <c r="K829" s="8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</row>
    <row r="830" ht="22.5" customHeight="1">
      <c r="A830" s="7"/>
      <c r="B830" s="8"/>
      <c r="C830" s="8"/>
      <c r="D830" s="8"/>
      <c r="E830" s="16"/>
      <c r="F830" s="10"/>
      <c r="G830" s="19"/>
      <c r="H830" s="18"/>
      <c r="I830" s="13"/>
      <c r="J830" s="14"/>
      <c r="K830" s="8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</row>
    <row r="831" ht="22.5" customHeight="1">
      <c r="A831" s="7"/>
      <c r="B831" s="8"/>
      <c r="C831" s="8"/>
      <c r="D831" s="8"/>
      <c r="E831" s="16"/>
      <c r="F831" s="10"/>
      <c r="G831" s="19"/>
      <c r="H831" s="18"/>
      <c r="I831" s="13"/>
      <c r="J831" s="14"/>
      <c r="K831" s="8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</row>
    <row r="832" ht="22.5" customHeight="1">
      <c r="A832" s="7"/>
      <c r="B832" s="8"/>
      <c r="C832" s="8"/>
      <c r="D832" s="8"/>
      <c r="E832" s="16"/>
      <c r="F832" s="10"/>
      <c r="G832" s="19"/>
      <c r="H832" s="18"/>
      <c r="I832" s="13"/>
      <c r="J832" s="14"/>
      <c r="K832" s="8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</row>
    <row r="833" ht="22.5" customHeight="1">
      <c r="A833" s="7"/>
      <c r="B833" s="8"/>
      <c r="C833" s="8"/>
      <c r="D833" s="8"/>
      <c r="E833" s="16"/>
      <c r="F833" s="10"/>
      <c r="G833" s="19"/>
      <c r="H833" s="18"/>
      <c r="I833" s="13"/>
      <c r="J833" s="14"/>
      <c r="K833" s="8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</row>
    <row r="834" ht="22.5" customHeight="1">
      <c r="A834" s="7"/>
      <c r="B834" s="8"/>
      <c r="C834" s="8"/>
      <c r="D834" s="8"/>
      <c r="E834" s="16"/>
      <c r="F834" s="10"/>
      <c r="G834" s="19"/>
      <c r="H834" s="18"/>
      <c r="I834" s="13"/>
      <c r="J834" s="14"/>
      <c r="K834" s="8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</row>
    <row r="835" ht="22.5" customHeight="1">
      <c r="A835" s="7"/>
      <c r="B835" s="8"/>
      <c r="C835" s="8"/>
      <c r="D835" s="8"/>
      <c r="E835" s="16"/>
      <c r="F835" s="10"/>
      <c r="G835" s="19"/>
      <c r="H835" s="18"/>
      <c r="I835" s="13"/>
      <c r="J835" s="14"/>
      <c r="K835" s="8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</row>
    <row r="836" ht="22.5" customHeight="1">
      <c r="A836" s="7"/>
      <c r="B836" s="8"/>
      <c r="C836" s="8"/>
      <c r="D836" s="8"/>
      <c r="E836" s="16"/>
      <c r="F836" s="10"/>
      <c r="G836" s="19"/>
      <c r="H836" s="18"/>
      <c r="I836" s="13"/>
      <c r="J836" s="14"/>
      <c r="K836" s="8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</row>
    <row r="837" ht="22.5" customHeight="1">
      <c r="A837" s="7"/>
      <c r="B837" s="8"/>
      <c r="C837" s="8"/>
      <c r="D837" s="8"/>
      <c r="E837" s="16"/>
      <c r="F837" s="10"/>
      <c r="G837" s="19"/>
      <c r="H837" s="18"/>
      <c r="I837" s="13"/>
      <c r="J837" s="14"/>
      <c r="K837" s="8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</row>
    <row r="838" ht="22.5" customHeight="1">
      <c r="A838" s="7"/>
      <c r="B838" s="8"/>
      <c r="C838" s="8"/>
      <c r="D838" s="8"/>
      <c r="E838" s="16"/>
      <c r="F838" s="10"/>
      <c r="G838" s="19"/>
      <c r="H838" s="18"/>
      <c r="I838" s="13"/>
      <c r="J838" s="14"/>
      <c r="K838" s="8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</row>
    <row r="839" ht="22.5" customHeight="1">
      <c r="A839" s="7"/>
      <c r="B839" s="8"/>
      <c r="C839" s="8"/>
      <c r="D839" s="8"/>
      <c r="E839" s="16"/>
      <c r="F839" s="10"/>
      <c r="G839" s="19"/>
      <c r="H839" s="18"/>
      <c r="I839" s="13"/>
      <c r="J839" s="14"/>
      <c r="K839" s="8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</row>
    <row r="840" ht="22.5" customHeight="1">
      <c r="A840" s="7"/>
      <c r="B840" s="8"/>
      <c r="C840" s="8"/>
      <c r="D840" s="8"/>
      <c r="E840" s="16"/>
      <c r="F840" s="10"/>
      <c r="G840" s="19"/>
      <c r="H840" s="18"/>
      <c r="I840" s="13"/>
      <c r="J840" s="14"/>
      <c r="K840" s="8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</row>
    <row r="841" ht="22.5" customHeight="1">
      <c r="A841" s="7"/>
      <c r="B841" s="8"/>
      <c r="C841" s="8"/>
      <c r="D841" s="8"/>
      <c r="E841" s="16"/>
      <c r="F841" s="10"/>
      <c r="G841" s="19"/>
      <c r="H841" s="18"/>
      <c r="I841" s="13"/>
      <c r="J841" s="14"/>
      <c r="K841" s="8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</row>
    <row r="842" ht="22.5" customHeight="1">
      <c r="A842" s="7"/>
      <c r="B842" s="8"/>
      <c r="C842" s="8"/>
      <c r="D842" s="8"/>
      <c r="E842" s="16"/>
      <c r="F842" s="10"/>
      <c r="G842" s="19"/>
      <c r="H842" s="18"/>
      <c r="I842" s="13"/>
      <c r="J842" s="14"/>
      <c r="K842" s="8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</row>
    <row r="843" ht="22.5" customHeight="1">
      <c r="A843" s="7"/>
      <c r="B843" s="8"/>
      <c r="C843" s="8"/>
      <c r="D843" s="8"/>
      <c r="E843" s="16"/>
      <c r="F843" s="10"/>
      <c r="G843" s="19"/>
      <c r="H843" s="18"/>
      <c r="I843" s="13"/>
      <c r="J843" s="14"/>
      <c r="K843" s="8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</row>
    <row r="844" ht="22.5" customHeight="1">
      <c r="A844" s="7"/>
      <c r="B844" s="8"/>
      <c r="C844" s="8"/>
      <c r="D844" s="8"/>
      <c r="E844" s="16"/>
      <c r="F844" s="10"/>
      <c r="G844" s="19"/>
      <c r="H844" s="18"/>
      <c r="I844" s="13"/>
      <c r="J844" s="14"/>
      <c r="K844" s="8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</row>
    <row r="845" ht="22.5" customHeight="1">
      <c r="A845" s="7"/>
      <c r="B845" s="8"/>
      <c r="C845" s="8"/>
      <c r="D845" s="8"/>
      <c r="E845" s="16"/>
      <c r="F845" s="10"/>
      <c r="G845" s="19"/>
      <c r="H845" s="18"/>
      <c r="I845" s="13"/>
      <c r="J845" s="14"/>
      <c r="K845" s="8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</row>
    <row r="846" ht="22.5" customHeight="1">
      <c r="A846" s="7"/>
      <c r="B846" s="8"/>
      <c r="C846" s="8"/>
      <c r="D846" s="8"/>
      <c r="E846" s="16"/>
      <c r="F846" s="10"/>
      <c r="G846" s="19"/>
      <c r="H846" s="18"/>
      <c r="I846" s="13"/>
      <c r="J846" s="14"/>
      <c r="K846" s="8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</row>
    <row r="847" ht="22.5" customHeight="1">
      <c r="A847" s="7"/>
      <c r="B847" s="8"/>
      <c r="C847" s="8"/>
      <c r="D847" s="8"/>
      <c r="E847" s="16"/>
      <c r="F847" s="10"/>
      <c r="G847" s="19"/>
      <c r="H847" s="18"/>
      <c r="I847" s="13"/>
      <c r="J847" s="14"/>
      <c r="K847" s="8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</row>
    <row r="848" ht="22.5" customHeight="1">
      <c r="A848" s="7"/>
      <c r="B848" s="8"/>
      <c r="C848" s="8"/>
      <c r="D848" s="8"/>
      <c r="E848" s="16"/>
      <c r="F848" s="10"/>
      <c r="G848" s="19"/>
      <c r="H848" s="18"/>
      <c r="I848" s="13"/>
      <c r="J848" s="14"/>
      <c r="K848" s="8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</row>
    <row r="849" ht="22.5" customHeight="1">
      <c r="A849" s="7"/>
      <c r="B849" s="8"/>
      <c r="C849" s="8"/>
      <c r="D849" s="8"/>
      <c r="E849" s="16"/>
      <c r="F849" s="10"/>
      <c r="G849" s="19"/>
      <c r="H849" s="18"/>
      <c r="I849" s="13"/>
      <c r="J849" s="14"/>
      <c r="K849" s="8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</row>
    <row r="850" ht="22.5" customHeight="1">
      <c r="A850" s="7"/>
      <c r="B850" s="8"/>
      <c r="C850" s="8"/>
      <c r="D850" s="8"/>
      <c r="E850" s="16"/>
      <c r="F850" s="10"/>
      <c r="G850" s="19"/>
      <c r="H850" s="18"/>
      <c r="I850" s="13"/>
      <c r="J850" s="14"/>
      <c r="K850" s="8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</row>
    <row r="851" ht="22.5" customHeight="1">
      <c r="A851" s="7"/>
      <c r="B851" s="8"/>
      <c r="C851" s="8"/>
      <c r="D851" s="8"/>
      <c r="E851" s="16"/>
      <c r="F851" s="10"/>
      <c r="G851" s="19"/>
      <c r="H851" s="18"/>
      <c r="I851" s="13"/>
      <c r="J851" s="14"/>
      <c r="K851" s="8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</row>
    <row r="852" ht="22.5" customHeight="1">
      <c r="A852" s="7"/>
      <c r="B852" s="8"/>
      <c r="C852" s="8"/>
      <c r="D852" s="8"/>
      <c r="E852" s="16"/>
      <c r="F852" s="10"/>
      <c r="G852" s="19"/>
      <c r="H852" s="18"/>
      <c r="I852" s="13"/>
      <c r="J852" s="14"/>
      <c r="K852" s="8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</row>
    <row r="853" ht="22.5" customHeight="1">
      <c r="A853" s="7"/>
      <c r="B853" s="8"/>
      <c r="C853" s="8"/>
      <c r="D853" s="8"/>
      <c r="E853" s="16"/>
      <c r="F853" s="10"/>
      <c r="G853" s="19"/>
      <c r="H853" s="18"/>
      <c r="I853" s="13"/>
      <c r="J853" s="14"/>
      <c r="K853" s="8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</row>
    <row r="854" ht="22.5" customHeight="1">
      <c r="A854" s="7"/>
      <c r="B854" s="8"/>
      <c r="C854" s="8"/>
      <c r="D854" s="8"/>
      <c r="E854" s="16"/>
      <c r="F854" s="10"/>
      <c r="G854" s="19"/>
      <c r="H854" s="18"/>
      <c r="I854" s="13"/>
      <c r="J854" s="14"/>
      <c r="K854" s="8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</row>
    <row r="855" ht="22.5" customHeight="1">
      <c r="A855" s="7"/>
      <c r="B855" s="8"/>
      <c r="C855" s="8"/>
      <c r="D855" s="8"/>
      <c r="E855" s="16"/>
      <c r="F855" s="10"/>
      <c r="G855" s="19"/>
      <c r="H855" s="18"/>
      <c r="I855" s="13"/>
      <c r="J855" s="14"/>
      <c r="K855" s="8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</row>
    <row r="856" ht="22.5" customHeight="1">
      <c r="A856" s="7"/>
      <c r="B856" s="8"/>
      <c r="C856" s="8"/>
      <c r="D856" s="8"/>
      <c r="E856" s="16"/>
      <c r="F856" s="10"/>
      <c r="G856" s="19"/>
      <c r="H856" s="18"/>
      <c r="I856" s="13"/>
      <c r="J856" s="14"/>
      <c r="K856" s="8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</row>
    <row r="857" ht="22.5" customHeight="1">
      <c r="A857" s="7"/>
      <c r="B857" s="8"/>
      <c r="C857" s="8"/>
      <c r="D857" s="8"/>
      <c r="E857" s="16"/>
      <c r="F857" s="10"/>
      <c r="G857" s="19"/>
      <c r="H857" s="18"/>
      <c r="I857" s="13"/>
      <c r="J857" s="14"/>
      <c r="K857" s="8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</row>
    <row r="858" ht="22.5" customHeight="1">
      <c r="A858" s="7"/>
      <c r="B858" s="8"/>
      <c r="C858" s="8"/>
      <c r="D858" s="8"/>
      <c r="E858" s="16"/>
      <c r="F858" s="10"/>
      <c r="G858" s="19"/>
      <c r="H858" s="18"/>
      <c r="I858" s="13"/>
      <c r="J858" s="14"/>
      <c r="K858" s="8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</row>
    <row r="859" ht="22.5" customHeight="1">
      <c r="A859" s="7"/>
      <c r="B859" s="8"/>
      <c r="C859" s="8"/>
      <c r="D859" s="8"/>
      <c r="E859" s="16"/>
      <c r="F859" s="10"/>
      <c r="G859" s="19"/>
      <c r="H859" s="18"/>
      <c r="I859" s="13"/>
      <c r="J859" s="14"/>
      <c r="K859" s="8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</row>
    <row r="860" ht="22.5" customHeight="1">
      <c r="A860" s="7"/>
      <c r="B860" s="8"/>
      <c r="C860" s="8"/>
      <c r="D860" s="8"/>
      <c r="E860" s="16"/>
      <c r="F860" s="10"/>
      <c r="G860" s="19"/>
      <c r="H860" s="18"/>
      <c r="I860" s="13"/>
      <c r="J860" s="14"/>
      <c r="K860" s="8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</row>
    <row r="861" ht="22.5" customHeight="1">
      <c r="A861" s="7"/>
      <c r="B861" s="8"/>
      <c r="C861" s="8"/>
      <c r="D861" s="8"/>
      <c r="E861" s="16"/>
      <c r="F861" s="10"/>
      <c r="G861" s="19"/>
      <c r="H861" s="18"/>
      <c r="I861" s="13"/>
      <c r="J861" s="14"/>
      <c r="K861" s="8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</row>
    <row r="862" ht="22.5" customHeight="1">
      <c r="A862" s="7"/>
      <c r="B862" s="8"/>
      <c r="C862" s="8"/>
      <c r="D862" s="8"/>
      <c r="E862" s="16"/>
      <c r="F862" s="10"/>
      <c r="G862" s="19"/>
      <c r="H862" s="18"/>
      <c r="I862" s="13"/>
      <c r="J862" s="14"/>
      <c r="K862" s="8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</row>
    <row r="863" ht="22.5" customHeight="1">
      <c r="A863" s="7"/>
      <c r="B863" s="8"/>
      <c r="C863" s="8"/>
      <c r="D863" s="8"/>
      <c r="E863" s="16"/>
      <c r="F863" s="10"/>
      <c r="G863" s="19"/>
      <c r="H863" s="18"/>
      <c r="I863" s="13"/>
      <c r="J863" s="14"/>
      <c r="K863" s="8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</row>
    <row r="864" ht="22.5" customHeight="1">
      <c r="A864" s="7"/>
      <c r="B864" s="8"/>
      <c r="C864" s="8"/>
      <c r="D864" s="8"/>
      <c r="E864" s="16"/>
      <c r="F864" s="10"/>
      <c r="G864" s="19"/>
      <c r="H864" s="18"/>
      <c r="I864" s="13"/>
      <c r="J864" s="14"/>
      <c r="K864" s="8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</row>
    <row r="865" ht="22.5" customHeight="1">
      <c r="A865" s="7"/>
      <c r="B865" s="8"/>
      <c r="C865" s="8"/>
      <c r="D865" s="8"/>
      <c r="E865" s="16"/>
      <c r="F865" s="10"/>
      <c r="G865" s="19"/>
      <c r="H865" s="18"/>
      <c r="I865" s="13"/>
      <c r="J865" s="14"/>
      <c r="K865" s="8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</row>
    <row r="866" ht="22.5" customHeight="1">
      <c r="A866" s="7"/>
      <c r="B866" s="8"/>
      <c r="C866" s="8"/>
      <c r="D866" s="8"/>
      <c r="E866" s="16"/>
      <c r="F866" s="10"/>
      <c r="G866" s="19"/>
      <c r="H866" s="18"/>
      <c r="I866" s="13"/>
      <c r="J866" s="14"/>
      <c r="K866" s="8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</row>
    <row r="867" ht="22.5" customHeight="1">
      <c r="A867" s="7"/>
      <c r="B867" s="8"/>
      <c r="C867" s="8"/>
      <c r="D867" s="8"/>
      <c r="E867" s="16"/>
      <c r="F867" s="10"/>
      <c r="G867" s="19"/>
      <c r="H867" s="18"/>
      <c r="I867" s="13"/>
      <c r="J867" s="14"/>
      <c r="K867" s="8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</row>
    <row r="868" ht="22.5" customHeight="1">
      <c r="A868" s="7"/>
      <c r="B868" s="8"/>
      <c r="C868" s="8"/>
      <c r="D868" s="8"/>
      <c r="E868" s="16"/>
      <c r="F868" s="10"/>
      <c r="G868" s="19"/>
      <c r="H868" s="18"/>
      <c r="I868" s="13"/>
      <c r="J868" s="14"/>
      <c r="K868" s="8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</row>
    <row r="869" ht="22.5" customHeight="1">
      <c r="A869" s="7"/>
      <c r="B869" s="8"/>
      <c r="C869" s="8"/>
      <c r="D869" s="8"/>
      <c r="E869" s="16"/>
      <c r="F869" s="10"/>
      <c r="G869" s="19"/>
      <c r="H869" s="18"/>
      <c r="I869" s="13"/>
      <c r="J869" s="14"/>
      <c r="K869" s="8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</row>
    <row r="870" ht="22.5" customHeight="1">
      <c r="A870" s="7"/>
      <c r="B870" s="8"/>
      <c r="C870" s="8"/>
      <c r="D870" s="8"/>
      <c r="E870" s="16"/>
      <c r="F870" s="10"/>
      <c r="G870" s="19"/>
      <c r="H870" s="18"/>
      <c r="I870" s="13"/>
      <c r="J870" s="14"/>
      <c r="K870" s="8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</row>
    <row r="871" ht="22.5" customHeight="1">
      <c r="A871" s="7"/>
      <c r="B871" s="8"/>
      <c r="C871" s="8"/>
      <c r="D871" s="8"/>
      <c r="E871" s="16"/>
      <c r="F871" s="10"/>
      <c r="G871" s="19"/>
      <c r="H871" s="18"/>
      <c r="I871" s="13"/>
      <c r="J871" s="14"/>
      <c r="K871" s="8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</row>
    <row r="872" ht="22.5" customHeight="1">
      <c r="A872" s="7"/>
      <c r="B872" s="8"/>
      <c r="C872" s="8"/>
      <c r="D872" s="8"/>
      <c r="E872" s="16"/>
      <c r="F872" s="10"/>
      <c r="G872" s="19"/>
      <c r="H872" s="18"/>
      <c r="I872" s="13"/>
      <c r="J872" s="14"/>
      <c r="K872" s="8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</row>
    <row r="873" ht="22.5" customHeight="1">
      <c r="A873" s="7"/>
      <c r="B873" s="8"/>
      <c r="C873" s="8"/>
      <c r="D873" s="8"/>
      <c r="E873" s="16"/>
      <c r="F873" s="10"/>
      <c r="G873" s="19"/>
      <c r="H873" s="18"/>
      <c r="I873" s="13"/>
      <c r="J873" s="14"/>
      <c r="K873" s="8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</row>
    <row r="874" ht="22.5" customHeight="1">
      <c r="A874" s="7"/>
      <c r="B874" s="8"/>
      <c r="C874" s="8"/>
      <c r="D874" s="8"/>
      <c r="E874" s="16"/>
      <c r="F874" s="10"/>
      <c r="G874" s="19"/>
      <c r="H874" s="18"/>
      <c r="I874" s="13"/>
      <c r="J874" s="14"/>
      <c r="K874" s="8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</row>
    <row r="875" ht="22.5" customHeight="1">
      <c r="A875" s="7"/>
      <c r="B875" s="8"/>
      <c r="C875" s="8"/>
      <c r="D875" s="8"/>
      <c r="E875" s="16"/>
      <c r="F875" s="10"/>
      <c r="G875" s="19"/>
      <c r="H875" s="18"/>
      <c r="I875" s="13"/>
      <c r="J875" s="14"/>
      <c r="K875" s="8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</row>
    <row r="876" ht="22.5" customHeight="1">
      <c r="A876" s="7"/>
      <c r="B876" s="8"/>
      <c r="C876" s="8"/>
      <c r="D876" s="8"/>
      <c r="E876" s="16"/>
      <c r="F876" s="10"/>
      <c r="G876" s="19"/>
      <c r="H876" s="18"/>
      <c r="I876" s="13"/>
      <c r="J876" s="14"/>
      <c r="K876" s="8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</row>
    <row r="877" ht="22.5" customHeight="1">
      <c r="A877" s="7"/>
      <c r="B877" s="8"/>
      <c r="C877" s="8"/>
      <c r="D877" s="8"/>
      <c r="E877" s="16"/>
      <c r="F877" s="10"/>
      <c r="G877" s="19"/>
      <c r="H877" s="18"/>
      <c r="I877" s="13"/>
      <c r="J877" s="14"/>
      <c r="K877" s="8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</row>
    <row r="878" ht="22.5" customHeight="1">
      <c r="A878" s="7"/>
      <c r="B878" s="8"/>
      <c r="C878" s="8"/>
      <c r="D878" s="8"/>
      <c r="E878" s="16"/>
      <c r="F878" s="10"/>
      <c r="G878" s="19"/>
      <c r="H878" s="18"/>
      <c r="I878" s="13"/>
      <c r="J878" s="14"/>
      <c r="K878" s="8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</row>
    <row r="879" ht="22.5" customHeight="1">
      <c r="A879" s="7"/>
      <c r="B879" s="8"/>
      <c r="C879" s="8"/>
      <c r="D879" s="8"/>
      <c r="E879" s="16"/>
      <c r="F879" s="10"/>
      <c r="G879" s="19"/>
      <c r="H879" s="18"/>
      <c r="I879" s="13"/>
      <c r="J879" s="14"/>
      <c r="K879" s="8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</row>
    <row r="880" ht="22.5" customHeight="1">
      <c r="A880" s="7"/>
      <c r="B880" s="8"/>
      <c r="C880" s="8"/>
      <c r="D880" s="8"/>
      <c r="E880" s="16"/>
      <c r="F880" s="10"/>
      <c r="G880" s="19"/>
      <c r="H880" s="18"/>
      <c r="I880" s="13"/>
      <c r="J880" s="14"/>
      <c r="K880" s="8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</row>
    <row r="881" ht="22.5" customHeight="1">
      <c r="A881" s="7"/>
      <c r="B881" s="8"/>
      <c r="C881" s="8"/>
      <c r="D881" s="8"/>
      <c r="E881" s="16"/>
      <c r="F881" s="10"/>
      <c r="G881" s="19"/>
      <c r="H881" s="18"/>
      <c r="I881" s="13"/>
      <c r="J881" s="14"/>
      <c r="K881" s="8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</row>
    <row r="882" ht="22.5" customHeight="1">
      <c r="A882" s="7"/>
      <c r="B882" s="8"/>
      <c r="C882" s="8"/>
      <c r="D882" s="8"/>
      <c r="E882" s="16"/>
      <c r="F882" s="10"/>
      <c r="G882" s="19"/>
      <c r="H882" s="18"/>
      <c r="I882" s="13"/>
      <c r="J882" s="14"/>
      <c r="K882" s="8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</row>
    <row r="883" ht="22.5" customHeight="1">
      <c r="A883" s="7"/>
      <c r="B883" s="8"/>
      <c r="C883" s="8"/>
      <c r="D883" s="8"/>
      <c r="E883" s="16"/>
      <c r="F883" s="10"/>
      <c r="G883" s="19"/>
      <c r="H883" s="18"/>
      <c r="I883" s="13"/>
      <c r="J883" s="14"/>
      <c r="K883" s="8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</row>
    <row r="884" ht="22.5" customHeight="1">
      <c r="A884" s="7"/>
      <c r="B884" s="8"/>
      <c r="C884" s="8"/>
      <c r="D884" s="8"/>
      <c r="E884" s="16"/>
      <c r="F884" s="10"/>
      <c r="G884" s="19"/>
      <c r="H884" s="18"/>
      <c r="I884" s="13"/>
      <c r="J884" s="14"/>
      <c r="K884" s="8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</row>
    <row r="885" ht="22.5" customHeight="1">
      <c r="A885" s="7"/>
      <c r="B885" s="8"/>
      <c r="C885" s="8"/>
      <c r="D885" s="8"/>
      <c r="E885" s="16"/>
      <c r="F885" s="10"/>
      <c r="G885" s="19"/>
      <c r="H885" s="18"/>
      <c r="I885" s="13"/>
      <c r="J885" s="14"/>
      <c r="K885" s="8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</row>
    <row r="886" ht="22.5" customHeight="1">
      <c r="A886" s="7"/>
      <c r="B886" s="8"/>
      <c r="C886" s="8"/>
      <c r="D886" s="8"/>
      <c r="E886" s="16"/>
      <c r="F886" s="10"/>
      <c r="G886" s="19"/>
      <c r="H886" s="18"/>
      <c r="I886" s="13"/>
      <c r="J886" s="14"/>
      <c r="K886" s="8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</row>
    <row r="887" ht="22.5" customHeight="1">
      <c r="A887" s="7"/>
      <c r="B887" s="8"/>
      <c r="C887" s="8"/>
      <c r="D887" s="8"/>
      <c r="E887" s="16"/>
      <c r="F887" s="10"/>
      <c r="G887" s="19"/>
      <c r="H887" s="18"/>
      <c r="I887" s="13"/>
      <c r="J887" s="14"/>
      <c r="K887" s="8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</row>
    <row r="888" ht="22.5" customHeight="1">
      <c r="A888" s="7"/>
      <c r="B888" s="8"/>
      <c r="C888" s="8"/>
      <c r="D888" s="8"/>
      <c r="E888" s="16"/>
      <c r="F888" s="10"/>
      <c r="G888" s="19"/>
      <c r="H888" s="18"/>
      <c r="I888" s="13"/>
      <c r="J888" s="14"/>
      <c r="K888" s="8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</row>
    <row r="889" ht="22.5" customHeight="1">
      <c r="A889" s="7"/>
      <c r="B889" s="8"/>
      <c r="C889" s="8"/>
      <c r="D889" s="8"/>
      <c r="E889" s="16"/>
      <c r="F889" s="10"/>
      <c r="G889" s="19"/>
      <c r="H889" s="18"/>
      <c r="I889" s="13"/>
      <c r="J889" s="14"/>
      <c r="K889" s="8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</row>
    <row r="890" ht="22.5" customHeight="1">
      <c r="A890" s="7"/>
      <c r="B890" s="8"/>
      <c r="C890" s="8"/>
      <c r="D890" s="8"/>
      <c r="E890" s="16"/>
      <c r="F890" s="10"/>
      <c r="G890" s="19"/>
      <c r="H890" s="18"/>
      <c r="I890" s="13"/>
      <c r="J890" s="14"/>
      <c r="K890" s="8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</row>
    <row r="891" ht="22.5" customHeight="1">
      <c r="A891" s="7"/>
      <c r="B891" s="8"/>
      <c r="C891" s="8"/>
      <c r="D891" s="8"/>
      <c r="E891" s="16"/>
      <c r="F891" s="10"/>
      <c r="G891" s="19"/>
      <c r="H891" s="18"/>
      <c r="I891" s="13"/>
      <c r="J891" s="14"/>
      <c r="K891" s="8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</row>
    <row r="892" ht="22.5" customHeight="1">
      <c r="A892" s="7"/>
      <c r="B892" s="8"/>
      <c r="C892" s="8"/>
      <c r="D892" s="8"/>
      <c r="E892" s="16"/>
      <c r="F892" s="10"/>
      <c r="G892" s="19"/>
      <c r="H892" s="18"/>
      <c r="I892" s="13"/>
      <c r="J892" s="14"/>
      <c r="K892" s="8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</row>
    <row r="893" ht="22.5" customHeight="1">
      <c r="A893" s="7"/>
      <c r="B893" s="8"/>
      <c r="C893" s="8"/>
      <c r="D893" s="8"/>
      <c r="E893" s="16"/>
      <c r="F893" s="10"/>
      <c r="G893" s="19"/>
      <c r="H893" s="18"/>
      <c r="I893" s="13"/>
      <c r="J893" s="14"/>
      <c r="K893" s="8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</row>
    <row r="894" ht="22.5" customHeight="1">
      <c r="A894" s="7"/>
      <c r="B894" s="8"/>
      <c r="C894" s="8"/>
      <c r="D894" s="8"/>
      <c r="E894" s="16"/>
      <c r="F894" s="10"/>
      <c r="G894" s="19"/>
      <c r="H894" s="18"/>
      <c r="I894" s="13"/>
      <c r="J894" s="14"/>
      <c r="K894" s="8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</row>
    <row r="895" ht="22.5" customHeight="1">
      <c r="A895" s="7"/>
      <c r="B895" s="8"/>
      <c r="C895" s="8"/>
      <c r="D895" s="8"/>
      <c r="E895" s="16"/>
      <c r="F895" s="10"/>
      <c r="G895" s="19"/>
      <c r="H895" s="18"/>
      <c r="I895" s="13"/>
      <c r="J895" s="14"/>
      <c r="K895" s="8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</row>
    <row r="896" ht="22.5" customHeight="1">
      <c r="A896" s="7"/>
      <c r="B896" s="8"/>
      <c r="C896" s="8"/>
      <c r="D896" s="8"/>
      <c r="E896" s="16"/>
      <c r="F896" s="10"/>
      <c r="G896" s="19"/>
      <c r="H896" s="18"/>
      <c r="I896" s="13"/>
      <c r="J896" s="14"/>
      <c r="K896" s="8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</row>
    <row r="897" ht="22.5" customHeight="1">
      <c r="A897" s="7"/>
      <c r="B897" s="8"/>
      <c r="C897" s="8"/>
      <c r="D897" s="8"/>
      <c r="E897" s="16"/>
      <c r="F897" s="10"/>
      <c r="G897" s="19"/>
      <c r="H897" s="18"/>
      <c r="I897" s="13"/>
      <c r="J897" s="14"/>
      <c r="K897" s="8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</row>
    <row r="898" ht="22.5" customHeight="1">
      <c r="A898" s="7"/>
      <c r="B898" s="8"/>
      <c r="C898" s="8"/>
      <c r="D898" s="8"/>
      <c r="E898" s="16"/>
      <c r="F898" s="10"/>
      <c r="G898" s="19"/>
      <c r="H898" s="18"/>
      <c r="I898" s="13"/>
      <c r="J898" s="14"/>
      <c r="K898" s="8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</row>
    <row r="899" ht="22.5" customHeight="1">
      <c r="A899" s="7"/>
      <c r="B899" s="8"/>
      <c r="C899" s="8"/>
      <c r="D899" s="8"/>
      <c r="E899" s="16"/>
      <c r="F899" s="10"/>
      <c r="G899" s="19"/>
      <c r="H899" s="18"/>
      <c r="I899" s="13"/>
      <c r="J899" s="14"/>
      <c r="K899" s="8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</row>
    <row r="900" ht="22.5" customHeight="1">
      <c r="A900" s="7"/>
      <c r="B900" s="8"/>
      <c r="C900" s="8"/>
      <c r="D900" s="8"/>
      <c r="E900" s="16"/>
      <c r="F900" s="10"/>
      <c r="G900" s="19"/>
      <c r="H900" s="18"/>
      <c r="I900" s="13"/>
      <c r="J900" s="14"/>
      <c r="K900" s="8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</row>
    <row r="901" ht="22.5" customHeight="1">
      <c r="A901" s="7"/>
      <c r="B901" s="8"/>
      <c r="C901" s="8"/>
      <c r="D901" s="8"/>
      <c r="E901" s="16"/>
      <c r="F901" s="10"/>
      <c r="G901" s="19"/>
      <c r="H901" s="18"/>
      <c r="I901" s="13"/>
      <c r="J901" s="14"/>
      <c r="K901" s="8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</row>
    <row r="902" ht="22.5" customHeight="1">
      <c r="A902" s="7"/>
      <c r="B902" s="8"/>
      <c r="C902" s="8"/>
      <c r="D902" s="8"/>
      <c r="E902" s="16"/>
      <c r="F902" s="10"/>
      <c r="G902" s="19"/>
      <c r="H902" s="18"/>
      <c r="I902" s="13"/>
      <c r="J902" s="14"/>
      <c r="K902" s="8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</row>
    <row r="903" ht="22.5" customHeight="1">
      <c r="A903" s="7"/>
      <c r="B903" s="8"/>
      <c r="C903" s="8"/>
      <c r="D903" s="8"/>
      <c r="E903" s="16"/>
      <c r="F903" s="10"/>
      <c r="G903" s="19"/>
      <c r="H903" s="18"/>
      <c r="I903" s="13"/>
      <c r="J903" s="14"/>
      <c r="K903" s="8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</row>
    <row r="904" ht="22.5" customHeight="1">
      <c r="A904" s="7"/>
      <c r="B904" s="8"/>
      <c r="C904" s="8"/>
      <c r="D904" s="8"/>
      <c r="E904" s="16"/>
      <c r="F904" s="10"/>
      <c r="G904" s="19"/>
      <c r="H904" s="18"/>
      <c r="I904" s="13"/>
      <c r="J904" s="14"/>
      <c r="K904" s="8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</row>
    <row r="905" ht="22.5" customHeight="1">
      <c r="A905" s="7"/>
      <c r="B905" s="8"/>
      <c r="C905" s="8"/>
      <c r="D905" s="8"/>
      <c r="E905" s="16"/>
      <c r="F905" s="10"/>
      <c r="G905" s="19"/>
      <c r="H905" s="18"/>
      <c r="I905" s="13"/>
      <c r="J905" s="14"/>
      <c r="K905" s="8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</row>
    <row r="906" ht="22.5" customHeight="1">
      <c r="A906" s="7"/>
      <c r="B906" s="8"/>
      <c r="C906" s="8"/>
      <c r="D906" s="8"/>
      <c r="E906" s="16"/>
      <c r="F906" s="10"/>
      <c r="G906" s="19"/>
      <c r="H906" s="18"/>
      <c r="I906" s="13"/>
      <c r="J906" s="14"/>
      <c r="K906" s="8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</row>
    <row r="907" ht="22.5" customHeight="1">
      <c r="A907" s="7"/>
      <c r="B907" s="8"/>
      <c r="C907" s="8"/>
      <c r="D907" s="8"/>
      <c r="E907" s="16"/>
      <c r="F907" s="10"/>
      <c r="G907" s="19"/>
      <c r="H907" s="18"/>
      <c r="I907" s="13"/>
      <c r="J907" s="14"/>
      <c r="K907" s="8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</row>
    <row r="908" ht="22.5" customHeight="1">
      <c r="A908" s="7"/>
      <c r="B908" s="8"/>
      <c r="C908" s="8"/>
      <c r="D908" s="8"/>
      <c r="E908" s="16"/>
      <c r="F908" s="10"/>
      <c r="G908" s="19"/>
      <c r="H908" s="18"/>
      <c r="I908" s="13"/>
      <c r="J908" s="14"/>
      <c r="K908" s="8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</row>
    <row r="909" ht="22.5" customHeight="1">
      <c r="A909" s="7"/>
      <c r="B909" s="8"/>
      <c r="C909" s="8"/>
      <c r="D909" s="8"/>
      <c r="E909" s="16"/>
      <c r="F909" s="10"/>
      <c r="G909" s="19"/>
      <c r="H909" s="18"/>
      <c r="I909" s="13"/>
      <c r="J909" s="14"/>
      <c r="K909" s="8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</row>
    <row r="910" ht="22.5" customHeight="1">
      <c r="A910" s="7"/>
      <c r="B910" s="8"/>
      <c r="C910" s="8"/>
      <c r="D910" s="8"/>
      <c r="E910" s="16"/>
      <c r="F910" s="10"/>
      <c r="G910" s="19"/>
      <c r="H910" s="18"/>
      <c r="I910" s="13"/>
      <c r="J910" s="14"/>
      <c r="K910" s="8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</row>
    <row r="911" ht="22.5" customHeight="1">
      <c r="A911" s="7"/>
      <c r="B911" s="8"/>
      <c r="C911" s="8"/>
      <c r="D911" s="8"/>
      <c r="E911" s="16"/>
      <c r="F911" s="10"/>
      <c r="G911" s="19"/>
      <c r="H911" s="18"/>
      <c r="I911" s="13"/>
      <c r="J911" s="14"/>
      <c r="K911" s="8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</row>
    <row r="912" ht="22.5" customHeight="1">
      <c r="A912" s="7"/>
      <c r="B912" s="8"/>
      <c r="C912" s="8"/>
      <c r="D912" s="8"/>
      <c r="E912" s="16"/>
      <c r="F912" s="10"/>
      <c r="G912" s="19"/>
      <c r="H912" s="18"/>
      <c r="I912" s="13"/>
      <c r="J912" s="14"/>
      <c r="K912" s="8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</row>
    <row r="913" ht="22.5" customHeight="1">
      <c r="A913" s="7"/>
      <c r="B913" s="8"/>
      <c r="C913" s="8"/>
      <c r="D913" s="8"/>
      <c r="E913" s="16"/>
      <c r="F913" s="10"/>
      <c r="G913" s="19"/>
      <c r="H913" s="18"/>
      <c r="I913" s="13"/>
      <c r="J913" s="14"/>
      <c r="K913" s="8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</row>
    <row r="914" ht="22.5" customHeight="1">
      <c r="A914" s="7"/>
      <c r="B914" s="8"/>
      <c r="C914" s="8"/>
      <c r="D914" s="8"/>
      <c r="E914" s="16"/>
      <c r="F914" s="10"/>
      <c r="G914" s="19"/>
      <c r="H914" s="18"/>
      <c r="I914" s="13"/>
      <c r="J914" s="14"/>
      <c r="K914" s="8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</row>
    <row r="915" ht="22.5" customHeight="1">
      <c r="A915" s="7"/>
      <c r="B915" s="8"/>
      <c r="C915" s="8"/>
      <c r="D915" s="8"/>
      <c r="E915" s="16"/>
      <c r="F915" s="10"/>
      <c r="G915" s="19"/>
      <c r="H915" s="18"/>
      <c r="I915" s="13"/>
      <c r="J915" s="14"/>
      <c r="K915" s="8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</row>
    <row r="916" ht="22.5" customHeight="1">
      <c r="A916" s="7"/>
      <c r="B916" s="8"/>
      <c r="C916" s="8"/>
      <c r="D916" s="8"/>
      <c r="E916" s="16"/>
      <c r="F916" s="10"/>
      <c r="G916" s="19"/>
      <c r="H916" s="18"/>
      <c r="I916" s="13"/>
      <c r="J916" s="14"/>
      <c r="K916" s="8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</row>
    <row r="917" ht="22.5" customHeight="1">
      <c r="A917" s="7"/>
      <c r="B917" s="8"/>
      <c r="C917" s="8"/>
      <c r="D917" s="8"/>
      <c r="E917" s="16"/>
      <c r="F917" s="10"/>
      <c r="G917" s="19"/>
      <c r="H917" s="18"/>
      <c r="I917" s="13"/>
      <c r="J917" s="14"/>
      <c r="K917" s="8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</row>
    <row r="918" ht="22.5" customHeight="1">
      <c r="A918" s="7"/>
      <c r="B918" s="8"/>
      <c r="C918" s="8"/>
      <c r="D918" s="8"/>
      <c r="E918" s="16"/>
      <c r="F918" s="10"/>
      <c r="G918" s="19"/>
      <c r="H918" s="18"/>
      <c r="I918" s="13"/>
      <c r="J918" s="14"/>
      <c r="K918" s="8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</row>
    <row r="919" ht="22.5" customHeight="1">
      <c r="A919" s="7"/>
      <c r="B919" s="8"/>
      <c r="C919" s="8"/>
      <c r="D919" s="8"/>
      <c r="E919" s="16"/>
      <c r="F919" s="10"/>
      <c r="G919" s="19"/>
      <c r="H919" s="18"/>
      <c r="I919" s="13"/>
      <c r="J919" s="14"/>
      <c r="K919" s="8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</row>
    <row r="920" ht="22.5" customHeight="1">
      <c r="A920" s="7"/>
      <c r="B920" s="8"/>
      <c r="C920" s="8"/>
      <c r="D920" s="8"/>
      <c r="E920" s="16"/>
      <c r="F920" s="10"/>
      <c r="G920" s="19"/>
      <c r="H920" s="18"/>
      <c r="I920" s="13"/>
      <c r="J920" s="14"/>
      <c r="K920" s="8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</row>
    <row r="921" ht="22.5" customHeight="1">
      <c r="A921" s="7"/>
      <c r="B921" s="8"/>
      <c r="C921" s="8"/>
      <c r="D921" s="8"/>
      <c r="E921" s="16"/>
      <c r="F921" s="10"/>
      <c r="G921" s="19"/>
      <c r="H921" s="18"/>
      <c r="I921" s="13"/>
      <c r="J921" s="14"/>
      <c r="K921" s="8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</row>
    <row r="922" ht="22.5" customHeight="1">
      <c r="A922" s="7"/>
      <c r="B922" s="8"/>
      <c r="C922" s="8"/>
      <c r="D922" s="8"/>
      <c r="E922" s="16"/>
      <c r="F922" s="10"/>
      <c r="G922" s="19"/>
      <c r="H922" s="18"/>
      <c r="I922" s="13"/>
      <c r="J922" s="14"/>
      <c r="K922" s="8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</row>
    <row r="923" ht="22.5" customHeight="1">
      <c r="A923" s="7"/>
      <c r="B923" s="8"/>
      <c r="C923" s="8"/>
      <c r="D923" s="8"/>
      <c r="E923" s="16"/>
      <c r="F923" s="10"/>
      <c r="G923" s="19"/>
      <c r="H923" s="18"/>
      <c r="I923" s="13"/>
      <c r="J923" s="14"/>
      <c r="K923" s="8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</row>
    <row r="924" ht="22.5" customHeight="1">
      <c r="A924" s="7"/>
      <c r="B924" s="8"/>
      <c r="C924" s="8"/>
      <c r="D924" s="8"/>
      <c r="E924" s="16"/>
      <c r="F924" s="10"/>
      <c r="G924" s="19"/>
      <c r="H924" s="18"/>
      <c r="I924" s="13"/>
      <c r="J924" s="14"/>
      <c r="K924" s="8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</row>
    <row r="925" ht="22.5" customHeight="1">
      <c r="A925" s="7"/>
      <c r="B925" s="8"/>
      <c r="C925" s="8"/>
      <c r="D925" s="8"/>
      <c r="E925" s="16"/>
      <c r="F925" s="10"/>
      <c r="G925" s="19"/>
      <c r="H925" s="18"/>
      <c r="I925" s="13"/>
      <c r="J925" s="14"/>
      <c r="K925" s="8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</row>
    <row r="926" ht="22.5" customHeight="1">
      <c r="A926" s="7"/>
      <c r="B926" s="8"/>
      <c r="C926" s="8"/>
      <c r="D926" s="8"/>
      <c r="E926" s="16"/>
      <c r="F926" s="10"/>
      <c r="G926" s="19"/>
      <c r="H926" s="18"/>
      <c r="I926" s="13"/>
      <c r="J926" s="14"/>
      <c r="K926" s="8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</row>
    <row r="927" ht="22.5" customHeight="1">
      <c r="A927" s="7"/>
      <c r="B927" s="8"/>
      <c r="C927" s="8"/>
      <c r="D927" s="8"/>
      <c r="E927" s="16"/>
      <c r="F927" s="10"/>
      <c r="G927" s="19"/>
      <c r="H927" s="18"/>
      <c r="I927" s="13"/>
      <c r="J927" s="14"/>
      <c r="K927" s="8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</row>
    <row r="928" ht="22.5" customHeight="1">
      <c r="A928" s="7"/>
      <c r="B928" s="8"/>
      <c r="C928" s="8"/>
      <c r="D928" s="8"/>
      <c r="E928" s="16"/>
      <c r="F928" s="10"/>
      <c r="G928" s="19"/>
      <c r="H928" s="18"/>
      <c r="I928" s="13"/>
      <c r="J928" s="14"/>
      <c r="K928" s="8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</row>
    <row r="929" ht="22.5" customHeight="1">
      <c r="A929" s="7"/>
      <c r="B929" s="8"/>
      <c r="C929" s="8"/>
      <c r="D929" s="8"/>
      <c r="E929" s="16"/>
      <c r="F929" s="10"/>
      <c r="G929" s="19"/>
      <c r="H929" s="18"/>
      <c r="I929" s="13"/>
      <c r="J929" s="14"/>
      <c r="K929" s="8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</row>
    <row r="930" ht="22.5" customHeight="1">
      <c r="A930" s="7"/>
      <c r="B930" s="8"/>
      <c r="C930" s="8"/>
      <c r="D930" s="8"/>
      <c r="E930" s="16"/>
      <c r="F930" s="10"/>
      <c r="G930" s="19"/>
      <c r="H930" s="18"/>
      <c r="I930" s="13"/>
      <c r="J930" s="14"/>
      <c r="K930" s="8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</row>
    <row r="931" ht="22.5" customHeight="1">
      <c r="A931" s="7"/>
      <c r="B931" s="8"/>
      <c r="C931" s="8"/>
      <c r="D931" s="8"/>
      <c r="E931" s="16"/>
      <c r="F931" s="10"/>
      <c r="G931" s="19"/>
      <c r="H931" s="18"/>
      <c r="I931" s="13"/>
      <c r="J931" s="14"/>
      <c r="K931" s="8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</row>
    <row r="932" ht="22.5" customHeight="1">
      <c r="A932" s="7"/>
      <c r="B932" s="8"/>
      <c r="C932" s="8"/>
      <c r="D932" s="8"/>
      <c r="E932" s="16"/>
      <c r="F932" s="10"/>
      <c r="G932" s="19"/>
      <c r="H932" s="18"/>
      <c r="I932" s="13"/>
      <c r="J932" s="14"/>
      <c r="K932" s="8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</row>
    <row r="933" ht="22.5" customHeight="1">
      <c r="A933" s="7"/>
      <c r="B933" s="8"/>
      <c r="C933" s="8"/>
      <c r="D933" s="8"/>
      <c r="E933" s="16"/>
      <c r="F933" s="10"/>
      <c r="G933" s="19"/>
      <c r="H933" s="18"/>
      <c r="I933" s="13"/>
      <c r="J933" s="14"/>
      <c r="K933" s="8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</row>
    <row r="934" ht="22.5" customHeight="1">
      <c r="A934" s="7"/>
      <c r="B934" s="8"/>
      <c r="C934" s="8"/>
      <c r="D934" s="8"/>
      <c r="E934" s="16"/>
      <c r="F934" s="10"/>
      <c r="G934" s="19"/>
      <c r="H934" s="18"/>
      <c r="I934" s="13"/>
      <c r="J934" s="14"/>
      <c r="K934" s="8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</row>
    <row r="935" ht="22.5" customHeight="1">
      <c r="A935" s="7"/>
      <c r="B935" s="8"/>
      <c r="C935" s="8"/>
      <c r="D935" s="8"/>
      <c r="E935" s="16"/>
      <c r="F935" s="10"/>
      <c r="G935" s="19"/>
      <c r="H935" s="18"/>
      <c r="I935" s="13"/>
      <c r="J935" s="14"/>
      <c r="K935" s="8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</row>
    <row r="936" ht="22.5" customHeight="1">
      <c r="A936" s="7"/>
      <c r="B936" s="8"/>
      <c r="C936" s="8"/>
      <c r="D936" s="8"/>
      <c r="E936" s="16"/>
      <c r="F936" s="10"/>
      <c r="G936" s="19"/>
      <c r="H936" s="18"/>
      <c r="I936" s="13"/>
      <c r="J936" s="14"/>
      <c r="K936" s="8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</row>
    <row r="937" ht="22.5" customHeight="1">
      <c r="A937" s="7"/>
      <c r="B937" s="8"/>
      <c r="C937" s="8"/>
      <c r="D937" s="8"/>
      <c r="E937" s="16"/>
      <c r="F937" s="10"/>
      <c r="G937" s="19"/>
      <c r="H937" s="18"/>
      <c r="I937" s="13"/>
      <c r="J937" s="14"/>
      <c r="K937" s="8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</row>
    <row r="938" ht="22.5" customHeight="1">
      <c r="A938" s="7"/>
      <c r="B938" s="8"/>
      <c r="C938" s="8"/>
      <c r="D938" s="8"/>
      <c r="E938" s="16"/>
      <c r="F938" s="10"/>
      <c r="G938" s="19"/>
      <c r="H938" s="18"/>
      <c r="I938" s="13"/>
      <c r="J938" s="14"/>
      <c r="K938" s="8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</row>
    <row r="939" ht="22.5" customHeight="1">
      <c r="A939" s="7"/>
      <c r="B939" s="8"/>
      <c r="C939" s="8"/>
      <c r="D939" s="8"/>
      <c r="E939" s="16"/>
      <c r="F939" s="10"/>
      <c r="G939" s="19"/>
      <c r="H939" s="18"/>
      <c r="I939" s="13"/>
      <c r="J939" s="14"/>
      <c r="K939" s="8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</row>
    <row r="940" ht="22.5" customHeight="1">
      <c r="A940" s="7"/>
      <c r="B940" s="8"/>
      <c r="C940" s="8"/>
      <c r="D940" s="8"/>
      <c r="E940" s="16"/>
      <c r="F940" s="10"/>
      <c r="G940" s="19"/>
      <c r="H940" s="18"/>
      <c r="I940" s="13"/>
      <c r="J940" s="14"/>
      <c r="K940" s="8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</row>
    <row r="941" ht="22.5" customHeight="1">
      <c r="A941" s="7"/>
      <c r="B941" s="8"/>
      <c r="C941" s="8"/>
      <c r="D941" s="8"/>
      <c r="E941" s="16"/>
      <c r="F941" s="10"/>
      <c r="G941" s="19"/>
      <c r="H941" s="18"/>
      <c r="I941" s="13"/>
      <c r="J941" s="14"/>
      <c r="K941" s="8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</row>
    <row r="942" ht="22.5" customHeight="1">
      <c r="A942" s="7"/>
      <c r="B942" s="8"/>
      <c r="C942" s="8"/>
      <c r="D942" s="8"/>
      <c r="E942" s="16"/>
      <c r="F942" s="10"/>
      <c r="G942" s="19"/>
      <c r="H942" s="18"/>
      <c r="I942" s="13"/>
      <c r="J942" s="14"/>
      <c r="K942" s="8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</row>
    <row r="943" ht="22.5" customHeight="1">
      <c r="A943" s="7"/>
      <c r="B943" s="8"/>
      <c r="C943" s="8"/>
      <c r="D943" s="8"/>
      <c r="E943" s="16"/>
      <c r="F943" s="10"/>
      <c r="G943" s="19"/>
      <c r="H943" s="18"/>
      <c r="I943" s="13"/>
      <c r="J943" s="14"/>
      <c r="K943" s="8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</row>
    <row r="944" ht="22.5" customHeight="1">
      <c r="A944" s="7"/>
      <c r="B944" s="8"/>
      <c r="C944" s="8"/>
      <c r="D944" s="8"/>
      <c r="E944" s="16"/>
      <c r="F944" s="10"/>
      <c r="G944" s="19"/>
      <c r="H944" s="18"/>
      <c r="I944" s="13"/>
      <c r="J944" s="14"/>
      <c r="K944" s="8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</row>
    <row r="945" ht="22.5" customHeight="1">
      <c r="A945" s="7"/>
      <c r="B945" s="8"/>
      <c r="C945" s="8"/>
      <c r="D945" s="8"/>
      <c r="E945" s="16"/>
      <c r="F945" s="10"/>
      <c r="G945" s="19"/>
      <c r="H945" s="18"/>
      <c r="I945" s="13"/>
      <c r="J945" s="14"/>
      <c r="K945" s="8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</row>
    <row r="946" ht="22.5" customHeight="1">
      <c r="A946" s="7"/>
      <c r="B946" s="8"/>
      <c r="C946" s="8"/>
      <c r="D946" s="8"/>
      <c r="E946" s="16"/>
      <c r="F946" s="10"/>
      <c r="G946" s="19"/>
      <c r="H946" s="18"/>
      <c r="I946" s="13"/>
      <c r="J946" s="14"/>
      <c r="K946" s="8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</row>
    <row r="947" ht="22.5" customHeight="1">
      <c r="A947" s="7"/>
      <c r="B947" s="8"/>
      <c r="C947" s="8"/>
      <c r="D947" s="8"/>
      <c r="E947" s="16"/>
      <c r="F947" s="10"/>
      <c r="G947" s="19"/>
      <c r="H947" s="18"/>
      <c r="I947" s="13"/>
      <c r="J947" s="14"/>
      <c r="K947" s="8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</row>
    <row r="948" ht="22.5" customHeight="1">
      <c r="A948" s="7"/>
      <c r="B948" s="8"/>
      <c r="C948" s="8"/>
      <c r="D948" s="8"/>
      <c r="E948" s="16"/>
      <c r="F948" s="10"/>
      <c r="G948" s="19"/>
      <c r="H948" s="18"/>
      <c r="I948" s="13"/>
      <c r="J948" s="14"/>
      <c r="K948" s="8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</row>
    <row r="949" ht="22.5" customHeight="1">
      <c r="A949" s="7"/>
      <c r="B949" s="8"/>
      <c r="C949" s="8"/>
      <c r="D949" s="8"/>
      <c r="E949" s="16"/>
      <c r="F949" s="10"/>
      <c r="G949" s="19"/>
      <c r="H949" s="18"/>
      <c r="I949" s="13"/>
      <c r="J949" s="14"/>
      <c r="K949" s="8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</row>
    <row r="950" ht="22.5" customHeight="1">
      <c r="A950" s="7"/>
      <c r="B950" s="8"/>
      <c r="C950" s="8"/>
      <c r="D950" s="8"/>
      <c r="E950" s="16"/>
      <c r="F950" s="10"/>
      <c r="G950" s="19"/>
      <c r="H950" s="18"/>
      <c r="I950" s="13"/>
      <c r="J950" s="14"/>
      <c r="K950" s="8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</row>
    <row r="951" ht="22.5" customHeight="1">
      <c r="A951" s="7"/>
      <c r="B951" s="8"/>
      <c r="C951" s="8"/>
      <c r="D951" s="8"/>
      <c r="E951" s="16"/>
      <c r="F951" s="10"/>
      <c r="G951" s="19"/>
      <c r="H951" s="18"/>
      <c r="I951" s="13"/>
      <c r="J951" s="14"/>
      <c r="K951" s="8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</row>
    <row r="952" ht="22.5" customHeight="1">
      <c r="A952" s="7"/>
      <c r="B952" s="8"/>
      <c r="C952" s="8"/>
      <c r="D952" s="8"/>
      <c r="E952" s="16"/>
      <c r="F952" s="10"/>
      <c r="G952" s="19"/>
      <c r="H952" s="18"/>
      <c r="I952" s="13"/>
      <c r="J952" s="14"/>
      <c r="K952" s="8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</row>
    <row r="953" ht="22.5" customHeight="1">
      <c r="A953" s="7"/>
      <c r="B953" s="8"/>
      <c r="C953" s="8"/>
      <c r="D953" s="8"/>
      <c r="E953" s="16"/>
      <c r="F953" s="10"/>
      <c r="G953" s="19"/>
      <c r="H953" s="18"/>
      <c r="I953" s="13"/>
      <c r="J953" s="14"/>
      <c r="K953" s="8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</row>
    <row r="954" ht="22.5" customHeight="1">
      <c r="A954" s="7"/>
      <c r="B954" s="8"/>
      <c r="C954" s="8"/>
      <c r="D954" s="8"/>
      <c r="E954" s="16"/>
      <c r="F954" s="10"/>
      <c r="G954" s="19"/>
      <c r="H954" s="18"/>
      <c r="I954" s="13"/>
      <c r="J954" s="14"/>
      <c r="K954" s="8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</row>
    <row r="955" ht="22.5" customHeight="1">
      <c r="A955" s="7"/>
      <c r="B955" s="8"/>
      <c r="C955" s="8"/>
      <c r="D955" s="8"/>
      <c r="E955" s="16"/>
      <c r="F955" s="10"/>
      <c r="G955" s="19"/>
      <c r="H955" s="18"/>
      <c r="I955" s="13"/>
      <c r="J955" s="14"/>
      <c r="K955" s="8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</row>
    <row r="956" ht="22.5" customHeight="1">
      <c r="A956" s="7"/>
      <c r="B956" s="8"/>
      <c r="C956" s="8"/>
      <c r="D956" s="8"/>
      <c r="E956" s="16"/>
      <c r="F956" s="10"/>
      <c r="G956" s="19"/>
      <c r="H956" s="18"/>
      <c r="I956" s="13"/>
      <c r="J956" s="14"/>
      <c r="K956" s="8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</row>
    <row r="957" ht="22.5" customHeight="1">
      <c r="A957" s="7"/>
      <c r="B957" s="8"/>
      <c r="C957" s="8"/>
      <c r="D957" s="8"/>
      <c r="E957" s="16"/>
      <c r="F957" s="10"/>
      <c r="G957" s="19"/>
      <c r="H957" s="18"/>
      <c r="I957" s="13"/>
      <c r="J957" s="14"/>
      <c r="K957" s="8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</row>
    <row r="958" ht="22.5" customHeight="1">
      <c r="A958" s="7"/>
      <c r="B958" s="8"/>
      <c r="C958" s="8"/>
      <c r="D958" s="8"/>
      <c r="E958" s="16"/>
      <c r="F958" s="10"/>
      <c r="G958" s="19"/>
      <c r="H958" s="18"/>
      <c r="I958" s="13"/>
      <c r="J958" s="14"/>
      <c r="K958" s="8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</row>
    <row r="959" ht="22.5" customHeight="1">
      <c r="A959" s="7"/>
      <c r="B959" s="8"/>
      <c r="C959" s="8"/>
      <c r="D959" s="8"/>
      <c r="E959" s="16"/>
      <c r="F959" s="10"/>
      <c r="G959" s="19"/>
      <c r="H959" s="18"/>
      <c r="I959" s="13"/>
      <c r="J959" s="14"/>
      <c r="K959" s="8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</row>
    <row r="960" ht="22.5" customHeight="1">
      <c r="A960" s="7"/>
      <c r="B960" s="8"/>
      <c r="C960" s="8"/>
      <c r="D960" s="8"/>
      <c r="E960" s="16"/>
      <c r="F960" s="10"/>
      <c r="G960" s="19"/>
      <c r="H960" s="18"/>
      <c r="I960" s="13"/>
      <c r="J960" s="14"/>
      <c r="K960" s="8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</row>
    <row r="961" ht="22.5" customHeight="1">
      <c r="A961" s="7"/>
      <c r="B961" s="8"/>
      <c r="C961" s="8"/>
      <c r="D961" s="8"/>
      <c r="E961" s="16"/>
      <c r="F961" s="10"/>
      <c r="G961" s="19"/>
      <c r="H961" s="18"/>
      <c r="I961" s="13"/>
      <c r="J961" s="14"/>
      <c r="K961" s="8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</row>
    <row r="962" ht="22.5" customHeight="1">
      <c r="A962" s="7"/>
      <c r="B962" s="8"/>
      <c r="C962" s="8"/>
      <c r="D962" s="8"/>
      <c r="E962" s="16"/>
      <c r="F962" s="10"/>
      <c r="G962" s="19"/>
      <c r="H962" s="18"/>
      <c r="I962" s="13"/>
      <c r="J962" s="14"/>
      <c r="K962" s="8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</row>
    <row r="963" ht="22.5" customHeight="1">
      <c r="A963" s="7"/>
      <c r="B963" s="8"/>
      <c r="C963" s="8"/>
      <c r="D963" s="8"/>
      <c r="E963" s="16"/>
      <c r="F963" s="10"/>
      <c r="G963" s="19"/>
      <c r="H963" s="18"/>
      <c r="I963" s="13"/>
      <c r="J963" s="14"/>
      <c r="K963" s="8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</row>
    <row r="964" ht="22.5" customHeight="1">
      <c r="A964" s="7"/>
      <c r="B964" s="8"/>
      <c r="C964" s="8"/>
      <c r="D964" s="8"/>
      <c r="E964" s="16"/>
      <c r="F964" s="10"/>
      <c r="G964" s="19"/>
      <c r="H964" s="18"/>
      <c r="I964" s="13"/>
      <c r="J964" s="14"/>
      <c r="K964" s="8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</row>
    <row r="965" ht="22.5" customHeight="1">
      <c r="A965" s="7"/>
      <c r="B965" s="8"/>
      <c r="C965" s="8"/>
      <c r="D965" s="8"/>
      <c r="E965" s="16"/>
      <c r="F965" s="10"/>
      <c r="G965" s="19"/>
      <c r="H965" s="18"/>
      <c r="I965" s="13"/>
      <c r="J965" s="14"/>
      <c r="K965" s="8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</row>
    <row r="966" ht="22.5" customHeight="1">
      <c r="A966" s="7"/>
      <c r="B966" s="8"/>
      <c r="C966" s="8"/>
      <c r="D966" s="8"/>
      <c r="E966" s="16"/>
      <c r="F966" s="10"/>
      <c r="G966" s="19"/>
      <c r="H966" s="18"/>
      <c r="I966" s="13"/>
      <c r="J966" s="14"/>
      <c r="K966" s="8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</row>
    <row r="967" ht="22.5" customHeight="1">
      <c r="A967" s="7"/>
      <c r="B967" s="8"/>
      <c r="C967" s="8"/>
      <c r="D967" s="8"/>
      <c r="E967" s="16"/>
      <c r="F967" s="10"/>
      <c r="G967" s="19"/>
      <c r="H967" s="18"/>
      <c r="I967" s="13"/>
      <c r="J967" s="14"/>
      <c r="K967" s="8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</row>
    <row r="968" ht="22.5" customHeight="1">
      <c r="A968" s="7"/>
      <c r="B968" s="8"/>
      <c r="C968" s="8"/>
      <c r="D968" s="8"/>
      <c r="E968" s="16"/>
      <c r="F968" s="10"/>
      <c r="G968" s="19"/>
      <c r="H968" s="18"/>
      <c r="I968" s="13"/>
      <c r="J968" s="14"/>
      <c r="K968" s="8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</row>
    <row r="969" ht="22.5" customHeight="1">
      <c r="A969" s="7"/>
      <c r="B969" s="8"/>
      <c r="C969" s="8"/>
      <c r="D969" s="8"/>
      <c r="E969" s="16"/>
      <c r="F969" s="10"/>
      <c r="G969" s="19"/>
      <c r="H969" s="18"/>
      <c r="I969" s="13"/>
      <c r="J969" s="14"/>
      <c r="K969" s="8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</row>
    <row r="970" ht="22.5" customHeight="1">
      <c r="A970" s="7"/>
      <c r="B970" s="8"/>
      <c r="C970" s="8"/>
      <c r="D970" s="8"/>
      <c r="E970" s="16"/>
      <c r="F970" s="10"/>
      <c r="G970" s="19"/>
      <c r="H970" s="18"/>
      <c r="I970" s="13"/>
      <c r="J970" s="14"/>
      <c r="K970" s="8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</row>
    <row r="971" ht="22.5" customHeight="1">
      <c r="A971" s="7"/>
      <c r="B971" s="8"/>
      <c r="C971" s="8"/>
      <c r="D971" s="8"/>
      <c r="E971" s="16"/>
      <c r="F971" s="10"/>
      <c r="G971" s="19"/>
      <c r="H971" s="18"/>
      <c r="I971" s="13"/>
      <c r="J971" s="14"/>
      <c r="K971" s="8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</row>
    <row r="972" ht="22.5" customHeight="1">
      <c r="A972" s="7"/>
      <c r="B972" s="8"/>
      <c r="C972" s="8"/>
      <c r="D972" s="8"/>
      <c r="E972" s="16"/>
      <c r="F972" s="10"/>
      <c r="G972" s="19"/>
      <c r="H972" s="18"/>
      <c r="I972" s="13"/>
      <c r="J972" s="14"/>
      <c r="K972" s="8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</row>
    <row r="973" ht="22.5" customHeight="1">
      <c r="A973" s="7"/>
      <c r="B973" s="8"/>
      <c r="C973" s="8"/>
      <c r="D973" s="8"/>
      <c r="E973" s="16"/>
      <c r="F973" s="10"/>
      <c r="G973" s="19"/>
      <c r="H973" s="18"/>
      <c r="I973" s="13"/>
      <c r="J973" s="14"/>
      <c r="K973" s="8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</row>
    <row r="974" ht="22.5" customHeight="1">
      <c r="A974" s="7"/>
      <c r="B974" s="8"/>
      <c r="C974" s="8"/>
      <c r="D974" s="8"/>
      <c r="E974" s="16"/>
      <c r="F974" s="10"/>
      <c r="G974" s="19"/>
      <c r="H974" s="18"/>
      <c r="I974" s="13"/>
      <c r="J974" s="14"/>
      <c r="K974" s="8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</row>
    <row r="975" ht="22.5" customHeight="1">
      <c r="A975" s="7"/>
      <c r="B975" s="8"/>
      <c r="C975" s="8"/>
      <c r="D975" s="8"/>
      <c r="E975" s="16"/>
      <c r="F975" s="10"/>
      <c r="G975" s="19"/>
      <c r="H975" s="18"/>
      <c r="I975" s="13"/>
      <c r="J975" s="14"/>
      <c r="K975" s="8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</row>
    <row r="976" ht="22.5" customHeight="1">
      <c r="A976" s="7"/>
      <c r="B976" s="8"/>
      <c r="C976" s="8"/>
      <c r="D976" s="8"/>
      <c r="E976" s="16"/>
      <c r="F976" s="10"/>
      <c r="G976" s="19"/>
      <c r="H976" s="18"/>
      <c r="I976" s="13"/>
      <c r="J976" s="14"/>
      <c r="K976" s="8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</row>
    <row r="977" ht="22.5" customHeight="1">
      <c r="A977" s="7"/>
      <c r="B977" s="8"/>
      <c r="C977" s="8"/>
      <c r="D977" s="8"/>
      <c r="E977" s="16"/>
      <c r="F977" s="10"/>
      <c r="G977" s="19"/>
      <c r="H977" s="18"/>
      <c r="I977" s="13"/>
      <c r="J977" s="14"/>
      <c r="K977" s="8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</row>
    <row r="978" ht="22.5" customHeight="1">
      <c r="A978" s="7"/>
      <c r="B978" s="8"/>
      <c r="C978" s="8"/>
      <c r="D978" s="8"/>
      <c r="E978" s="16"/>
      <c r="F978" s="10"/>
      <c r="G978" s="19"/>
      <c r="H978" s="18"/>
      <c r="I978" s="13"/>
      <c r="J978" s="14"/>
      <c r="K978" s="8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</row>
    <row r="979" ht="22.5" customHeight="1">
      <c r="A979" s="7"/>
      <c r="B979" s="8"/>
      <c r="C979" s="8"/>
      <c r="D979" s="8"/>
      <c r="E979" s="16"/>
      <c r="F979" s="10"/>
      <c r="G979" s="19"/>
      <c r="H979" s="18"/>
      <c r="I979" s="13"/>
      <c r="J979" s="14"/>
      <c r="K979" s="8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</row>
    <row r="980" ht="22.5" customHeight="1">
      <c r="A980" s="7"/>
      <c r="B980" s="8"/>
      <c r="C980" s="8"/>
      <c r="D980" s="8"/>
      <c r="E980" s="16"/>
      <c r="F980" s="10"/>
      <c r="G980" s="19"/>
      <c r="H980" s="18"/>
      <c r="I980" s="13"/>
      <c r="J980" s="14"/>
      <c r="K980" s="8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</row>
    <row r="981" ht="22.5" customHeight="1">
      <c r="A981" s="7"/>
      <c r="B981" s="8"/>
      <c r="C981" s="8"/>
      <c r="D981" s="8"/>
      <c r="E981" s="16"/>
      <c r="F981" s="10"/>
      <c r="G981" s="19"/>
      <c r="H981" s="18"/>
      <c r="I981" s="13"/>
      <c r="J981" s="14"/>
      <c r="K981" s="8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</row>
    <row r="982" ht="22.5" customHeight="1">
      <c r="A982" s="7"/>
      <c r="B982" s="8"/>
      <c r="C982" s="8"/>
      <c r="D982" s="8"/>
      <c r="E982" s="16"/>
      <c r="F982" s="10"/>
      <c r="G982" s="19"/>
      <c r="H982" s="18"/>
      <c r="I982" s="13"/>
      <c r="J982" s="14"/>
      <c r="K982" s="8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</row>
    <row r="983" ht="22.5" customHeight="1">
      <c r="A983" s="7"/>
      <c r="B983" s="8"/>
      <c r="C983" s="8"/>
      <c r="D983" s="8"/>
      <c r="E983" s="16"/>
      <c r="F983" s="10"/>
      <c r="G983" s="19"/>
      <c r="H983" s="18"/>
      <c r="I983" s="13"/>
      <c r="J983" s="14"/>
      <c r="K983" s="8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</row>
    <row r="984" ht="22.5" customHeight="1">
      <c r="A984" s="7"/>
      <c r="B984" s="8"/>
      <c r="C984" s="8"/>
      <c r="D984" s="8"/>
      <c r="E984" s="16"/>
      <c r="F984" s="10"/>
      <c r="G984" s="19"/>
      <c r="H984" s="18"/>
      <c r="I984" s="13"/>
      <c r="J984" s="14"/>
      <c r="K984" s="8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</row>
    <row r="985" ht="22.5" customHeight="1">
      <c r="A985" s="7"/>
      <c r="B985" s="8"/>
      <c r="C985" s="8"/>
      <c r="D985" s="8"/>
      <c r="E985" s="16"/>
      <c r="F985" s="10"/>
      <c r="G985" s="19"/>
      <c r="H985" s="18"/>
      <c r="I985" s="13"/>
      <c r="J985" s="14"/>
      <c r="K985" s="8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</row>
    <row r="986" ht="22.5" customHeight="1">
      <c r="A986" s="7"/>
      <c r="B986" s="8"/>
      <c r="C986" s="8"/>
      <c r="D986" s="8"/>
      <c r="E986" s="16"/>
      <c r="F986" s="10"/>
      <c r="G986" s="19"/>
      <c r="H986" s="18"/>
      <c r="I986" s="13"/>
      <c r="J986" s="14"/>
      <c r="K986" s="8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</row>
    <row r="987" ht="22.5" customHeight="1">
      <c r="A987" s="7"/>
      <c r="B987" s="8"/>
      <c r="C987" s="8"/>
      <c r="D987" s="8"/>
      <c r="E987" s="16"/>
      <c r="F987" s="10"/>
      <c r="G987" s="19"/>
      <c r="H987" s="18"/>
      <c r="I987" s="13"/>
      <c r="J987" s="14"/>
      <c r="K987" s="8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</row>
    <row r="988" ht="22.5" customHeight="1">
      <c r="A988" s="7"/>
      <c r="B988" s="8"/>
      <c r="C988" s="8"/>
      <c r="D988" s="8"/>
      <c r="E988" s="16"/>
      <c r="F988" s="10"/>
      <c r="G988" s="19"/>
      <c r="H988" s="18"/>
      <c r="I988" s="13"/>
      <c r="J988" s="14"/>
      <c r="K988" s="8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</row>
    <row r="989" ht="22.5" customHeight="1">
      <c r="A989" s="7"/>
      <c r="B989" s="8"/>
      <c r="C989" s="8"/>
      <c r="D989" s="8"/>
      <c r="E989" s="16"/>
      <c r="F989" s="10"/>
      <c r="G989" s="19"/>
      <c r="H989" s="18"/>
      <c r="I989" s="13"/>
      <c r="J989" s="14"/>
      <c r="K989" s="8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</row>
    <row r="990" ht="22.5" customHeight="1">
      <c r="A990" s="7"/>
      <c r="B990" s="8"/>
      <c r="C990" s="8"/>
      <c r="D990" s="8"/>
      <c r="E990" s="16"/>
      <c r="F990" s="10"/>
      <c r="G990" s="19"/>
      <c r="H990" s="18"/>
      <c r="I990" s="13"/>
      <c r="J990" s="14"/>
      <c r="K990" s="8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</row>
    <row r="991" ht="22.5" customHeight="1">
      <c r="A991" s="7"/>
      <c r="B991" s="8"/>
      <c r="C991" s="8"/>
      <c r="D991" s="8"/>
      <c r="E991" s="16"/>
      <c r="F991" s="10"/>
      <c r="G991" s="19"/>
      <c r="H991" s="18"/>
      <c r="I991" s="13"/>
      <c r="J991" s="14"/>
      <c r="K991" s="8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</row>
    <row r="992" ht="22.5" customHeight="1">
      <c r="A992" s="7"/>
      <c r="B992" s="8"/>
      <c r="C992" s="8"/>
      <c r="D992" s="8"/>
      <c r="E992" s="16"/>
      <c r="F992" s="10"/>
      <c r="G992" s="19"/>
      <c r="H992" s="18"/>
      <c r="I992" s="13"/>
      <c r="J992" s="14"/>
      <c r="K992" s="8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</row>
    <row r="993" ht="22.5" customHeight="1">
      <c r="A993" s="7"/>
      <c r="B993" s="8"/>
      <c r="C993" s="8"/>
      <c r="D993" s="8"/>
      <c r="E993" s="16"/>
      <c r="F993" s="10"/>
      <c r="G993" s="19"/>
      <c r="H993" s="18"/>
      <c r="I993" s="13"/>
      <c r="J993" s="14"/>
      <c r="K993" s="8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</row>
    <row r="994" ht="22.5" customHeight="1">
      <c r="A994" s="7"/>
      <c r="B994" s="8"/>
      <c r="C994" s="8"/>
      <c r="D994" s="8"/>
      <c r="E994" s="16"/>
      <c r="F994" s="10"/>
      <c r="G994" s="19"/>
      <c r="H994" s="18"/>
      <c r="I994" s="13"/>
      <c r="J994" s="14"/>
      <c r="K994" s="8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</row>
    <row r="995" ht="22.5" customHeight="1">
      <c r="A995" s="7"/>
      <c r="B995" s="8"/>
      <c r="C995" s="8"/>
      <c r="D995" s="8"/>
      <c r="E995" s="16"/>
      <c r="F995" s="10"/>
      <c r="G995" s="19"/>
      <c r="H995" s="18"/>
      <c r="I995" s="13"/>
      <c r="J995" s="14"/>
      <c r="K995" s="8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</row>
    <row r="996" ht="22.5" customHeight="1">
      <c r="A996" s="7"/>
      <c r="B996" s="8"/>
      <c r="C996" s="8"/>
      <c r="D996" s="8"/>
      <c r="E996" s="16"/>
      <c r="F996" s="10"/>
      <c r="G996" s="19"/>
      <c r="H996" s="18"/>
      <c r="I996" s="13"/>
      <c r="J996" s="14"/>
      <c r="K996" s="8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</row>
    <row r="997" ht="22.5" customHeight="1">
      <c r="A997" s="7"/>
      <c r="B997" s="8"/>
      <c r="C997" s="8"/>
      <c r="D997" s="8"/>
      <c r="E997" s="16"/>
      <c r="F997" s="10"/>
      <c r="G997" s="19"/>
      <c r="H997" s="18"/>
      <c r="I997" s="13"/>
      <c r="J997" s="14"/>
      <c r="K997" s="8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</row>
    <row r="998" ht="22.5" customHeight="1">
      <c r="A998" s="7"/>
      <c r="B998" s="8"/>
      <c r="C998" s="8"/>
      <c r="D998" s="8"/>
      <c r="E998" s="16"/>
      <c r="F998" s="10"/>
      <c r="G998" s="19"/>
      <c r="H998" s="18"/>
      <c r="I998" s="13"/>
      <c r="J998" s="14"/>
      <c r="K998" s="8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</row>
    <row r="999" ht="22.5" customHeight="1">
      <c r="A999" s="7"/>
      <c r="B999" s="8"/>
      <c r="C999" s="8"/>
      <c r="D999" s="8"/>
      <c r="E999" s="16"/>
      <c r="F999" s="10"/>
      <c r="G999" s="19"/>
      <c r="H999" s="18"/>
      <c r="I999" s="13"/>
      <c r="J999" s="14"/>
      <c r="K999" s="8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</row>
    <row r="1000" ht="22.5" customHeight="1">
      <c r="A1000" s="7"/>
      <c r="B1000" s="8"/>
      <c r="C1000" s="8"/>
      <c r="D1000" s="8"/>
      <c r="E1000" s="16"/>
      <c r="F1000" s="10"/>
      <c r="G1000" s="19"/>
      <c r="H1000" s="18"/>
      <c r="I1000" s="13"/>
      <c r="J1000" s="14"/>
      <c r="K1000" s="8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</row>
    <row r="1001" ht="22.5" customHeight="1">
      <c r="A1001" s="7"/>
      <c r="B1001" s="8"/>
      <c r="C1001" s="8"/>
      <c r="D1001" s="8"/>
      <c r="E1001" s="16"/>
      <c r="F1001" s="10"/>
      <c r="G1001" s="19"/>
      <c r="H1001" s="18"/>
      <c r="I1001" s="13"/>
      <c r="J1001" s="14"/>
      <c r="K1001" s="8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</row>
    <row r="1002" ht="22.5" customHeight="1">
      <c r="A1002" s="7"/>
      <c r="B1002" s="8"/>
      <c r="C1002" s="8"/>
      <c r="D1002" s="8"/>
      <c r="E1002" s="16"/>
      <c r="F1002" s="10"/>
      <c r="G1002" s="19"/>
      <c r="H1002" s="18"/>
      <c r="I1002" s="13"/>
      <c r="J1002" s="14"/>
      <c r="K1002" s="8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</row>
    <row r="1003" ht="22.5" customHeight="1">
      <c r="A1003" s="7"/>
      <c r="B1003" s="8"/>
      <c r="C1003" s="8"/>
      <c r="D1003" s="8"/>
      <c r="E1003" s="16"/>
      <c r="F1003" s="10"/>
      <c r="G1003" s="19"/>
      <c r="H1003" s="18"/>
      <c r="I1003" s="13"/>
      <c r="J1003" s="14"/>
      <c r="K1003" s="8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</row>
    <row r="1004" ht="22.5" customHeight="1">
      <c r="A1004" s="7"/>
      <c r="B1004" s="8"/>
      <c r="C1004" s="8"/>
      <c r="D1004" s="8"/>
      <c r="E1004" s="16"/>
      <c r="F1004" s="10"/>
      <c r="G1004" s="19"/>
      <c r="H1004" s="18"/>
      <c r="I1004" s="13"/>
      <c r="J1004" s="14"/>
      <c r="K1004" s="8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</row>
    <row r="1005" ht="22.5" customHeight="1">
      <c r="A1005" s="7"/>
      <c r="B1005" s="8"/>
      <c r="C1005" s="8"/>
      <c r="D1005" s="8"/>
      <c r="E1005" s="16"/>
      <c r="F1005" s="10"/>
      <c r="G1005" s="19"/>
      <c r="H1005" s="18"/>
      <c r="I1005" s="13"/>
      <c r="J1005" s="14"/>
      <c r="K1005" s="8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</row>
    <row r="1006" ht="22.5" customHeight="1">
      <c r="A1006" s="7"/>
      <c r="B1006" s="8"/>
      <c r="C1006" s="8"/>
      <c r="D1006" s="8"/>
      <c r="E1006" s="16"/>
      <c r="F1006" s="10"/>
      <c r="G1006" s="19"/>
      <c r="H1006" s="18"/>
      <c r="I1006" s="13"/>
      <c r="J1006" s="14"/>
      <c r="K1006" s="8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</row>
    <row r="1007" ht="22.5" customHeight="1">
      <c r="A1007" s="7"/>
      <c r="B1007" s="8"/>
      <c r="C1007" s="8"/>
      <c r="D1007" s="8"/>
      <c r="E1007" s="16"/>
      <c r="F1007" s="10"/>
      <c r="G1007" s="19"/>
      <c r="H1007" s="18"/>
      <c r="I1007" s="13"/>
      <c r="J1007" s="14"/>
      <c r="K1007" s="8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</row>
    <row r="1008" ht="22.5" customHeight="1">
      <c r="A1008" s="7"/>
      <c r="B1008" s="8"/>
      <c r="C1008" s="8"/>
      <c r="D1008" s="8"/>
      <c r="E1008" s="16"/>
      <c r="F1008" s="10"/>
      <c r="G1008" s="19"/>
      <c r="H1008" s="18"/>
      <c r="I1008" s="13"/>
      <c r="J1008" s="14"/>
      <c r="K1008" s="8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</row>
    <row r="1009" ht="22.5" customHeight="1">
      <c r="A1009" s="7"/>
      <c r="B1009" s="8"/>
      <c r="C1009" s="8"/>
      <c r="D1009" s="8"/>
      <c r="E1009" s="16"/>
      <c r="F1009" s="10"/>
      <c r="G1009" s="19"/>
      <c r="H1009" s="18"/>
      <c r="I1009" s="13"/>
      <c r="J1009" s="14"/>
      <c r="K1009" s="8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</row>
    <row r="1010" ht="22.5" customHeight="1">
      <c r="A1010" s="7"/>
      <c r="B1010" s="8"/>
      <c r="C1010" s="8"/>
      <c r="D1010" s="8"/>
      <c r="E1010" s="16"/>
      <c r="F1010" s="10"/>
      <c r="G1010" s="19"/>
      <c r="H1010" s="18"/>
      <c r="I1010" s="13"/>
      <c r="J1010" s="14"/>
      <c r="K1010" s="8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</row>
    <row r="1011" ht="22.5" customHeight="1">
      <c r="A1011" s="7"/>
      <c r="B1011" s="8"/>
      <c r="C1011" s="8"/>
      <c r="D1011" s="8"/>
      <c r="E1011" s="16"/>
      <c r="F1011" s="10"/>
      <c r="G1011" s="19"/>
      <c r="H1011" s="18"/>
      <c r="I1011" s="13"/>
      <c r="J1011" s="14"/>
      <c r="K1011" s="8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</row>
    <row r="1012" ht="22.5" customHeight="1">
      <c r="A1012" s="7"/>
      <c r="B1012" s="8"/>
      <c r="C1012" s="8"/>
      <c r="D1012" s="8"/>
      <c r="E1012" s="16"/>
      <c r="F1012" s="10"/>
      <c r="G1012" s="19"/>
      <c r="H1012" s="18"/>
      <c r="I1012" s="13"/>
      <c r="J1012" s="14"/>
      <c r="K1012" s="8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</row>
    <row r="1013" ht="22.5" customHeight="1">
      <c r="A1013" s="7"/>
      <c r="B1013" s="8"/>
      <c r="C1013" s="8"/>
      <c r="D1013" s="8"/>
      <c r="E1013" s="16"/>
      <c r="F1013" s="10"/>
      <c r="G1013" s="19"/>
      <c r="H1013" s="18"/>
      <c r="I1013" s="13"/>
      <c r="J1013" s="14"/>
      <c r="K1013" s="8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</row>
    <row r="1014" ht="22.5" customHeight="1">
      <c r="A1014" s="7"/>
      <c r="B1014" s="8"/>
      <c r="C1014" s="8"/>
      <c r="D1014" s="8"/>
      <c r="E1014" s="16"/>
      <c r="F1014" s="10"/>
      <c r="G1014" s="19"/>
      <c r="H1014" s="18"/>
      <c r="I1014" s="13"/>
      <c r="J1014" s="14"/>
      <c r="K1014" s="8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</row>
    <row r="1015" ht="22.5" customHeight="1">
      <c r="A1015" s="7"/>
      <c r="B1015" s="8"/>
      <c r="C1015" s="8"/>
      <c r="D1015" s="8"/>
      <c r="E1015" s="16"/>
      <c r="F1015" s="10"/>
      <c r="G1015" s="19"/>
      <c r="H1015" s="18"/>
      <c r="I1015" s="13"/>
      <c r="J1015" s="14"/>
      <c r="K1015" s="8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</row>
    <row r="1016" ht="22.5" customHeight="1">
      <c r="A1016" s="7"/>
      <c r="B1016" s="8"/>
      <c r="C1016" s="8"/>
      <c r="D1016" s="8"/>
      <c r="E1016" s="16"/>
      <c r="F1016" s="10"/>
      <c r="G1016" s="19"/>
      <c r="H1016" s="18"/>
      <c r="I1016" s="13"/>
      <c r="J1016" s="14"/>
      <c r="K1016" s="8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</row>
    <row r="1017" ht="22.5" customHeight="1">
      <c r="A1017" s="7"/>
      <c r="B1017" s="8"/>
      <c r="C1017" s="8"/>
      <c r="D1017" s="8"/>
      <c r="E1017" s="16"/>
      <c r="F1017" s="10"/>
      <c r="G1017" s="19"/>
      <c r="H1017" s="18"/>
      <c r="I1017" s="13"/>
      <c r="J1017" s="14"/>
      <c r="K1017" s="8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</row>
    <row r="1018" ht="22.5" customHeight="1">
      <c r="A1018" s="7"/>
      <c r="B1018" s="8"/>
      <c r="C1018" s="8"/>
      <c r="D1018" s="8"/>
      <c r="E1018" s="16"/>
      <c r="F1018" s="10"/>
      <c r="G1018" s="19"/>
      <c r="H1018" s="18"/>
      <c r="I1018" s="13"/>
      <c r="J1018" s="14"/>
      <c r="K1018" s="8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</row>
    <row r="1019" ht="22.5" customHeight="1">
      <c r="A1019" s="7"/>
      <c r="B1019" s="8"/>
      <c r="C1019" s="8"/>
      <c r="D1019" s="8"/>
      <c r="E1019" s="16"/>
      <c r="F1019" s="10"/>
      <c r="G1019" s="19"/>
      <c r="H1019" s="18"/>
      <c r="I1019" s="13"/>
      <c r="J1019" s="14"/>
      <c r="K1019" s="8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</row>
    <row r="1020" ht="22.5" customHeight="1">
      <c r="A1020" s="7"/>
      <c r="B1020" s="8"/>
      <c r="C1020" s="8"/>
      <c r="D1020" s="8"/>
      <c r="E1020" s="16"/>
      <c r="F1020" s="10"/>
      <c r="G1020" s="19"/>
      <c r="H1020" s="18"/>
      <c r="I1020" s="13"/>
      <c r="J1020" s="14"/>
      <c r="K1020" s="8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</row>
    <row r="1021" ht="22.5" customHeight="1">
      <c r="A1021" s="7"/>
      <c r="B1021" s="8"/>
      <c r="C1021" s="8"/>
      <c r="D1021" s="8"/>
      <c r="E1021" s="16"/>
      <c r="F1021" s="10"/>
      <c r="G1021" s="19"/>
      <c r="H1021" s="18"/>
      <c r="I1021" s="13"/>
      <c r="J1021" s="14"/>
      <c r="K1021" s="8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</row>
    <row r="1022" ht="22.5" customHeight="1">
      <c r="A1022" s="7"/>
      <c r="B1022" s="8"/>
      <c r="C1022" s="8"/>
      <c r="D1022" s="8"/>
      <c r="E1022" s="16"/>
      <c r="F1022" s="10"/>
      <c r="G1022" s="19"/>
      <c r="H1022" s="18"/>
      <c r="I1022" s="13"/>
      <c r="J1022" s="14"/>
      <c r="K1022" s="8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</row>
    <row r="1023" ht="22.5" customHeight="1">
      <c r="A1023" s="7"/>
      <c r="B1023" s="8"/>
      <c r="C1023" s="8"/>
      <c r="D1023" s="8"/>
      <c r="E1023" s="16"/>
      <c r="F1023" s="10"/>
      <c r="G1023" s="19"/>
      <c r="H1023" s="18"/>
      <c r="I1023" s="13"/>
      <c r="J1023" s="14"/>
      <c r="K1023" s="8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</row>
    <row r="1024" ht="22.5" customHeight="1">
      <c r="A1024" s="7"/>
      <c r="B1024" s="8"/>
      <c r="C1024" s="8"/>
      <c r="D1024" s="8"/>
      <c r="E1024" s="16"/>
      <c r="F1024" s="10"/>
      <c r="G1024" s="19"/>
      <c r="H1024" s="18"/>
      <c r="I1024" s="13"/>
      <c r="J1024" s="14"/>
      <c r="K1024" s="8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</row>
    <row r="1025" ht="22.5" customHeight="1">
      <c r="A1025" s="7"/>
      <c r="B1025" s="8"/>
      <c r="C1025" s="8"/>
      <c r="D1025" s="8"/>
      <c r="E1025" s="16"/>
      <c r="F1025" s="10"/>
      <c r="G1025" s="19"/>
      <c r="H1025" s="18"/>
      <c r="I1025" s="13"/>
      <c r="J1025" s="14"/>
      <c r="K1025" s="8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</row>
    <row r="1026" ht="22.5" customHeight="1">
      <c r="A1026" s="7"/>
      <c r="B1026" s="8"/>
      <c r="C1026" s="8"/>
      <c r="D1026" s="8"/>
      <c r="E1026" s="16"/>
      <c r="F1026" s="10"/>
      <c r="G1026" s="19"/>
      <c r="H1026" s="18"/>
      <c r="I1026" s="13"/>
      <c r="J1026" s="14"/>
      <c r="K1026" s="8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</row>
    <row r="1027" ht="22.5" customHeight="1">
      <c r="A1027" s="7"/>
      <c r="B1027" s="8"/>
      <c r="C1027" s="8"/>
      <c r="D1027" s="8"/>
      <c r="E1027" s="16"/>
      <c r="F1027" s="10"/>
      <c r="G1027" s="19"/>
      <c r="H1027" s="18"/>
      <c r="I1027" s="13"/>
      <c r="J1027" s="14"/>
      <c r="K1027" s="8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</row>
    <row r="1028" ht="22.5" customHeight="1">
      <c r="A1028" s="7"/>
      <c r="B1028" s="8"/>
      <c r="C1028" s="8"/>
      <c r="D1028" s="8"/>
      <c r="E1028" s="16"/>
      <c r="F1028" s="10"/>
      <c r="G1028" s="19"/>
      <c r="H1028" s="18"/>
      <c r="I1028" s="13"/>
      <c r="J1028" s="14"/>
      <c r="K1028" s="8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</row>
    <row r="1029" ht="22.5" customHeight="1">
      <c r="A1029" s="7"/>
      <c r="B1029" s="8"/>
      <c r="C1029" s="8"/>
      <c r="D1029" s="8"/>
      <c r="E1029" s="16"/>
      <c r="F1029" s="10"/>
      <c r="G1029" s="19"/>
      <c r="H1029" s="18"/>
      <c r="I1029" s="13"/>
      <c r="J1029" s="14"/>
      <c r="K1029" s="8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</row>
    <row r="1030" ht="22.5" customHeight="1">
      <c r="A1030" s="7"/>
      <c r="B1030" s="8"/>
      <c r="C1030" s="8"/>
      <c r="D1030" s="8"/>
      <c r="E1030" s="16"/>
      <c r="F1030" s="10"/>
      <c r="G1030" s="19"/>
      <c r="H1030" s="18"/>
      <c r="I1030" s="13"/>
      <c r="J1030" s="14"/>
      <c r="K1030" s="8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</row>
    <row r="1031" ht="22.5" customHeight="1">
      <c r="A1031" s="7"/>
      <c r="B1031" s="8"/>
      <c r="C1031" s="8"/>
      <c r="D1031" s="8"/>
      <c r="E1031" s="16"/>
      <c r="F1031" s="10"/>
      <c r="G1031" s="19"/>
      <c r="H1031" s="18"/>
      <c r="I1031" s="13"/>
      <c r="J1031" s="14"/>
      <c r="K1031" s="8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</row>
    <row r="1032" ht="22.5" customHeight="1">
      <c r="A1032" s="7"/>
      <c r="B1032" s="8"/>
      <c r="C1032" s="8"/>
      <c r="D1032" s="8"/>
      <c r="E1032" s="16"/>
      <c r="F1032" s="10"/>
      <c r="G1032" s="19"/>
      <c r="H1032" s="18"/>
      <c r="I1032" s="13"/>
      <c r="J1032" s="14"/>
      <c r="K1032" s="8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</row>
    <row r="1033" ht="22.5" customHeight="1">
      <c r="A1033" s="7"/>
      <c r="B1033" s="8"/>
      <c r="C1033" s="8"/>
      <c r="D1033" s="8"/>
      <c r="E1033" s="16"/>
      <c r="F1033" s="10"/>
      <c r="G1033" s="19"/>
      <c r="H1033" s="18"/>
      <c r="I1033" s="13"/>
      <c r="J1033" s="14"/>
      <c r="K1033" s="8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</row>
    <row r="1034" ht="22.5" customHeight="1">
      <c r="A1034" s="7"/>
      <c r="B1034" s="8"/>
      <c r="C1034" s="8"/>
      <c r="D1034" s="8"/>
      <c r="E1034" s="16"/>
      <c r="F1034" s="10"/>
      <c r="G1034" s="19"/>
      <c r="H1034" s="18"/>
      <c r="I1034" s="13"/>
      <c r="J1034" s="14"/>
      <c r="K1034" s="8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</row>
    <row r="1035" ht="22.5" customHeight="1">
      <c r="A1035" s="7"/>
      <c r="B1035" s="8"/>
      <c r="C1035" s="8"/>
      <c r="D1035" s="8"/>
      <c r="E1035" s="16"/>
      <c r="F1035" s="10"/>
      <c r="G1035" s="19"/>
      <c r="H1035" s="18"/>
      <c r="I1035" s="13"/>
      <c r="J1035" s="14"/>
      <c r="K1035" s="8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</row>
    <row r="1036" ht="22.5" customHeight="1">
      <c r="A1036" s="7"/>
      <c r="B1036" s="8"/>
      <c r="C1036" s="8"/>
      <c r="D1036" s="8"/>
      <c r="E1036" s="16"/>
      <c r="F1036" s="10"/>
      <c r="G1036" s="19"/>
      <c r="H1036" s="18"/>
      <c r="I1036" s="13"/>
      <c r="J1036" s="14"/>
      <c r="K1036" s="8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</row>
    <row r="1037" ht="22.5" customHeight="1">
      <c r="A1037" s="7"/>
      <c r="B1037" s="8"/>
      <c r="C1037" s="8"/>
      <c r="D1037" s="8"/>
      <c r="E1037" s="16"/>
      <c r="F1037" s="10"/>
      <c r="G1037" s="19"/>
      <c r="H1037" s="18"/>
      <c r="I1037" s="13"/>
      <c r="J1037" s="14"/>
      <c r="K1037" s="8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</row>
    <row r="1038" ht="22.5" customHeight="1">
      <c r="A1038" s="7"/>
      <c r="B1038" s="8"/>
      <c r="C1038" s="8"/>
      <c r="D1038" s="8"/>
      <c r="E1038" s="16"/>
      <c r="F1038" s="10"/>
      <c r="G1038" s="19"/>
      <c r="H1038" s="18"/>
      <c r="I1038" s="13"/>
      <c r="J1038" s="14"/>
      <c r="K1038" s="8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</row>
    <row r="1039" ht="22.5" customHeight="1">
      <c r="A1039" s="7"/>
      <c r="B1039" s="8"/>
      <c r="C1039" s="8"/>
      <c r="D1039" s="8"/>
      <c r="E1039" s="16"/>
      <c r="F1039" s="10"/>
      <c r="G1039" s="19"/>
      <c r="H1039" s="18"/>
      <c r="I1039" s="13"/>
      <c r="J1039" s="14"/>
      <c r="K1039" s="8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</row>
    <row r="1040" ht="22.5" customHeight="1">
      <c r="A1040" s="7"/>
      <c r="B1040" s="8"/>
      <c r="C1040" s="8"/>
      <c r="D1040" s="8"/>
      <c r="E1040" s="16"/>
      <c r="F1040" s="10"/>
      <c r="G1040" s="19"/>
      <c r="H1040" s="18"/>
      <c r="I1040" s="13"/>
      <c r="J1040" s="14"/>
      <c r="K1040" s="8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</row>
    <row r="1041" ht="22.5" customHeight="1">
      <c r="A1041" s="7"/>
      <c r="B1041" s="8"/>
      <c r="C1041" s="8"/>
      <c r="D1041" s="8"/>
      <c r="E1041" s="16"/>
      <c r="F1041" s="10"/>
      <c r="G1041" s="19"/>
      <c r="H1041" s="18"/>
      <c r="I1041" s="13"/>
      <c r="J1041" s="14"/>
      <c r="K1041" s="8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</row>
    <row r="1042" ht="22.5" customHeight="1">
      <c r="A1042" s="7"/>
      <c r="B1042" s="8"/>
      <c r="C1042" s="8"/>
      <c r="D1042" s="8"/>
      <c r="E1042" s="16"/>
      <c r="F1042" s="10"/>
      <c r="G1042" s="19"/>
      <c r="H1042" s="18"/>
      <c r="I1042" s="13"/>
      <c r="J1042" s="14"/>
      <c r="K1042" s="8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</row>
    <row r="1043" ht="22.5" customHeight="1">
      <c r="A1043" s="7"/>
      <c r="B1043" s="8"/>
      <c r="C1043" s="8"/>
      <c r="D1043" s="8"/>
      <c r="E1043" s="16"/>
      <c r="F1043" s="10"/>
      <c r="G1043" s="19"/>
      <c r="H1043" s="18"/>
      <c r="I1043" s="13"/>
      <c r="J1043" s="14"/>
      <c r="K1043" s="8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</row>
    <row r="1044" ht="22.5" customHeight="1">
      <c r="A1044" s="7"/>
      <c r="B1044" s="8"/>
      <c r="C1044" s="8"/>
      <c r="D1044" s="8"/>
      <c r="E1044" s="16"/>
      <c r="F1044" s="10"/>
      <c r="G1044" s="19"/>
      <c r="H1044" s="18"/>
      <c r="I1044" s="13"/>
      <c r="J1044" s="14"/>
      <c r="K1044" s="8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</row>
    <row r="1045" ht="22.5" customHeight="1">
      <c r="A1045" s="7"/>
      <c r="B1045" s="8"/>
      <c r="C1045" s="8"/>
      <c r="D1045" s="8"/>
      <c r="E1045" s="16"/>
      <c r="F1045" s="10"/>
      <c r="G1045" s="19"/>
      <c r="H1045" s="18"/>
      <c r="I1045" s="13"/>
      <c r="J1045" s="14"/>
      <c r="K1045" s="8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</row>
    <row r="1046" ht="22.5" customHeight="1">
      <c r="A1046" s="7"/>
      <c r="B1046" s="8"/>
      <c r="C1046" s="8"/>
      <c r="D1046" s="8"/>
      <c r="E1046" s="16"/>
      <c r="F1046" s="10"/>
      <c r="G1046" s="19"/>
      <c r="H1046" s="18"/>
      <c r="I1046" s="13"/>
      <c r="J1046" s="14"/>
      <c r="K1046" s="8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</row>
    <row r="1047" ht="22.5" customHeight="1">
      <c r="A1047" s="7"/>
      <c r="B1047" s="8"/>
      <c r="C1047" s="8"/>
      <c r="D1047" s="8"/>
      <c r="E1047" s="16"/>
      <c r="F1047" s="10"/>
      <c r="G1047" s="19"/>
      <c r="H1047" s="18"/>
      <c r="I1047" s="13"/>
      <c r="J1047" s="14"/>
      <c r="K1047" s="8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</row>
    <row r="1048" ht="22.5" customHeight="1">
      <c r="A1048" s="7"/>
      <c r="B1048" s="8"/>
      <c r="C1048" s="8"/>
      <c r="D1048" s="8"/>
      <c r="E1048" s="16"/>
      <c r="F1048" s="10"/>
      <c r="G1048" s="19"/>
      <c r="H1048" s="18"/>
      <c r="I1048" s="13"/>
      <c r="J1048" s="14"/>
      <c r="K1048" s="8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</row>
    <row r="1049" ht="22.5" customHeight="1">
      <c r="A1049" s="7"/>
      <c r="B1049" s="8"/>
      <c r="C1049" s="8"/>
      <c r="D1049" s="8"/>
      <c r="E1049" s="16"/>
      <c r="F1049" s="10"/>
      <c r="G1049" s="19"/>
      <c r="H1049" s="18"/>
      <c r="I1049" s="13"/>
      <c r="J1049" s="14"/>
      <c r="K1049" s="8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</row>
    <row r="1050" ht="22.5" customHeight="1">
      <c r="A1050" s="7"/>
      <c r="B1050" s="8"/>
      <c r="C1050" s="8"/>
      <c r="D1050" s="8"/>
      <c r="E1050" s="16"/>
      <c r="F1050" s="10"/>
      <c r="G1050" s="19"/>
      <c r="H1050" s="18"/>
      <c r="I1050" s="13"/>
      <c r="J1050" s="14"/>
      <c r="K1050" s="8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</row>
    <row r="1051" ht="22.5" customHeight="1">
      <c r="A1051" s="7"/>
      <c r="B1051" s="8"/>
      <c r="C1051" s="8"/>
      <c r="D1051" s="8"/>
      <c r="E1051" s="16"/>
      <c r="F1051" s="10"/>
      <c r="G1051" s="19"/>
      <c r="H1051" s="18"/>
      <c r="I1051" s="13"/>
      <c r="J1051" s="14"/>
      <c r="K1051" s="8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</row>
    <row r="1052" ht="22.5" customHeight="1">
      <c r="A1052" s="7"/>
      <c r="B1052" s="8"/>
      <c r="C1052" s="8"/>
      <c r="D1052" s="8"/>
      <c r="E1052" s="16"/>
      <c r="F1052" s="10"/>
      <c r="G1052" s="19"/>
      <c r="H1052" s="18"/>
      <c r="I1052" s="13"/>
      <c r="J1052" s="14"/>
      <c r="K1052" s="8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</row>
    <row r="1053" ht="22.5" customHeight="1">
      <c r="A1053" s="7"/>
      <c r="B1053" s="8"/>
      <c r="C1053" s="8"/>
      <c r="D1053" s="8"/>
      <c r="E1053" s="16"/>
      <c r="F1053" s="10"/>
      <c r="G1053" s="19"/>
      <c r="H1053" s="18"/>
      <c r="I1053" s="13"/>
      <c r="J1053" s="14"/>
      <c r="K1053" s="8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</row>
    <row r="1054" ht="22.5" customHeight="1">
      <c r="A1054" s="7"/>
      <c r="B1054" s="8"/>
      <c r="C1054" s="8"/>
      <c r="D1054" s="8"/>
      <c r="E1054" s="16"/>
      <c r="F1054" s="10"/>
      <c r="G1054" s="19"/>
      <c r="H1054" s="18"/>
      <c r="I1054" s="13"/>
      <c r="J1054" s="14"/>
      <c r="K1054" s="8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</row>
    <row r="1055" ht="22.5" customHeight="1">
      <c r="A1055" s="7"/>
      <c r="B1055" s="8"/>
      <c r="C1055" s="8"/>
      <c r="D1055" s="8"/>
      <c r="E1055" s="16"/>
      <c r="F1055" s="10"/>
      <c r="G1055" s="19"/>
      <c r="H1055" s="18"/>
      <c r="I1055" s="13"/>
      <c r="J1055" s="14"/>
      <c r="K1055" s="8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</row>
    <row r="1056" ht="22.5" customHeight="1">
      <c r="A1056" s="7"/>
      <c r="B1056" s="8"/>
      <c r="C1056" s="8"/>
      <c r="D1056" s="8"/>
      <c r="E1056" s="16"/>
      <c r="F1056" s="10"/>
      <c r="G1056" s="19"/>
      <c r="H1056" s="18"/>
      <c r="I1056" s="13"/>
      <c r="J1056" s="14"/>
      <c r="K1056" s="8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</row>
    <row r="1057" ht="22.5" customHeight="1">
      <c r="A1057" s="7"/>
      <c r="B1057" s="8"/>
      <c r="C1057" s="8"/>
      <c r="D1057" s="8"/>
      <c r="E1057" s="16"/>
      <c r="F1057" s="10"/>
      <c r="G1057" s="19"/>
      <c r="H1057" s="18"/>
      <c r="I1057" s="13"/>
      <c r="J1057" s="14"/>
      <c r="K1057" s="8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</row>
    <row r="1058" ht="22.5" customHeight="1">
      <c r="A1058" s="7"/>
      <c r="B1058" s="8"/>
      <c r="C1058" s="8"/>
      <c r="D1058" s="8"/>
      <c r="E1058" s="16"/>
      <c r="F1058" s="10"/>
      <c r="G1058" s="19"/>
      <c r="H1058" s="18"/>
      <c r="I1058" s="13"/>
      <c r="J1058" s="14"/>
      <c r="K1058" s="8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</row>
    <row r="1059" ht="22.5" customHeight="1">
      <c r="A1059" s="7"/>
      <c r="B1059" s="8"/>
      <c r="C1059" s="8"/>
      <c r="D1059" s="8"/>
      <c r="E1059" s="16"/>
      <c r="F1059" s="10"/>
      <c r="G1059" s="19"/>
      <c r="H1059" s="18"/>
      <c r="I1059" s="13"/>
      <c r="J1059" s="14"/>
      <c r="K1059" s="8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</row>
    <row r="1060" ht="22.5" customHeight="1">
      <c r="A1060" s="7"/>
      <c r="B1060" s="8"/>
      <c r="C1060" s="8"/>
      <c r="D1060" s="8"/>
      <c r="E1060" s="16"/>
      <c r="F1060" s="10"/>
      <c r="G1060" s="19"/>
      <c r="H1060" s="18"/>
      <c r="I1060" s="13"/>
      <c r="J1060" s="14"/>
      <c r="K1060" s="8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</row>
    <row r="1061" ht="22.5" customHeight="1">
      <c r="A1061" s="7"/>
      <c r="B1061" s="8"/>
      <c r="C1061" s="8"/>
      <c r="D1061" s="8"/>
      <c r="E1061" s="16"/>
      <c r="F1061" s="10"/>
      <c r="G1061" s="19"/>
      <c r="H1061" s="18"/>
      <c r="I1061" s="13"/>
      <c r="J1061" s="14"/>
      <c r="K1061" s="8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</row>
    <row r="1062" ht="22.5" customHeight="1">
      <c r="A1062" s="7"/>
      <c r="B1062" s="8"/>
      <c r="C1062" s="8"/>
      <c r="D1062" s="8"/>
      <c r="E1062" s="16"/>
      <c r="F1062" s="10"/>
      <c r="G1062" s="19"/>
      <c r="H1062" s="18"/>
      <c r="I1062" s="13"/>
      <c r="J1062" s="14"/>
      <c r="K1062" s="8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</row>
    <row r="1063" ht="22.5" customHeight="1">
      <c r="A1063" s="7"/>
      <c r="B1063" s="8"/>
      <c r="C1063" s="8"/>
      <c r="D1063" s="8"/>
      <c r="E1063" s="16"/>
      <c r="F1063" s="10"/>
      <c r="G1063" s="19"/>
      <c r="H1063" s="18"/>
      <c r="I1063" s="13"/>
      <c r="J1063" s="14"/>
      <c r="K1063" s="8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</row>
    <row r="1064" ht="22.5" customHeight="1">
      <c r="A1064" s="7"/>
      <c r="B1064" s="8"/>
      <c r="C1064" s="8"/>
      <c r="D1064" s="8"/>
      <c r="E1064" s="16"/>
      <c r="F1064" s="10"/>
      <c r="G1064" s="19"/>
      <c r="H1064" s="18"/>
      <c r="I1064" s="13"/>
      <c r="J1064" s="14"/>
      <c r="K1064" s="8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</row>
    <row r="1065" ht="22.5" customHeight="1">
      <c r="A1065" s="7"/>
      <c r="B1065" s="8"/>
      <c r="C1065" s="8"/>
      <c r="D1065" s="8"/>
      <c r="E1065" s="16"/>
      <c r="F1065" s="10"/>
      <c r="G1065" s="19"/>
      <c r="H1065" s="18"/>
      <c r="I1065" s="13"/>
      <c r="J1065" s="14"/>
      <c r="K1065" s="8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</row>
    <row r="1066" ht="22.5" customHeight="1">
      <c r="A1066" s="7"/>
      <c r="B1066" s="8"/>
      <c r="C1066" s="8"/>
      <c r="D1066" s="8"/>
      <c r="E1066" s="16"/>
      <c r="F1066" s="10"/>
      <c r="G1066" s="19"/>
      <c r="H1066" s="18"/>
      <c r="I1066" s="13"/>
      <c r="J1066" s="14"/>
      <c r="K1066" s="8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</row>
    <row r="1067" ht="22.5" customHeight="1">
      <c r="A1067" s="7"/>
      <c r="B1067" s="8"/>
      <c r="C1067" s="8"/>
      <c r="D1067" s="8"/>
      <c r="E1067" s="16"/>
      <c r="F1067" s="10"/>
      <c r="G1067" s="19"/>
      <c r="H1067" s="18"/>
      <c r="I1067" s="13"/>
      <c r="J1067" s="14"/>
      <c r="K1067" s="8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</row>
    <row r="1068" ht="22.5" customHeight="1">
      <c r="A1068" s="7"/>
      <c r="B1068" s="8"/>
      <c r="C1068" s="8"/>
      <c r="D1068" s="8"/>
      <c r="E1068" s="16"/>
      <c r="F1068" s="10"/>
      <c r="G1068" s="19"/>
      <c r="H1068" s="18"/>
      <c r="I1068" s="13"/>
      <c r="J1068" s="14"/>
      <c r="K1068" s="8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</row>
    <row r="1069" ht="22.5" customHeight="1">
      <c r="A1069" s="7"/>
      <c r="B1069" s="8"/>
      <c r="C1069" s="8"/>
      <c r="D1069" s="8"/>
      <c r="E1069" s="16"/>
      <c r="F1069" s="10"/>
      <c r="G1069" s="19"/>
      <c r="H1069" s="18"/>
      <c r="I1069" s="13"/>
      <c r="J1069" s="14"/>
      <c r="K1069" s="8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</row>
    <row r="1070" ht="22.5" customHeight="1">
      <c r="A1070" s="7"/>
      <c r="B1070" s="8"/>
      <c r="C1070" s="8"/>
      <c r="D1070" s="8"/>
      <c r="E1070" s="16"/>
      <c r="F1070" s="10"/>
      <c r="G1070" s="19"/>
      <c r="H1070" s="18"/>
      <c r="I1070" s="13"/>
      <c r="J1070" s="14"/>
      <c r="K1070" s="8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</row>
    <row r="1071" ht="22.5" customHeight="1">
      <c r="A1071" s="7"/>
      <c r="B1071" s="8"/>
      <c r="C1071" s="8"/>
      <c r="D1071" s="8"/>
      <c r="E1071" s="16"/>
      <c r="F1071" s="10"/>
      <c r="G1071" s="19"/>
      <c r="H1071" s="18"/>
      <c r="I1071" s="13"/>
      <c r="J1071" s="14"/>
      <c r="K1071" s="8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</row>
    <row r="1072" ht="22.5" customHeight="1">
      <c r="A1072" s="7"/>
      <c r="B1072" s="8"/>
      <c r="C1072" s="8"/>
      <c r="D1072" s="8"/>
      <c r="E1072" s="16"/>
      <c r="F1072" s="10"/>
      <c r="G1072" s="19"/>
      <c r="H1072" s="18"/>
      <c r="I1072" s="13"/>
      <c r="J1072" s="14"/>
      <c r="K1072" s="8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</row>
    <row r="1073" ht="22.5" customHeight="1">
      <c r="A1073" s="7"/>
      <c r="B1073" s="8"/>
      <c r="C1073" s="8"/>
      <c r="D1073" s="8"/>
      <c r="E1073" s="16"/>
      <c r="F1073" s="10"/>
      <c r="G1073" s="19"/>
      <c r="H1073" s="18"/>
      <c r="I1073" s="13"/>
      <c r="J1073" s="14"/>
      <c r="K1073" s="8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</row>
    <row r="1074" ht="22.5" customHeight="1">
      <c r="A1074" s="7"/>
      <c r="B1074" s="8"/>
      <c r="C1074" s="8"/>
      <c r="D1074" s="8"/>
      <c r="E1074" s="16"/>
      <c r="F1074" s="10"/>
      <c r="G1074" s="19"/>
      <c r="H1074" s="18"/>
      <c r="I1074" s="13"/>
      <c r="J1074" s="14"/>
      <c r="K1074" s="8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</row>
    <row r="1075" ht="22.5" customHeight="1">
      <c r="A1075" s="7"/>
      <c r="B1075" s="8"/>
      <c r="C1075" s="8"/>
      <c r="D1075" s="8"/>
      <c r="E1075" s="16"/>
      <c r="F1075" s="10"/>
      <c r="G1075" s="19"/>
      <c r="H1075" s="18"/>
      <c r="I1075" s="13"/>
      <c r="J1075" s="14"/>
      <c r="K1075" s="8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</row>
    <row r="1076" ht="22.5" customHeight="1">
      <c r="A1076" s="7"/>
      <c r="B1076" s="8"/>
      <c r="C1076" s="8"/>
      <c r="D1076" s="8"/>
      <c r="E1076" s="16"/>
      <c r="F1076" s="10"/>
      <c r="G1076" s="19"/>
      <c r="H1076" s="18"/>
      <c r="I1076" s="13"/>
      <c r="J1076" s="14"/>
      <c r="K1076" s="8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</row>
    <row r="1077" ht="22.5" customHeight="1">
      <c r="A1077" s="7"/>
      <c r="B1077" s="8"/>
      <c r="C1077" s="8"/>
      <c r="D1077" s="8"/>
      <c r="E1077" s="16"/>
      <c r="F1077" s="10"/>
      <c r="G1077" s="19"/>
      <c r="H1077" s="18"/>
      <c r="I1077" s="13"/>
      <c r="J1077" s="14"/>
      <c r="K1077" s="8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</row>
    <row r="1078" ht="22.5" customHeight="1">
      <c r="A1078" s="7"/>
      <c r="B1078" s="8"/>
      <c r="C1078" s="8"/>
      <c r="D1078" s="8"/>
      <c r="E1078" s="16"/>
      <c r="F1078" s="10"/>
      <c r="G1078" s="19"/>
      <c r="H1078" s="18"/>
      <c r="I1078" s="13"/>
      <c r="J1078" s="14"/>
      <c r="K1078" s="8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</row>
    <row r="1079" ht="22.5" customHeight="1">
      <c r="A1079" s="7"/>
      <c r="B1079" s="8"/>
      <c r="C1079" s="8"/>
      <c r="D1079" s="8"/>
      <c r="E1079" s="16"/>
      <c r="F1079" s="10"/>
      <c r="G1079" s="19"/>
      <c r="H1079" s="18"/>
      <c r="I1079" s="13"/>
      <c r="J1079" s="14"/>
      <c r="K1079" s="8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</row>
    <row r="1080" ht="22.5" customHeight="1">
      <c r="A1080" s="7"/>
      <c r="B1080" s="8"/>
      <c r="C1080" s="8"/>
      <c r="D1080" s="8"/>
      <c r="E1080" s="16"/>
      <c r="F1080" s="10"/>
      <c r="G1080" s="19"/>
      <c r="H1080" s="18"/>
      <c r="I1080" s="13"/>
      <c r="J1080" s="14"/>
      <c r="K1080" s="8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</row>
    <row r="1081" ht="22.5" customHeight="1">
      <c r="A1081" s="7"/>
      <c r="B1081" s="8"/>
      <c r="C1081" s="8"/>
      <c r="D1081" s="8"/>
      <c r="E1081" s="16"/>
      <c r="F1081" s="10"/>
      <c r="G1081" s="19"/>
      <c r="H1081" s="18"/>
      <c r="I1081" s="13"/>
      <c r="J1081" s="14"/>
      <c r="K1081" s="8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</row>
    <row r="1082" ht="22.5" customHeight="1">
      <c r="A1082" s="7"/>
      <c r="B1082" s="8"/>
      <c r="C1082" s="8"/>
      <c r="D1082" s="8"/>
      <c r="E1082" s="16"/>
      <c r="F1082" s="10"/>
      <c r="G1082" s="19"/>
      <c r="H1082" s="18"/>
      <c r="I1082" s="13"/>
      <c r="J1082" s="14"/>
      <c r="K1082" s="8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</row>
    <row r="1083" ht="22.5" customHeight="1">
      <c r="A1083" s="7"/>
      <c r="B1083" s="8"/>
      <c r="C1083" s="8"/>
      <c r="D1083" s="8"/>
      <c r="E1083" s="16"/>
      <c r="F1083" s="10"/>
      <c r="G1083" s="19"/>
      <c r="H1083" s="18"/>
      <c r="I1083" s="13"/>
      <c r="J1083" s="14"/>
      <c r="K1083" s="8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</row>
    <row r="1084" ht="22.5" customHeight="1">
      <c r="A1084" s="7"/>
      <c r="B1084" s="8"/>
      <c r="C1084" s="8"/>
      <c r="D1084" s="8"/>
      <c r="E1084" s="16"/>
      <c r="F1084" s="10"/>
      <c r="G1084" s="19"/>
      <c r="H1084" s="18"/>
      <c r="I1084" s="13"/>
      <c r="J1084" s="14"/>
      <c r="K1084" s="8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</row>
    <row r="1085" ht="22.5" customHeight="1">
      <c r="A1085" s="7"/>
      <c r="B1085" s="8"/>
      <c r="C1085" s="8"/>
      <c r="D1085" s="8"/>
      <c r="E1085" s="16"/>
      <c r="F1085" s="10"/>
      <c r="G1085" s="19"/>
      <c r="H1085" s="18"/>
      <c r="I1085" s="13"/>
      <c r="J1085" s="14"/>
      <c r="K1085" s="8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</row>
    <row r="1086" ht="22.5" customHeight="1">
      <c r="A1086" s="7"/>
      <c r="B1086" s="8"/>
      <c r="C1086" s="8"/>
      <c r="D1086" s="8"/>
      <c r="E1086" s="16"/>
      <c r="F1086" s="10"/>
      <c r="G1086" s="19"/>
      <c r="H1086" s="18"/>
      <c r="I1086" s="13"/>
      <c r="J1086" s="14"/>
      <c r="K1086" s="8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</row>
    <row r="1087" ht="22.5" customHeight="1">
      <c r="A1087" s="7"/>
      <c r="B1087" s="8"/>
      <c r="C1087" s="8"/>
      <c r="D1087" s="8"/>
      <c r="E1087" s="16"/>
      <c r="F1087" s="10"/>
      <c r="G1087" s="19"/>
      <c r="H1087" s="18"/>
      <c r="I1087" s="13"/>
      <c r="J1087" s="14"/>
      <c r="K1087" s="8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</row>
    <row r="1088" ht="22.5" customHeight="1">
      <c r="A1088" s="7"/>
      <c r="B1088" s="8"/>
      <c r="C1088" s="8"/>
      <c r="D1088" s="8"/>
      <c r="E1088" s="16"/>
      <c r="F1088" s="10"/>
      <c r="G1088" s="19"/>
      <c r="H1088" s="18"/>
      <c r="I1088" s="13"/>
      <c r="J1088" s="14"/>
      <c r="K1088" s="8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</row>
    <row r="1089" ht="22.5" customHeight="1">
      <c r="A1089" s="7"/>
      <c r="B1089" s="8"/>
      <c r="C1089" s="8"/>
      <c r="D1089" s="8"/>
      <c r="E1089" s="16"/>
      <c r="F1089" s="10"/>
      <c r="G1089" s="19"/>
      <c r="H1089" s="18"/>
      <c r="I1089" s="13"/>
      <c r="J1089" s="14"/>
      <c r="K1089" s="8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</row>
    <row r="1090" ht="22.5" customHeight="1">
      <c r="A1090" s="7"/>
      <c r="B1090" s="8"/>
      <c r="C1090" s="8"/>
      <c r="D1090" s="8"/>
      <c r="E1090" s="16"/>
      <c r="F1090" s="10"/>
      <c r="G1090" s="19"/>
      <c r="H1090" s="18"/>
      <c r="I1090" s="13"/>
      <c r="J1090" s="14"/>
      <c r="K1090" s="8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</row>
    <row r="1091" ht="22.5" customHeight="1">
      <c r="A1091" s="7"/>
      <c r="B1091" s="8"/>
      <c r="C1091" s="8"/>
      <c r="D1091" s="8"/>
      <c r="E1091" s="16"/>
      <c r="F1091" s="10"/>
      <c r="G1091" s="19"/>
      <c r="H1091" s="18"/>
      <c r="I1091" s="13"/>
      <c r="J1091" s="14"/>
      <c r="K1091" s="8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</row>
    <row r="1092" ht="22.5" customHeight="1">
      <c r="A1092" s="7"/>
      <c r="B1092" s="8"/>
      <c r="C1092" s="8"/>
      <c r="D1092" s="8"/>
      <c r="E1092" s="16"/>
      <c r="F1092" s="10"/>
      <c r="G1092" s="19"/>
      <c r="H1092" s="18"/>
      <c r="I1092" s="13"/>
      <c r="J1092" s="14"/>
      <c r="K1092" s="8"/>
      <c r="L1092" s="15"/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</row>
    <row r="1093" ht="22.5" customHeight="1">
      <c r="A1093" s="7"/>
      <c r="B1093" s="8"/>
      <c r="C1093" s="8"/>
      <c r="D1093" s="8"/>
      <c r="E1093" s="16"/>
      <c r="F1093" s="10"/>
      <c r="G1093" s="19"/>
      <c r="H1093" s="18"/>
      <c r="I1093" s="13"/>
      <c r="J1093" s="14"/>
      <c r="K1093" s="8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</row>
    <row r="1094" ht="22.5" customHeight="1">
      <c r="A1094" s="7"/>
      <c r="B1094" s="8"/>
      <c r="C1094" s="8"/>
      <c r="D1094" s="8"/>
      <c r="E1094" s="16"/>
      <c r="F1094" s="10"/>
      <c r="G1094" s="19"/>
      <c r="H1094" s="18"/>
      <c r="I1094" s="13"/>
      <c r="J1094" s="14"/>
      <c r="K1094" s="8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</row>
    <row r="1095" ht="22.5" customHeight="1">
      <c r="A1095" s="7"/>
      <c r="B1095" s="8"/>
      <c r="C1095" s="8"/>
      <c r="D1095" s="8"/>
      <c r="E1095" s="16"/>
      <c r="F1095" s="10"/>
      <c r="G1095" s="19"/>
      <c r="H1095" s="18"/>
      <c r="I1095" s="13"/>
      <c r="J1095" s="14"/>
      <c r="K1095" s="8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</row>
    <row r="1096" ht="22.5" customHeight="1">
      <c r="A1096" s="7"/>
      <c r="B1096" s="8"/>
      <c r="C1096" s="8"/>
      <c r="D1096" s="8"/>
      <c r="E1096" s="16"/>
      <c r="F1096" s="10"/>
      <c r="G1096" s="19"/>
      <c r="H1096" s="18"/>
      <c r="I1096" s="13"/>
      <c r="J1096" s="14"/>
      <c r="K1096" s="8"/>
      <c r="L1096" s="15"/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</row>
    <row r="1097" ht="22.5" customHeight="1">
      <c r="A1097" s="7"/>
      <c r="B1097" s="8"/>
      <c r="C1097" s="8"/>
      <c r="D1097" s="8"/>
      <c r="E1097" s="16"/>
      <c r="F1097" s="10"/>
      <c r="G1097" s="19"/>
      <c r="H1097" s="18"/>
      <c r="I1097" s="13"/>
      <c r="J1097" s="14"/>
      <c r="K1097" s="8"/>
      <c r="L1097" s="15"/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</row>
    <row r="1098" ht="22.5" customHeight="1">
      <c r="A1098" s="7"/>
      <c r="B1098" s="8"/>
      <c r="C1098" s="8"/>
      <c r="D1098" s="8"/>
      <c r="E1098" s="16"/>
      <c r="F1098" s="10"/>
      <c r="G1098" s="19"/>
      <c r="H1098" s="18"/>
      <c r="I1098" s="13"/>
      <c r="J1098" s="14"/>
      <c r="K1098" s="8"/>
      <c r="L1098" s="15"/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</row>
    <row r="1099" ht="22.5" customHeight="1">
      <c r="A1099" s="7"/>
      <c r="B1099" s="8"/>
      <c r="C1099" s="8"/>
      <c r="D1099" s="8"/>
      <c r="E1099" s="16"/>
      <c r="F1099" s="10"/>
      <c r="G1099" s="19"/>
      <c r="H1099" s="18"/>
      <c r="I1099" s="13"/>
      <c r="J1099" s="14"/>
      <c r="K1099" s="8"/>
      <c r="L1099" s="15"/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</row>
    <row r="1100" ht="22.5" customHeight="1">
      <c r="A1100" s="7"/>
      <c r="B1100" s="8"/>
      <c r="C1100" s="8"/>
      <c r="D1100" s="8"/>
      <c r="E1100" s="16"/>
      <c r="F1100" s="10"/>
      <c r="G1100" s="19"/>
      <c r="H1100" s="18"/>
      <c r="I1100" s="13"/>
      <c r="J1100" s="14"/>
      <c r="K1100" s="8"/>
      <c r="L1100" s="15"/>
      <c r="M1100" s="15"/>
      <c r="N1100" s="15"/>
      <c r="O1100" s="15"/>
      <c r="P1100" s="15"/>
      <c r="Q1100" s="15"/>
      <c r="R1100" s="15"/>
      <c r="S1100" s="15"/>
      <c r="T1100" s="15"/>
      <c r="U1100" s="15"/>
      <c r="V1100" s="15"/>
    </row>
    <row r="1101" ht="22.5" customHeight="1">
      <c r="A1101" s="7"/>
      <c r="B1101" s="8"/>
      <c r="C1101" s="8"/>
      <c r="D1101" s="8"/>
      <c r="E1101" s="16"/>
      <c r="F1101" s="10"/>
      <c r="G1101" s="19"/>
      <c r="H1101" s="18"/>
      <c r="I1101" s="13"/>
      <c r="J1101" s="14"/>
      <c r="K1101" s="8"/>
      <c r="L1101" s="15"/>
      <c r="M1101" s="15"/>
      <c r="N1101" s="15"/>
      <c r="O1101" s="15"/>
      <c r="P1101" s="15"/>
      <c r="Q1101" s="15"/>
      <c r="R1101" s="15"/>
      <c r="S1101" s="15"/>
      <c r="T1101" s="15"/>
      <c r="U1101" s="15"/>
      <c r="V1101" s="15"/>
    </row>
    <row r="1102" ht="22.5" customHeight="1">
      <c r="A1102" s="7"/>
      <c r="B1102" s="8"/>
      <c r="C1102" s="8"/>
      <c r="D1102" s="8"/>
      <c r="E1102" s="16"/>
      <c r="F1102" s="10"/>
      <c r="G1102" s="19"/>
      <c r="H1102" s="18"/>
      <c r="I1102" s="13"/>
      <c r="J1102" s="14"/>
      <c r="K1102" s="8"/>
      <c r="L1102" s="15"/>
      <c r="M1102" s="15"/>
      <c r="N1102" s="15"/>
      <c r="O1102" s="15"/>
      <c r="P1102" s="15"/>
      <c r="Q1102" s="15"/>
      <c r="R1102" s="15"/>
      <c r="S1102" s="15"/>
      <c r="T1102" s="15"/>
      <c r="U1102" s="15"/>
      <c r="V1102" s="15"/>
    </row>
    <row r="1103" ht="22.5" customHeight="1">
      <c r="A1103" s="7"/>
      <c r="B1103" s="8"/>
      <c r="C1103" s="8"/>
      <c r="D1103" s="8"/>
      <c r="E1103" s="16"/>
      <c r="F1103" s="10"/>
      <c r="G1103" s="19"/>
      <c r="H1103" s="18"/>
      <c r="I1103" s="13"/>
      <c r="J1103" s="14"/>
      <c r="K1103" s="8"/>
      <c r="L1103" s="15"/>
      <c r="M1103" s="15"/>
      <c r="N1103" s="15"/>
      <c r="O1103" s="15"/>
      <c r="P1103" s="15"/>
      <c r="Q1103" s="15"/>
      <c r="R1103" s="15"/>
      <c r="S1103" s="15"/>
      <c r="T1103" s="15"/>
      <c r="U1103" s="15"/>
      <c r="V1103" s="15"/>
    </row>
    <row r="1104" ht="22.5" customHeight="1">
      <c r="A1104" s="7"/>
      <c r="B1104" s="8"/>
      <c r="C1104" s="8"/>
      <c r="D1104" s="8"/>
      <c r="E1104" s="16"/>
      <c r="F1104" s="10"/>
      <c r="G1104" s="19"/>
      <c r="H1104" s="18"/>
      <c r="I1104" s="13"/>
      <c r="J1104" s="14"/>
      <c r="K1104" s="8"/>
      <c r="L1104" s="15"/>
      <c r="M1104" s="15"/>
      <c r="N1104" s="15"/>
      <c r="O1104" s="15"/>
      <c r="P1104" s="15"/>
      <c r="Q1104" s="15"/>
      <c r="R1104" s="15"/>
      <c r="S1104" s="15"/>
      <c r="T1104" s="15"/>
      <c r="U1104" s="15"/>
      <c r="V1104" s="15"/>
    </row>
    <row r="1105" ht="22.5" customHeight="1">
      <c r="A1105" s="7"/>
      <c r="B1105" s="8"/>
      <c r="C1105" s="8"/>
      <c r="D1105" s="8"/>
      <c r="E1105" s="16"/>
      <c r="F1105" s="10"/>
      <c r="G1105" s="19"/>
      <c r="H1105" s="18"/>
      <c r="I1105" s="13"/>
      <c r="J1105" s="14"/>
      <c r="K1105" s="8"/>
      <c r="L1105" s="15"/>
      <c r="M1105" s="15"/>
      <c r="N1105" s="15"/>
      <c r="O1105" s="15"/>
      <c r="P1105" s="15"/>
      <c r="Q1105" s="15"/>
      <c r="R1105" s="15"/>
      <c r="S1105" s="15"/>
      <c r="T1105" s="15"/>
      <c r="U1105" s="15"/>
      <c r="V1105" s="15"/>
    </row>
    <row r="1106" ht="22.5" customHeight="1">
      <c r="A1106" s="7"/>
      <c r="B1106" s="8"/>
      <c r="C1106" s="8"/>
      <c r="D1106" s="8"/>
      <c r="E1106" s="16"/>
      <c r="F1106" s="10"/>
      <c r="G1106" s="19"/>
      <c r="H1106" s="18"/>
      <c r="I1106" s="13"/>
      <c r="J1106" s="14"/>
      <c r="K1106" s="8"/>
      <c r="L1106" s="15"/>
      <c r="M1106" s="15"/>
      <c r="N1106" s="15"/>
      <c r="O1106" s="15"/>
      <c r="P1106" s="15"/>
      <c r="Q1106" s="15"/>
      <c r="R1106" s="15"/>
      <c r="S1106" s="15"/>
      <c r="T1106" s="15"/>
      <c r="U1106" s="15"/>
      <c r="V1106" s="15"/>
    </row>
    <row r="1107" ht="22.5" customHeight="1">
      <c r="A1107" s="7"/>
      <c r="B1107" s="8"/>
      <c r="C1107" s="8"/>
      <c r="D1107" s="8"/>
      <c r="E1107" s="16"/>
      <c r="F1107" s="10"/>
      <c r="G1107" s="19"/>
      <c r="H1107" s="18"/>
      <c r="I1107" s="13"/>
      <c r="J1107" s="14"/>
      <c r="K1107" s="8"/>
      <c r="L1107" s="15"/>
      <c r="M1107" s="15"/>
      <c r="N1107" s="15"/>
      <c r="O1107" s="15"/>
      <c r="P1107" s="15"/>
      <c r="Q1107" s="15"/>
      <c r="R1107" s="15"/>
      <c r="S1107" s="15"/>
      <c r="T1107" s="15"/>
      <c r="U1107" s="15"/>
      <c r="V1107" s="15"/>
    </row>
    <row r="1108" ht="22.5" customHeight="1">
      <c r="A1108" s="7"/>
      <c r="B1108" s="8"/>
      <c r="C1108" s="8"/>
      <c r="D1108" s="8"/>
      <c r="E1108" s="16"/>
      <c r="F1108" s="10"/>
      <c r="G1108" s="19"/>
      <c r="H1108" s="18"/>
      <c r="I1108" s="13"/>
      <c r="J1108" s="14"/>
      <c r="K1108" s="8"/>
      <c r="L1108" s="15"/>
      <c r="M1108" s="15"/>
      <c r="N1108" s="15"/>
      <c r="O1108" s="15"/>
      <c r="P1108" s="15"/>
      <c r="Q1108" s="15"/>
      <c r="R1108" s="15"/>
      <c r="S1108" s="15"/>
      <c r="T1108" s="15"/>
      <c r="U1108" s="15"/>
      <c r="V1108" s="15"/>
    </row>
    <row r="1109" ht="22.5" customHeight="1">
      <c r="A1109" s="7"/>
      <c r="B1109" s="8"/>
      <c r="C1109" s="8"/>
      <c r="D1109" s="8"/>
      <c r="E1109" s="16"/>
      <c r="F1109" s="10"/>
      <c r="G1109" s="19"/>
      <c r="H1109" s="18"/>
      <c r="I1109" s="13"/>
      <c r="J1109" s="14"/>
      <c r="K1109" s="8"/>
      <c r="L1109" s="15"/>
      <c r="M1109" s="15"/>
      <c r="N1109" s="15"/>
      <c r="O1109" s="15"/>
      <c r="P1109" s="15"/>
      <c r="Q1109" s="15"/>
      <c r="R1109" s="15"/>
      <c r="S1109" s="15"/>
      <c r="T1109" s="15"/>
      <c r="U1109" s="15"/>
      <c r="V1109" s="15"/>
    </row>
    <row r="1110" ht="22.5" customHeight="1">
      <c r="A1110" s="7"/>
      <c r="B1110" s="8"/>
      <c r="C1110" s="8"/>
      <c r="D1110" s="8"/>
      <c r="E1110" s="16"/>
      <c r="F1110" s="10"/>
      <c r="G1110" s="19"/>
      <c r="H1110" s="18"/>
      <c r="I1110" s="13"/>
      <c r="J1110" s="14"/>
      <c r="K1110" s="8"/>
      <c r="L1110" s="15"/>
      <c r="M1110" s="15"/>
      <c r="N1110" s="15"/>
      <c r="O1110" s="15"/>
      <c r="P1110" s="15"/>
      <c r="Q1110" s="15"/>
      <c r="R1110" s="15"/>
      <c r="S1110" s="15"/>
      <c r="T1110" s="15"/>
      <c r="U1110" s="15"/>
      <c r="V1110" s="15"/>
    </row>
    <row r="1111" ht="22.5" customHeight="1">
      <c r="A1111" s="7"/>
      <c r="B1111" s="8"/>
      <c r="C1111" s="8"/>
      <c r="D1111" s="8"/>
      <c r="E1111" s="16"/>
      <c r="F1111" s="10"/>
      <c r="G1111" s="19"/>
      <c r="H1111" s="18"/>
      <c r="I1111" s="13"/>
      <c r="J1111" s="14"/>
      <c r="K1111" s="8"/>
      <c r="L1111" s="15"/>
      <c r="M1111" s="15"/>
      <c r="N1111" s="15"/>
      <c r="O1111" s="15"/>
      <c r="P1111" s="15"/>
      <c r="Q1111" s="15"/>
      <c r="R1111" s="15"/>
      <c r="S1111" s="15"/>
      <c r="T1111" s="15"/>
      <c r="U1111" s="15"/>
      <c r="V1111" s="15"/>
    </row>
    <row r="1112" ht="22.5" customHeight="1">
      <c r="A1112" s="7"/>
      <c r="B1112" s="8"/>
      <c r="C1112" s="8"/>
      <c r="D1112" s="8"/>
      <c r="E1112" s="16"/>
      <c r="F1112" s="10"/>
      <c r="G1112" s="19"/>
      <c r="H1112" s="18"/>
      <c r="I1112" s="13"/>
      <c r="J1112" s="14"/>
      <c r="K1112" s="8"/>
      <c r="L1112" s="15"/>
      <c r="M1112" s="15"/>
      <c r="N1112" s="15"/>
      <c r="O1112" s="15"/>
      <c r="P1112" s="15"/>
      <c r="Q1112" s="15"/>
      <c r="R1112" s="15"/>
      <c r="S1112" s="15"/>
      <c r="T1112" s="15"/>
      <c r="U1112" s="15"/>
      <c r="V1112" s="15"/>
    </row>
    <row r="1113" ht="22.5" customHeight="1">
      <c r="A1113" s="7"/>
      <c r="B1113" s="8"/>
      <c r="C1113" s="8"/>
      <c r="D1113" s="8"/>
      <c r="E1113" s="16"/>
      <c r="F1113" s="10"/>
      <c r="G1113" s="19"/>
      <c r="H1113" s="18"/>
      <c r="I1113" s="13"/>
      <c r="J1113" s="14"/>
      <c r="K1113" s="8"/>
      <c r="L1113" s="15"/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</row>
    <row r="1114" ht="22.5" customHeight="1">
      <c r="A1114" s="7"/>
      <c r="B1114" s="8"/>
      <c r="C1114" s="8"/>
      <c r="D1114" s="8"/>
      <c r="E1114" s="16"/>
      <c r="F1114" s="10"/>
      <c r="G1114" s="19"/>
      <c r="H1114" s="18"/>
      <c r="I1114" s="13"/>
      <c r="J1114" s="14"/>
      <c r="K1114" s="8"/>
      <c r="L1114" s="15"/>
      <c r="M1114" s="15"/>
      <c r="N1114" s="15"/>
      <c r="O1114" s="15"/>
      <c r="P1114" s="15"/>
      <c r="Q1114" s="15"/>
      <c r="R1114" s="15"/>
      <c r="S1114" s="15"/>
      <c r="T1114" s="15"/>
      <c r="U1114" s="15"/>
      <c r="V1114" s="15"/>
    </row>
    <row r="1115" ht="22.5" customHeight="1">
      <c r="A1115" s="7"/>
      <c r="B1115" s="8"/>
      <c r="C1115" s="8"/>
      <c r="D1115" s="8"/>
      <c r="E1115" s="16"/>
      <c r="F1115" s="10"/>
      <c r="G1115" s="19"/>
      <c r="H1115" s="18"/>
      <c r="I1115" s="13"/>
      <c r="J1115" s="14"/>
      <c r="K1115" s="8"/>
      <c r="L1115" s="15"/>
      <c r="M1115" s="15"/>
      <c r="N1115" s="15"/>
      <c r="O1115" s="15"/>
      <c r="P1115" s="15"/>
      <c r="Q1115" s="15"/>
      <c r="R1115" s="15"/>
      <c r="S1115" s="15"/>
      <c r="T1115" s="15"/>
      <c r="U1115" s="15"/>
      <c r="V1115" s="15"/>
    </row>
    <row r="1116" ht="22.5" customHeight="1">
      <c r="A1116" s="7"/>
      <c r="B1116" s="8"/>
      <c r="C1116" s="8"/>
      <c r="D1116" s="8"/>
      <c r="E1116" s="16"/>
      <c r="F1116" s="10"/>
      <c r="G1116" s="19"/>
      <c r="H1116" s="18"/>
      <c r="I1116" s="13"/>
      <c r="J1116" s="14"/>
      <c r="K1116" s="8"/>
      <c r="L1116" s="15"/>
      <c r="M1116" s="15"/>
      <c r="N1116" s="15"/>
      <c r="O1116" s="15"/>
      <c r="P1116" s="15"/>
      <c r="Q1116" s="15"/>
      <c r="R1116" s="15"/>
      <c r="S1116" s="15"/>
      <c r="T1116" s="15"/>
      <c r="U1116" s="15"/>
      <c r="V1116" s="15"/>
    </row>
    <row r="1117" ht="22.5" customHeight="1">
      <c r="A1117" s="7"/>
      <c r="B1117" s="8"/>
      <c r="C1117" s="8"/>
      <c r="D1117" s="8"/>
      <c r="E1117" s="16"/>
      <c r="F1117" s="10"/>
      <c r="G1117" s="19"/>
      <c r="H1117" s="18"/>
      <c r="I1117" s="13"/>
      <c r="J1117" s="14"/>
      <c r="K1117" s="8"/>
      <c r="L1117" s="15"/>
      <c r="M1117" s="15"/>
      <c r="N1117" s="15"/>
      <c r="O1117" s="15"/>
      <c r="P1117" s="15"/>
      <c r="Q1117" s="15"/>
      <c r="R1117" s="15"/>
      <c r="S1117" s="15"/>
      <c r="T1117" s="15"/>
      <c r="U1117" s="15"/>
      <c r="V1117" s="15"/>
    </row>
    <row r="1118" ht="22.5" customHeight="1">
      <c r="A1118" s="7"/>
      <c r="B1118" s="8"/>
      <c r="C1118" s="8"/>
      <c r="D1118" s="8"/>
      <c r="E1118" s="16"/>
      <c r="F1118" s="10"/>
      <c r="G1118" s="19"/>
      <c r="H1118" s="18"/>
      <c r="I1118" s="13"/>
      <c r="J1118" s="14"/>
      <c r="K1118" s="8"/>
      <c r="L1118" s="15"/>
      <c r="M1118" s="15"/>
      <c r="N1118" s="15"/>
      <c r="O1118" s="15"/>
      <c r="P1118" s="15"/>
      <c r="Q1118" s="15"/>
      <c r="R1118" s="15"/>
      <c r="S1118" s="15"/>
      <c r="T1118" s="15"/>
      <c r="U1118" s="15"/>
      <c r="V1118" s="15"/>
    </row>
    <row r="1119" ht="22.5" customHeight="1">
      <c r="A1119" s="7"/>
      <c r="B1119" s="8"/>
      <c r="C1119" s="8"/>
      <c r="D1119" s="8"/>
      <c r="E1119" s="16"/>
      <c r="F1119" s="10"/>
      <c r="G1119" s="19"/>
      <c r="H1119" s="18"/>
      <c r="I1119" s="13"/>
      <c r="J1119" s="14"/>
      <c r="K1119" s="8"/>
      <c r="L1119" s="15"/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</row>
    <row r="1120" ht="22.5" customHeight="1">
      <c r="A1120" s="7"/>
      <c r="B1120" s="8"/>
      <c r="C1120" s="8"/>
      <c r="D1120" s="8"/>
      <c r="E1120" s="16"/>
      <c r="F1120" s="10"/>
      <c r="G1120" s="19"/>
      <c r="H1120" s="18"/>
      <c r="I1120" s="13"/>
      <c r="J1120" s="14"/>
      <c r="K1120" s="8"/>
      <c r="L1120" s="15"/>
      <c r="M1120" s="15"/>
      <c r="N1120" s="15"/>
      <c r="O1120" s="15"/>
      <c r="P1120" s="15"/>
      <c r="Q1120" s="15"/>
      <c r="R1120" s="15"/>
      <c r="S1120" s="15"/>
      <c r="T1120" s="15"/>
      <c r="U1120" s="15"/>
      <c r="V1120" s="15"/>
    </row>
    <row r="1121" ht="22.5" customHeight="1">
      <c r="A1121" s="7"/>
      <c r="B1121" s="8"/>
      <c r="C1121" s="8"/>
      <c r="D1121" s="8"/>
      <c r="E1121" s="16"/>
      <c r="F1121" s="10"/>
      <c r="G1121" s="19"/>
      <c r="H1121" s="18"/>
      <c r="I1121" s="13"/>
      <c r="J1121" s="14"/>
      <c r="K1121" s="8"/>
      <c r="L1121" s="15"/>
      <c r="M1121" s="15"/>
      <c r="N1121" s="15"/>
      <c r="O1121" s="15"/>
      <c r="P1121" s="15"/>
      <c r="Q1121" s="15"/>
      <c r="R1121" s="15"/>
      <c r="S1121" s="15"/>
      <c r="T1121" s="15"/>
      <c r="U1121" s="15"/>
      <c r="V1121" s="15"/>
    </row>
    <row r="1122" ht="22.5" customHeight="1">
      <c r="A1122" s="7"/>
      <c r="B1122" s="8"/>
      <c r="C1122" s="8"/>
      <c r="D1122" s="8"/>
      <c r="E1122" s="16"/>
      <c r="F1122" s="10"/>
      <c r="G1122" s="19"/>
      <c r="H1122" s="18"/>
      <c r="I1122" s="13"/>
      <c r="J1122" s="14"/>
      <c r="K1122" s="8"/>
      <c r="L1122" s="15"/>
      <c r="M1122" s="15"/>
      <c r="N1122" s="15"/>
      <c r="O1122" s="15"/>
      <c r="P1122" s="15"/>
      <c r="Q1122" s="15"/>
      <c r="R1122" s="15"/>
      <c r="S1122" s="15"/>
      <c r="T1122" s="15"/>
      <c r="U1122" s="15"/>
      <c r="V1122" s="15"/>
    </row>
    <row r="1123" ht="22.5" customHeight="1">
      <c r="A1123" s="7"/>
      <c r="B1123" s="8"/>
      <c r="C1123" s="8"/>
      <c r="D1123" s="8"/>
      <c r="E1123" s="16"/>
      <c r="F1123" s="10"/>
      <c r="G1123" s="19"/>
      <c r="H1123" s="18"/>
      <c r="I1123" s="13"/>
      <c r="J1123" s="14"/>
      <c r="K1123" s="8"/>
      <c r="L1123" s="15"/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</row>
    <row r="1124" ht="22.5" customHeight="1">
      <c r="A1124" s="7"/>
      <c r="B1124" s="8"/>
      <c r="C1124" s="8"/>
      <c r="D1124" s="8"/>
      <c r="E1124" s="16"/>
      <c r="F1124" s="10"/>
      <c r="G1124" s="19"/>
      <c r="H1124" s="18"/>
      <c r="I1124" s="13"/>
      <c r="J1124" s="14"/>
      <c r="K1124" s="8"/>
      <c r="L1124" s="15"/>
      <c r="M1124" s="15"/>
      <c r="N1124" s="15"/>
      <c r="O1124" s="15"/>
      <c r="P1124" s="15"/>
      <c r="Q1124" s="15"/>
      <c r="R1124" s="15"/>
      <c r="S1124" s="15"/>
      <c r="T1124" s="15"/>
      <c r="U1124" s="15"/>
      <c r="V1124" s="15"/>
    </row>
    <row r="1125" ht="22.5" customHeight="1">
      <c r="A1125" s="7"/>
      <c r="B1125" s="8"/>
      <c r="C1125" s="8"/>
      <c r="D1125" s="8"/>
      <c r="E1125" s="16"/>
      <c r="F1125" s="10"/>
      <c r="G1125" s="19"/>
      <c r="H1125" s="18"/>
      <c r="I1125" s="13"/>
      <c r="J1125" s="14"/>
      <c r="K1125" s="8"/>
      <c r="L1125" s="15"/>
      <c r="M1125" s="15"/>
      <c r="N1125" s="15"/>
      <c r="O1125" s="15"/>
      <c r="P1125" s="15"/>
      <c r="Q1125" s="15"/>
      <c r="R1125" s="15"/>
      <c r="S1125" s="15"/>
      <c r="T1125" s="15"/>
      <c r="U1125" s="15"/>
      <c r="V1125" s="15"/>
    </row>
    <row r="1126" ht="22.5" customHeight="1">
      <c r="A1126" s="7"/>
      <c r="B1126" s="8"/>
      <c r="C1126" s="8"/>
      <c r="D1126" s="8"/>
      <c r="E1126" s="16"/>
      <c r="F1126" s="10"/>
      <c r="G1126" s="19"/>
      <c r="H1126" s="18"/>
      <c r="I1126" s="13"/>
      <c r="J1126" s="14"/>
      <c r="K1126" s="8"/>
      <c r="L1126" s="15"/>
      <c r="M1126" s="15"/>
      <c r="N1126" s="15"/>
      <c r="O1126" s="15"/>
      <c r="P1126" s="15"/>
      <c r="Q1126" s="15"/>
      <c r="R1126" s="15"/>
      <c r="S1126" s="15"/>
      <c r="T1126" s="15"/>
      <c r="U1126" s="15"/>
      <c r="V1126" s="15"/>
    </row>
    <row r="1127" ht="22.5" customHeight="1">
      <c r="A1127" s="7"/>
      <c r="B1127" s="8"/>
      <c r="C1127" s="8"/>
      <c r="D1127" s="8"/>
      <c r="E1127" s="16"/>
      <c r="F1127" s="10"/>
      <c r="G1127" s="19"/>
      <c r="H1127" s="18"/>
      <c r="I1127" s="13"/>
      <c r="J1127" s="14"/>
      <c r="K1127" s="8"/>
      <c r="L1127" s="15"/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</row>
    <row r="1128" ht="22.5" customHeight="1">
      <c r="A1128" s="7"/>
      <c r="B1128" s="8"/>
      <c r="C1128" s="8"/>
      <c r="D1128" s="8"/>
      <c r="E1128" s="16"/>
      <c r="F1128" s="10"/>
      <c r="G1128" s="19"/>
      <c r="H1128" s="18"/>
      <c r="I1128" s="13"/>
      <c r="J1128" s="14"/>
      <c r="K1128" s="8"/>
      <c r="L1128" s="15"/>
      <c r="M1128" s="15"/>
      <c r="N1128" s="15"/>
      <c r="O1128" s="15"/>
      <c r="P1128" s="15"/>
      <c r="Q1128" s="15"/>
      <c r="R1128" s="15"/>
      <c r="S1128" s="15"/>
      <c r="T1128" s="15"/>
      <c r="U1128" s="15"/>
      <c r="V1128" s="15"/>
    </row>
    <row r="1129" ht="22.5" customHeight="1">
      <c r="A1129" s="7"/>
      <c r="B1129" s="8"/>
      <c r="C1129" s="8"/>
      <c r="D1129" s="8"/>
      <c r="E1129" s="16"/>
      <c r="F1129" s="10"/>
      <c r="G1129" s="19"/>
      <c r="H1129" s="18"/>
      <c r="I1129" s="13"/>
      <c r="J1129" s="14"/>
      <c r="K1129" s="8"/>
      <c r="L1129" s="15"/>
      <c r="M1129" s="15"/>
      <c r="N1129" s="15"/>
      <c r="O1129" s="15"/>
      <c r="P1129" s="15"/>
      <c r="Q1129" s="15"/>
      <c r="R1129" s="15"/>
      <c r="S1129" s="15"/>
      <c r="T1129" s="15"/>
      <c r="U1129" s="15"/>
      <c r="V1129" s="15"/>
    </row>
    <row r="1130" ht="22.5" customHeight="1">
      <c r="A1130" s="7"/>
      <c r="B1130" s="8"/>
      <c r="C1130" s="8"/>
      <c r="D1130" s="8"/>
      <c r="E1130" s="16"/>
      <c r="F1130" s="10"/>
      <c r="G1130" s="19"/>
      <c r="H1130" s="18"/>
      <c r="I1130" s="13"/>
      <c r="J1130" s="14"/>
      <c r="K1130" s="8"/>
      <c r="L1130" s="15"/>
      <c r="M1130" s="15"/>
      <c r="N1130" s="15"/>
      <c r="O1130" s="15"/>
      <c r="P1130" s="15"/>
      <c r="Q1130" s="15"/>
      <c r="R1130" s="15"/>
      <c r="S1130" s="15"/>
      <c r="T1130" s="15"/>
      <c r="U1130" s="15"/>
      <c r="V1130" s="15"/>
    </row>
    <row r="1131" ht="22.5" customHeight="1">
      <c r="A1131" s="7"/>
      <c r="B1131" s="8"/>
      <c r="C1131" s="8"/>
      <c r="D1131" s="8"/>
      <c r="E1131" s="16"/>
      <c r="F1131" s="10"/>
      <c r="G1131" s="19"/>
      <c r="H1131" s="18"/>
      <c r="I1131" s="13"/>
      <c r="J1131" s="14"/>
      <c r="K1131" s="8"/>
      <c r="L1131" s="15"/>
      <c r="M1131" s="15"/>
      <c r="N1131" s="15"/>
      <c r="O1131" s="15"/>
      <c r="P1131" s="15"/>
      <c r="Q1131" s="15"/>
      <c r="R1131" s="15"/>
      <c r="S1131" s="15"/>
      <c r="T1131" s="15"/>
      <c r="U1131" s="15"/>
      <c r="V1131" s="15"/>
    </row>
    <row r="1132" ht="22.5" customHeight="1">
      <c r="A1132" s="7"/>
      <c r="B1132" s="8"/>
      <c r="C1132" s="8"/>
      <c r="D1132" s="8"/>
      <c r="E1132" s="16"/>
      <c r="F1132" s="10"/>
      <c r="G1132" s="19"/>
      <c r="H1132" s="18"/>
      <c r="I1132" s="13"/>
      <c r="J1132" s="14"/>
      <c r="K1132" s="8"/>
      <c r="L1132" s="15"/>
      <c r="M1132" s="15"/>
      <c r="N1132" s="15"/>
      <c r="O1132" s="15"/>
      <c r="P1132" s="15"/>
      <c r="Q1132" s="15"/>
      <c r="R1132" s="15"/>
      <c r="S1132" s="15"/>
      <c r="T1132" s="15"/>
      <c r="U1132" s="15"/>
      <c r="V1132" s="15"/>
    </row>
    <row r="1133" ht="22.5" customHeight="1">
      <c r="A1133" s="7"/>
      <c r="B1133" s="8"/>
      <c r="C1133" s="8"/>
      <c r="D1133" s="8"/>
      <c r="E1133" s="16"/>
      <c r="F1133" s="10"/>
      <c r="G1133" s="19"/>
      <c r="H1133" s="18"/>
      <c r="I1133" s="13"/>
      <c r="J1133" s="14"/>
      <c r="K1133" s="8"/>
      <c r="L1133" s="15"/>
      <c r="M1133" s="15"/>
      <c r="N1133" s="15"/>
      <c r="O1133" s="15"/>
      <c r="P1133" s="15"/>
      <c r="Q1133" s="15"/>
      <c r="R1133" s="15"/>
      <c r="S1133" s="15"/>
      <c r="T1133" s="15"/>
      <c r="U1133" s="15"/>
      <c r="V1133" s="15"/>
    </row>
    <row r="1134" ht="22.5" customHeight="1">
      <c r="A1134" s="7"/>
      <c r="B1134" s="8"/>
      <c r="C1134" s="8"/>
      <c r="D1134" s="8"/>
      <c r="E1134" s="16"/>
      <c r="F1134" s="10"/>
      <c r="G1134" s="19"/>
      <c r="H1134" s="18"/>
      <c r="I1134" s="13"/>
      <c r="J1134" s="14"/>
      <c r="K1134" s="8"/>
      <c r="L1134" s="15"/>
      <c r="M1134" s="15"/>
      <c r="N1134" s="15"/>
      <c r="O1134" s="15"/>
      <c r="P1134" s="15"/>
      <c r="Q1134" s="15"/>
      <c r="R1134" s="15"/>
      <c r="S1134" s="15"/>
      <c r="T1134" s="15"/>
      <c r="U1134" s="15"/>
      <c r="V1134" s="15"/>
    </row>
    <row r="1135" ht="22.5" customHeight="1">
      <c r="A1135" s="7"/>
      <c r="B1135" s="8"/>
      <c r="C1135" s="8"/>
      <c r="D1135" s="8"/>
      <c r="E1135" s="16"/>
      <c r="F1135" s="10"/>
      <c r="G1135" s="19"/>
      <c r="H1135" s="18"/>
      <c r="I1135" s="13"/>
      <c r="J1135" s="14"/>
      <c r="K1135" s="8"/>
      <c r="L1135" s="15"/>
      <c r="M1135" s="15"/>
      <c r="N1135" s="15"/>
      <c r="O1135" s="15"/>
      <c r="P1135" s="15"/>
      <c r="Q1135" s="15"/>
      <c r="R1135" s="15"/>
      <c r="S1135" s="15"/>
      <c r="T1135" s="15"/>
      <c r="U1135" s="15"/>
      <c r="V1135" s="15"/>
    </row>
    <row r="1136" ht="22.5" customHeight="1">
      <c r="A1136" s="7"/>
      <c r="B1136" s="8"/>
      <c r="C1136" s="8"/>
      <c r="D1136" s="8"/>
      <c r="E1136" s="16"/>
      <c r="F1136" s="10"/>
      <c r="G1136" s="19"/>
      <c r="H1136" s="18"/>
      <c r="I1136" s="13"/>
      <c r="J1136" s="14"/>
      <c r="K1136" s="8"/>
      <c r="L1136" s="15"/>
      <c r="M1136" s="15"/>
      <c r="N1136" s="15"/>
      <c r="O1136" s="15"/>
      <c r="P1136" s="15"/>
      <c r="Q1136" s="15"/>
      <c r="R1136" s="15"/>
      <c r="S1136" s="15"/>
      <c r="T1136" s="15"/>
      <c r="U1136" s="15"/>
      <c r="V1136" s="15"/>
    </row>
    <row r="1137" ht="22.5" customHeight="1">
      <c r="A1137" s="7"/>
      <c r="B1137" s="8"/>
      <c r="C1137" s="8"/>
      <c r="D1137" s="8"/>
      <c r="E1137" s="16"/>
      <c r="F1137" s="10"/>
      <c r="G1137" s="19"/>
      <c r="H1137" s="18"/>
      <c r="I1137" s="13"/>
      <c r="J1137" s="14"/>
      <c r="K1137" s="8"/>
      <c r="L1137" s="15"/>
      <c r="M1137" s="15"/>
      <c r="N1137" s="15"/>
      <c r="O1137" s="15"/>
      <c r="P1137" s="15"/>
      <c r="Q1137" s="15"/>
      <c r="R1137" s="15"/>
      <c r="S1137" s="15"/>
      <c r="T1137" s="15"/>
      <c r="U1137" s="15"/>
      <c r="V1137" s="15"/>
    </row>
    <row r="1138" ht="22.5" customHeight="1">
      <c r="A1138" s="7"/>
      <c r="B1138" s="8"/>
      <c r="C1138" s="8"/>
      <c r="D1138" s="8"/>
      <c r="E1138" s="16"/>
      <c r="F1138" s="10"/>
      <c r="G1138" s="19"/>
      <c r="H1138" s="18"/>
      <c r="I1138" s="13"/>
      <c r="J1138" s="14"/>
      <c r="K1138" s="8"/>
      <c r="L1138" s="15"/>
      <c r="M1138" s="15"/>
      <c r="N1138" s="15"/>
      <c r="O1138" s="15"/>
      <c r="P1138" s="15"/>
      <c r="Q1138" s="15"/>
      <c r="R1138" s="15"/>
      <c r="S1138" s="15"/>
      <c r="T1138" s="15"/>
      <c r="U1138" s="15"/>
      <c r="V1138" s="15"/>
    </row>
    <row r="1139" ht="22.5" customHeight="1">
      <c r="A1139" s="7"/>
      <c r="B1139" s="8"/>
      <c r="C1139" s="8"/>
      <c r="D1139" s="8"/>
      <c r="E1139" s="16"/>
      <c r="F1139" s="10"/>
      <c r="G1139" s="19"/>
      <c r="H1139" s="18"/>
      <c r="I1139" s="13"/>
      <c r="J1139" s="14"/>
      <c r="K1139" s="8"/>
      <c r="L1139" s="15"/>
      <c r="M1139" s="15"/>
      <c r="N1139" s="15"/>
      <c r="O1139" s="15"/>
      <c r="P1139" s="15"/>
      <c r="Q1139" s="15"/>
      <c r="R1139" s="15"/>
      <c r="S1139" s="15"/>
      <c r="T1139" s="15"/>
      <c r="U1139" s="15"/>
      <c r="V1139" s="15"/>
    </row>
    <row r="1140" ht="22.5" customHeight="1">
      <c r="A1140" s="7"/>
      <c r="B1140" s="8"/>
      <c r="C1140" s="8"/>
      <c r="D1140" s="8"/>
      <c r="E1140" s="16"/>
      <c r="F1140" s="10"/>
      <c r="G1140" s="19"/>
      <c r="H1140" s="18"/>
      <c r="I1140" s="13"/>
      <c r="J1140" s="14"/>
      <c r="K1140" s="8"/>
      <c r="L1140" s="15"/>
      <c r="M1140" s="15"/>
      <c r="N1140" s="15"/>
      <c r="O1140" s="15"/>
      <c r="P1140" s="15"/>
      <c r="Q1140" s="15"/>
      <c r="R1140" s="15"/>
      <c r="S1140" s="15"/>
      <c r="T1140" s="15"/>
      <c r="U1140" s="15"/>
      <c r="V1140" s="15"/>
    </row>
    <row r="1141" ht="22.5" customHeight="1">
      <c r="A1141" s="7"/>
      <c r="B1141" s="8"/>
      <c r="C1141" s="8"/>
      <c r="D1141" s="8"/>
      <c r="E1141" s="16"/>
      <c r="F1141" s="10"/>
      <c r="G1141" s="19"/>
      <c r="H1141" s="18"/>
      <c r="I1141" s="13"/>
      <c r="J1141" s="14"/>
      <c r="K1141" s="8"/>
      <c r="L1141" s="15"/>
      <c r="M1141" s="15"/>
      <c r="N1141" s="15"/>
      <c r="O1141" s="15"/>
      <c r="P1141" s="15"/>
      <c r="Q1141" s="15"/>
      <c r="R1141" s="15"/>
      <c r="S1141" s="15"/>
      <c r="T1141" s="15"/>
      <c r="U1141" s="15"/>
      <c r="V1141" s="15"/>
    </row>
    <row r="1142" ht="22.5" customHeight="1">
      <c r="A1142" s="7"/>
      <c r="B1142" s="8"/>
      <c r="C1142" s="8"/>
      <c r="D1142" s="8"/>
      <c r="E1142" s="16"/>
      <c r="F1142" s="10"/>
      <c r="G1142" s="19"/>
      <c r="H1142" s="18"/>
      <c r="I1142" s="13"/>
      <c r="J1142" s="14"/>
      <c r="K1142" s="8"/>
      <c r="L1142" s="15"/>
      <c r="M1142" s="15"/>
      <c r="N1142" s="15"/>
      <c r="O1142" s="15"/>
      <c r="P1142" s="15"/>
      <c r="Q1142" s="15"/>
      <c r="R1142" s="15"/>
      <c r="S1142" s="15"/>
      <c r="T1142" s="15"/>
      <c r="U1142" s="15"/>
      <c r="V1142" s="15"/>
    </row>
    <row r="1143" ht="22.5" customHeight="1">
      <c r="A1143" s="7"/>
      <c r="B1143" s="8"/>
      <c r="C1143" s="8"/>
      <c r="D1143" s="8"/>
      <c r="E1143" s="16"/>
      <c r="F1143" s="10"/>
      <c r="G1143" s="19"/>
      <c r="H1143" s="18"/>
      <c r="I1143" s="13"/>
      <c r="J1143" s="14"/>
      <c r="K1143" s="8"/>
      <c r="L1143" s="15"/>
      <c r="M1143" s="15"/>
      <c r="N1143" s="15"/>
      <c r="O1143" s="15"/>
      <c r="P1143" s="15"/>
      <c r="Q1143" s="15"/>
      <c r="R1143" s="15"/>
      <c r="S1143" s="15"/>
      <c r="T1143" s="15"/>
      <c r="U1143" s="15"/>
      <c r="V1143" s="15"/>
    </row>
    <row r="1144" ht="22.5" customHeight="1">
      <c r="A1144" s="7"/>
      <c r="B1144" s="8"/>
      <c r="C1144" s="8"/>
      <c r="D1144" s="8"/>
      <c r="E1144" s="16"/>
      <c r="F1144" s="10"/>
      <c r="G1144" s="19"/>
      <c r="H1144" s="18"/>
      <c r="I1144" s="13"/>
      <c r="J1144" s="14"/>
      <c r="K1144" s="8"/>
      <c r="L1144" s="15"/>
      <c r="M1144" s="15"/>
      <c r="N1144" s="15"/>
      <c r="O1144" s="15"/>
      <c r="P1144" s="15"/>
      <c r="Q1144" s="15"/>
      <c r="R1144" s="15"/>
      <c r="S1144" s="15"/>
      <c r="T1144" s="15"/>
      <c r="U1144" s="15"/>
      <c r="V1144" s="15"/>
    </row>
    <row r="1145" ht="22.5" customHeight="1">
      <c r="A1145" s="7"/>
      <c r="B1145" s="8"/>
      <c r="C1145" s="8"/>
      <c r="D1145" s="8"/>
      <c r="E1145" s="16"/>
      <c r="F1145" s="10"/>
      <c r="G1145" s="19"/>
      <c r="H1145" s="18"/>
      <c r="I1145" s="13"/>
      <c r="J1145" s="14"/>
      <c r="K1145" s="8"/>
      <c r="L1145" s="15"/>
      <c r="M1145" s="15"/>
      <c r="N1145" s="15"/>
      <c r="O1145" s="15"/>
      <c r="P1145" s="15"/>
      <c r="Q1145" s="15"/>
      <c r="R1145" s="15"/>
      <c r="S1145" s="15"/>
      <c r="T1145" s="15"/>
      <c r="U1145" s="15"/>
      <c r="V1145" s="15"/>
    </row>
    <row r="1146" ht="22.5" customHeight="1">
      <c r="A1146" s="7"/>
      <c r="B1146" s="8"/>
      <c r="C1146" s="8"/>
      <c r="D1146" s="8"/>
      <c r="E1146" s="16"/>
      <c r="F1146" s="10"/>
      <c r="G1146" s="19"/>
      <c r="H1146" s="18"/>
      <c r="I1146" s="13"/>
      <c r="J1146" s="14"/>
      <c r="K1146" s="8"/>
      <c r="L1146" s="15"/>
      <c r="M1146" s="15"/>
      <c r="N1146" s="15"/>
      <c r="O1146" s="15"/>
      <c r="P1146" s="15"/>
      <c r="Q1146" s="15"/>
      <c r="R1146" s="15"/>
      <c r="S1146" s="15"/>
      <c r="T1146" s="15"/>
      <c r="U1146" s="15"/>
      <c r="V1146" s="15"/>
    </row>
    <row r="1147" ht="22.5" customHeight="1">
      <c r="A1147" s="7"/>
      <c r="B1147" s="8"/>
      <c r="C1147" s="8"/>
      <c r="D1147" s="8"/>
      <c r="E1147" s="16"/>
      <c r="F1147" s="10"/>
      <c r="G1147" s="19"/>
      <c r="H1147" s="18"/>
      <c r="I1147" s="13"/>
      <c r="J1147" s="14"/>
      <c r="K1147" s="8"/>
      <c r="L1147" s="15"/>
      <c r="M1147" s="15"/>
      <c r="N1147" s="15"/>
      <c r="O1147" s="15"/>
      <c r="P1147" s="15"/>
      <c r="Q1147" s="15"/>
      <c r="R1147" s="15"/>
      <c r="S1147" s="15"/>
      <c r="T1147" s="15"/>
      <c r="U1147" s="15"/>
      <c r="V1147" s="15"/>
    </row>
    <row r="1148" ht="22.5" customHeight="1">
      <c r="A1148" s="7"/>
      <c r="B1148" s="8"/>
      <c r="C1148" s="8"/>
      <c r="D1148" s="8"/>
      <c r="E1148" s="16"/>
      <c r="F1148" s="10"/>
      <c r="G1148" s="19"/>
      <c r="H1148" s="18"/>
      <c r="I1148" s="13"/>
      <c r="J1148" s="14"/>
      <c r="K1148" s="8"/>
      <c r="L1148" s="15"/>
      <c r="M1148" s="15"/>
      <c r="N1148" s="15"/>
      <c r="O1148" s="15"/>
      <c r="P1148" s="15"/>
      <c r="Q1148" s="15"/>
      <c r="R1148" s="15"/>
      <c r="S1148" s="15"/>
      <c r="T1148" s="15"/>
      <c r="U1148" s="15"/>
      <c r="V1148" s="15"/>
    </row>
    <row r="1149" ht="22.5" customHeight="1">
      <c r="A1149" s="7"/>
      <c r="B1149" s="8"/>
      <c r="C1149" s="8"/>
      <c r="D1149" s="8"/>
      <c r="E1149" s="16"/>
      <c r="F1149" s="10"/>
      <c r="G1149" s="19"/>
      <c r="H1149" s="18"/>
      <c r="I1149" s="13"/>
      <c r="J1149" s="14"/>
      <c r="K1149" s="8"/>
      <c r="L1149" s="15"/>
      <c r="M1149" s="15"/>
      <c r="N1149" s="15"/>
      <c r="O1149" s="15"/>
      <c r="P1149" s="15"/>
      <c r="Q1149" s="15"/>
      <c r="R1149" s="15"/>
      <c r="S1149" s="15"/>
      <c r="T1149" s="15"/>
      <c r="U1149" s="15"/>
      <c r="V1149" s="15"/>
    </row>
    <row r="1150" ht="22.5" customHeight="1">
      <c r="A1150" s="7"/>
      <c r="B1150" s="8"/>
      <c r="C1150" s="8"/>
      <c r="D1150" s="8"/>
      <c r="E1150" s="16"/>
      <c r="F1150" s="10"/>
      <c r="G1150" s="19"/>
      <c r="H1150" s="18"/>
      <c r="I1150" s="13"/>
      <c r="J1150" s="14"/>
      <c r="K1150" s="8"/>
      <c r="L1150" s="15"/>
      <c r="M1150" s="15"/>
      <c r="N1150" s="15"/>
      <c r="O1150" s="15"/>
      <c r="P1150" s="15"/>
      <c r="Q1150" s="15"/>
      <c r="R1150" s="15"/>
      <c r="S1150" s="15"/>
      <c r="T1150" s="15"/>
      <c r="U1150" s="15"/>
      <c r="V1150" s="15"/>
    </row>
    <row r="1151" ht="22.5" customHeight="1">
      <c r="A1151" s="7"/>
      <c r="B1151" s="8"/>
      <c r="C1151" s="8"/>
      <c r="D1151" s="8"/>
      <c r="E1151" s="16"/>
      <c r="F1151" s="10"/>
      <c r="G1151" s="19"/>
      <c r="H1151" s="18"/>
      <c r="I1151" s="13"/>
      <c r="J1151" s="14"/>
      <c r="K1151" s="8"/>
      <c r="L1151" s="15"/>
      <c r="M1151" s="15"/>
      <c r="N1151" s="15"/>
      <c r="O1151" s="15"/>
      <c r="P1151" s="15"/>
      <c r="Q1151" s="15"/>
      <c r="R1151" s="15"/>
      <c r="S1151" s="15"/>
      <c r="T1151" s="15"/>
      <c r="U1151" s="15"/>
      <c r="V1151" s="15"/>
    </row>
    <row r="1152" ht="22.5" customHeight="1">
      <c r="A1152" s="7"/>
      <c r="B1152" s="8"/>
      <c r="C1152" s="8"/>
      <c r="D1152" s="8"/>
      <c r="E1152" s="16"/>
      <c r="F1152" s="10"/>
      <c r="G1152" s="19"/>
      <c r="H1152" s="18"/>
      <c r="I1152" s="13"/>
      <c r="J1152" s="14"/>
      <c r="K1152" s="8"/>
      <c r="L1152" s="15"/>
      <c r="M1152" s="15"/>
      <c r="N1152" s="15"/>
      <c r="O1152" s="15"/>
      <c r="P1152" s="15"/>
      <c r="Q1152" s="15"/>
      <c r="R1152" s="15"/>
      <c r="S1152" s="15"/>
      <c r="T1152" s="15"/>
      <c r="U1152" s="15"/>
      <c r="V1152" s="15"/>
    </row>
    <row r="1153" ht="22.5" customHeight="1">
      <c r="A1153" s="7"/>
      <c r="B1153" s="8"/>
      <c r="C1153" s="8"/>
      <c r="D1153" s="8"/>
      <c r="E1153" s="16"/>
      <c r="F1153" s="10"/>
      <c r="G1153" s="19"/>
      <c r="H1153" s="18"/>
      <c r="I1153" s="13"/>
      <c r="J1153" s="14"/>
      <c r="K1153" s="8"/>
      <c r="L1153" s="15"/>
      <c r="M1153" s="15"/>
      <c r="N1153" s="15"/>
      <c r="O1153" s="15"/>
      <c r="P1153" s="15"/>
      <c r="Q1153" s="15"/>
      <c r="R1153" s="15"/>
      <c r="S1153" s="15"/>
      <c r="T1153" s="15"/>
      <c r="U1153" s="15"/>
      <c r="V1153" s="15"/>
    </row>
    <row r="1154" ht="22.5" customHeight="1">
      <c r="A1154" s="7"/>
      <c r="B1154" s="8"/>
      <c r="C1154" s="8"/>
      <c r="D1154" s="8"/>
      <c r="E1154" s="16"/>
      <c r="F1154" s="10"/>
      <c r="G1154" s="19"/>
      <c r="H1154" s="18"/>
      <c r="I1154" s="13"/>
      <c r="J1154" s="14"/>
      <c r="K1154" s="8"/>
      <c r="L1154" s="15"/>
      <c r="M1154" s="15"/>
      <c r="N1154" s="15"/>
      <c r="O1154" s="15"/>
      <c r="P1154" s="15"/>
      <c r="Q1154" s="15"/>
      <c r="R1154" s="15"/>
      <c r="S1154" s="15"/>
      <c r="T1154" s="15"/>
      <c r="U1154" s="15"/>
      <c r="V1154" s="15"/>
    </row>
    <row r="1155" ht="22.5" customHeight="1">
      <c r="A1155" s="7"/>
      <c r="B1155" s="8"/>
      <c r="C1155" s="8"/>
      <c r="D1155" s="8"/>
      <c r="E1155" s="16"/>
      <c r="F1155" s="10"/>
      <c r="G1155" s="19"/>
      <c r="H1155" s="18"/>
      <c r="I1155" s="13"/>
      <c r="J1155" s="14"/>
      <c r="K1155" s="8"/>
      <c r="L1155" s="15"/>
      <c r="M1155" s="15"/>
      <c r="N1155" s="15"/>
      <c r="O1155" s="15"/>
      <c r="P1155" s="15"/>
      <c r="Q1155" s="15"/>
      <c r="R1155" s="15"/>
      <c r="S1155" s="15"/>
      <c r="T1155" s="15"/>
      <c r="U1155" s="15"/>
      <c r="V1155" s="15"/>
    </row>
    <row r="1156" ht="22.5" customHeight="1">
      <c r="A1156" s="7"/>
      <c r="B1156" s="8"/>
      <c r="C1156" s="8"/>
      <c r="D1156" s="8"/>
      <c r="E1156" s="16"/>
      <c r="F1156" s="10"/>
      <c r="G1156" s="19"/>
      <c r="H1156" s="18"/>
      <c r="I1156" s="13"/>
      <c r="J1156" s="14"/>
      <c r="K1156" s="8"/>
      <c r="L1156" s="15"/>
      <c r="M1156" s="15"/>
      <c r="N1156" s="15"/>
      <c r="O1156" s="15"/>
      <c r="P1156" s="15"/>
      <c r="Q1156" s="15"/>
      <c r="R1156" s="15"/>
      <c r="S1156" s="15"/>
      <c r="T1156" s="15"/>
      <c r="U1156" s="15"/>
      <c r="V1156" s="15"/>
    </row>
    <row r="1157" ht="22.5" customHeight="1">
      <c r="A1157" s="7"/>
      <c r="B1157" s="8"/>
      <c r="C1157" s="8"/>
      <c r="D1157" s="8"/>
      <c r="E1157" s="16"/>
      <c r="F1157" s="10"/>
      <c r="G1157" s="19"/>
      <c r="H1157" s="18"/>
      <c r="I1157" s="13"/>
      <c r="J1157" s="14"/>
      <c r="K1157" s="8"/>
      <c r="L1157" s="15"/>
      <c r="M1157" s="15"/>
      <c r="N1157" s="15"/>
      <c r="O1157" s="15"/>
      <c r="P1157" s="15"/>
      <c r="Q1157" s="15"/>
      <c r="R1157" s="15"/>
      <c r="S1157" s="15"/>
      <c r="T1157" s="15"/>
      <c r="U1157" s="15"/>
      <c r="V1157" s="15"/>
    </row>
    <row r="1158" ht="22.5" customHeight="1">
      <c r="A1158" s="7"/>
      <c r="B1158" s="8"/>
      <c r="C1158" s="8"/>
      <c r="D1158" s="8"/>
      <c r="E1158" s="16"/>
      <c r="F1158" s="10"/>
      <c r="G1158" s="19"/>
      <c r="H1158" s="18"/>
      <c r="I1158" s="13"/>
      <c r="J1158" s="14"/>
      <c r="K1158" s="8"/>
      <c r="L1158" s="15"/>
      <c r="M1158" s="15"/>
      <c r="N1158" s="15"/>
      <c r="O1158" s="15"/>
      <c r="P1158" s="15"/>
      <c r="Q1158" s="15"/>
      <c r="R1158" s="15"/>
      <c r="S1158" s="15"/>
      <c r="T1158" s="15"/>
      <c r="U1158" s="15"/>
      <c r="V1158" s="15"/>
    </row>
    <row r="1159" ht="22.5" customHeight="1">
      <c r="A1159" s="7"/>
      <c r="B1159" s="8"/>
      <c r="C1159" s="8"/>
      <c r="D1159" s="8"/>
      <c r="E1159" s="16"/>
      <c r="F1159" s="10"/>
      <c r="G1159" s="19"/>
      <c r="H1159" s="18"/>
      <c r="I1159" s="13"/>
      <c r="J1159" s="14"/>
      <c r="K1159" s="8"/>
      <c r="L1159" s="15"/>
      <c r="M1159" s="15"/>
      <c r="N1159" s="15"/>
      <c r="O1159" s="15"/>
      <c r="P1159" s="15"/>
      <c r="Q1159" s="15"/>
      <c r="R1159" s="15"/>
      <c r="S1159" s="15"/>
      <c r="T1159" s="15"/>
      <c r="U1159" s="15"/>
      <c r="V1159" s="15"/>
    </row>
    <row r="1160" ht="22.5" customHeight="1">
      <c r="A1160" s="7"/>
      <c r="B1160" s="8"/>
      <c r="C1160" s="8"/>
      <c r="D1160" s="8"/>
      <c r="E1160" s="16"/>
      <c r="F1160" s="10"/>
      <c r="G1160" s="19"/>
      <c r="H1160" s="18"/>
      <c r="I1160" s="13"/>
      <c r="J1160" s="14"/>
      <c r="K1160" s="8"/>
      <c r="L1160" s="15"/>
      <c r="M1160" s="15"/>
      <c r="N1160" s="15"/>
      <c r="O1160" s="15"/>
      <c r="P1160" s="15"/>
      <c r="Q1160" s="15"/>
      <c r="R1160" s="15"/>
      <c r="S1160" s="15"/>
      <c r="T1160" s="15"/>
      <c r="U1160" s="15"/>
      <c r="V1160" s="15"/>
    </row>
    <row r="1161" ht="22.5" customHeight="1">
      <c r="A1161" s="7"/>
      <c r="B1161" s="8"/>
      <c r="C1161" s="8"/>
      <c r="D1161" s="8"/>
      <c r="E1161" s="16"/>
      <c r="F1161" s="10"/>
      <c r="G1161" s="19"/>
      <c r="H1161" s="18"/>
      <c r="I1161" s="13"/>
      <c r="J1161" s="14"/>
      <c r="K1161" s="8"/>
      <c r="L1161" s="15"/>
      <c r="M1161" s="15"/>
      <c r="N1161" s="15"/>
      <c r="O1161" s="15"/>
      <c r="P1161" s="15"/>
      <c r="Q1161" s="15"/>
      <c r="R1161" s="15"/>
      <c r="S1161" s="15"/>
      <c r="T1161" s="15"/>
      <c r="U1161" s="15"/>
      <c r="V1161" s="15"/>
    </row>
    <row r="1162" ht="22.5" customHeight="1">
      <c r="A1162" s="7"/>
      <c r="B1162" s="8"/>
      <c r="C1162" s="8"/>
      <c r="D1162" s="8"/>
      <c r="E1162" s="16"/>
      <c r="F1162" s="10"/>
      <c r="G1162" s="19"/>
      <c r="H1162" s="18"/>
      <c r="I1162" s="13"/>
      <c r="J1162" s="14"/>
      <c r="K1162" s="8"/>
      <c r="L1162" s="15"/>
      <c r="M1162" s="15"/>
      <c r="N1162" s="15"/>
      <c r="O1162" s="15"/>
      <c r="P1162" s="15"/>
      <c r="Q1162" s="15"/>
      <c r="R1162" s="15"/>
      <c r="S1162" s="15"/>
      <c r="T1162" s="15"/>
      <c r="U1162" s="15"/>
      <c r="V1162" s="15"/>
    </row>
    <row r="1163" ht="22.5" customHeight="1">
      <c r="A1163" s="7"/>
      <c r="B1163" s="8"/>
      <c r="C1163" s="8"/>
      <c r="D1163" s="8"/>
      <c r="E1163" s="16"/>
      <c r="F1163" s="10"/>
      <c r="G1163" s="19"/>
      <c r="H1163" s="18"/>
      <c r="I1163" s="13"/>
      <c r="J1163" s="14"/>
      <c r="K1163" s="8"/>
      <c r="L1163" s="15"/>
      <c r="M1163" s="15"/>
      <c r="N1163" s="15"/>
      <c r="O1163" s="15"/>
      <c r="P1163" s="15"/>
      <c r="Q1163" s="15"/>
      <c r="R1163" s="15"/>
      <c r="S1163" s="15"/>
      <c r="T1163" s="15"/>
      <c r="U1163" s="15"/>
      <c r="V1163" s="15"/>
    </row>
    <row r="1164" ht="22.5" customHeight="1">
      <c r="A1164" s="7"/>
      <c r="B1164" s="8"/>
      <c r="C1164" s="8"/>
      <c r="D1164" s="8"/>
      <c r="E1164" s="16"/>
      <c r="F1164" s="10"/>
      <c r="G1164" s="19"/>
      <c r="H1164" s="18"/>
      <c r="I1164" s="13"/>
      <c r="J1164" s="14"/>
      <c r="K1164" s="8"/>
      <c r="L1164" s="15"/>
      <c r="M1164" s="15"/>
      <c r="N1164" s="15"/>
      <c r="O1164" s="15"/>
      <c r="P1164" s="15"/>
      <c r="Q1164" s="15"/>
      <c r="R1164" s="15"/>
      <c r="S1164" s="15"/>
      <c r="T1164" s="15"/>
      <c r="U1164" s="15"/>
      <c r="V1164" s="15"/>
    </row>
    <row r="1165" ht="22.5" customHeight="1">
      <c r="A1165" s="7"/>
      <c r="B1165" s="8"/>
      <c r="C1165" s="8"/>
      <c r="D1165" s="8"/>
      <c r="E1165" s="16"/>
      <c r="F1165" s="10"/>
      <c r="G1165" s="19"/>
      <c r="H1165" s="18"/>
      <c r="I1165" s="13"/>
      <c r="J1165" s="14"/>
      <c r="K1165" s="8"/>
      <c r="L1165" s="15"/>
      <c r="M1165" s="15"/>
      <c r="N1165" s="15"/>
      <c r="O1165" s="15"/>
      <c r="P1165" s="15"/>
      <c r="Q1165" s="15"/>
      <c r="R1165" s="15"/>
      <c r="S1165" s="15"/>
      <c r="T1165" s="15"/>
      <c r="U1165" s="15"/>
      <c r="V1165" s="15"/>
    </row>
    <row r="1166" ht="22.5" customHeight="1">
      <c r="A1166" s="7"/>
      <c r="B1166" s="8"/>
      <c r="C1166" s="8"/>
      <c r="D1166" s="8"/>
      <c r="E1166" s="16"/>
      <c r="F1166" s="10"/>
      <c r="G1166" s="19"/>
      <c r="H1166" s="18"/>
      <c r="I1166" s="13"/>
      <c r="J1166" s="14"/>
      <c r="K1166" s="8"/>
      <c r="L1166" s="15"/>
      <c r="M1166" s="15"/>
      <c r="N1166" s="15"/>
      <c r="O1166" s="15"/>
      <c r="P1166" s="15"/>
      <c r="Q1166" s="15"/>
      <c r="R1166" s="15"/>
      <c r="S1166" s="15"/>
      <c r="T1166" s="15"/>
      <c r="U1166" s="15"/>
      <c r="V1166" s="15"/>
    </row>
    <row r="1167" ht="22.5" customHeight="1">
      <c r="A1167" s="7"/>
      <c r="B1167" s="8"/>
      <c r="C1167" s="8"/>
      <c r="D1167" s="8"/>
      <c r="E1167" s="16"/>
      <c r="F1167" s="10"/>
      <c r="G1167" s="19"/>
      <c r="H1167" s="18"/>
      <c r="I1167" s="13"/>
      <c r="J1167" s="14"/>
      <c r="K1167" s="8"/>
      <c r="L1167" s="15"/>
      <c r="M1167" s="15"/>
      <c r="N1167" s="15"/>
      <c r="O1167" s="15"/>
      <c r="P1167" s="15"/>
      <c r="Q1167" s="15"/>
      <c r="R1167" s="15"/>
      <c r="S1167" s="15"/>
      <c r="T1167" s="15"/>
      <c r="U1167" s="15"/>
      <c r="V1167" s="15"/>
    </row>
    <row r="1168" ht="22.5" customHeight="1">
      <c r="A1168" s="7"/>
      <c r="B1168" s="8"/>
      <c r="C1168" s="8"/>
      <c r="D1168" s="8"/>
      <c r="E1168" s="16"/>
      <c r="F1168" s="10"/>
      <c r="G1168" s="19"/>
      <c r="H1168" s="18"/>
      <c r="I1168" s="13"/>
      <c r="J1168" s="14"/>
      <c r="K1168" s="8"/>
      <c r="L1168" s="15"/>
      <c r="M1168" s="15"/>
      <c r="N1168" s="15"/>
      <c r="O1168" s="15"/>
      <c r="P1168" s="15"/>
      <c r="Q1168" s="15"/>
      <c r="R1168" s="15"/>
      <c r="S1168" s="15"/>
      <c r="T1168" s="15"/>
      <c r="U1168" s="15"/>
      <c r="V1168" s="15"/>
    </row>
    <row r="1169" ht="22.5" customHeight="1">
      <c r="A1169" s="7"/>
      <c r="B1169" s="8"/>
      <c r="C1169" s="8"/>
      <c r="D1169" s="8"/>
      <c r="E1169" s="16"/>
      <c r="F1169" s="10"/>
      <c r="G1169" s="19"/>
      <c r="H1169" s="18"/>
      <c r="I1169" s="13"/>
      <c r="J1169" s="14"/>
      <c r="K1169" s="8"/>
      <c r="L1169" s="15"/>
      <c r="M1169" s="15"/>
      <c r="N1169" s="15"/>
      <c r="O1169" s="15"/>
      <c r="P1169" s="15"/>
      <c r="Q1169" s="15"/>
      <c r="R1169" s="15"/>
      <c r="S1169" s="15"/>
      <c r="T1169" s="15"/>
      <c r="U1169" s="15"/>
      <c r="V1169" s="15"/>
    </row>
    <row r="1170" ht="22.5" customHeight="1">
      <c r="A1170" s="7"/>
      <c r="B1170" s="8"/>
      <c r="C1170" s="8"/>
      <c r="D1170" s="8"/>
      <c r="E1170" s="16"/>
      <c r="F1170" s="10"/>
      <c r="G1170" s="19"/>
      <c r="H1170" s="18"/>
      <c r="I1170" s="13"/>
      <c r="J1170" s="14"/>
      <c r="K1170" s="8"/>
      <c r="L1170" s="15"/>
      <c r="M1170" s="15"/>
      <c r="N1170" s="15"/>
      <c r="O1170" s="15"/>
      <c r="P1170" s="15"/>
      <c r="Q1170" s="15"/>
      <c r="R1170" s="15"/>
      <c r="S1170" s="15"/>
      <c r="T1170" s="15"/>
      <c r="U1170" s="15"/>
      <c r="V1170" s="15"/>
    </row>
    <row r="1171" ht="22.5" customHeight="1">
      <c r="A1171" s="7"/>
      <c r="B1171" s="8"/>
      <c r="C1171" s="8"/>
      <c r="D1171" s="8"/>
      <c r="E1171" s="16"/>
      <c r="F1171" s="10"/>
      <c r="G1171" s="19"/>
      <c r="H1171" s="18"/>
      <c r="I1171" s="13"/>
      <c r="J1171" s="14"/>
      <c r="K1171" s="8"/>
      <c r="L1171" s="15"/>
      <c r="M1171" s="15"/>
      <c r="N1171" s="15"/>
      <c r="O1171" s="15"/>
      <c r="P1171" s="15"/>
      <c r="Q1171" s="15"/>
      <c r="R1171" s="15"/>
      <c r="S1171" s="15"/>
      <c r="T1171" s="15"/>
      <c r="U1171" s="15"/>
      <c r="V1171" s="15"/>
    </row>
    <row r="1172" ht="22.5" customHeight="1">
      <c r="A1172" s="7"/>
      <c r="B1172" s="8"/>
      <c r="C1172" s="8"/>
      <c r="D1172" s="8"/>
      <c r="E1172" s="16"/>
      <c r="F1172" s="10"/>
      <c r="G1172" s="19"/>
      <c r="H1172" s="18"/>
      <c r="I1172" s="13"/>
      <c r="J1172" s="14"/>
      <c r="K1172" s="8"/>
      <c r="L1172" s="15"/>
      <c r="M1172" s="15"/>
      <c r="N1172" s="15"/>
      <c r="O1172" s="15"/>
      <c r="P1172" s="15"/>
      <c r="Q1172" s="15"/>
      <c r="R1172" s="15"/>
      <c r="S1172" s="15"/>
      <c r="T1172" s="15"/>
      <c r="U1172" s="15"/>
      <c r="V1172" s="15"/>
    </row>
    <row r="1173" ht="22.5" customHeight="1">
      <c r="A1173" s="7"/>
      <c r="B1173" s="8"/>
      <c r="C1173" s="8"/>
      <c r="D1173" s="8"/>
      <c r="E1173" s="16"/>
      <c r="F1173" s="10"/>
      <c r="G1173" s="19"/>
      <c r="H1173" s="18"/>
      <c r="I1173" s="13"/>
      <c r="J1173" s="14"/>
      <c r="K1173" s="8"/>
      <c r="L1173" s="15"/>
      <c r="M1173" s="15"/>
      <c r="N1173" s="15"/>
      <c r="O1173" s="15"/>
      <c r="P1173" s="15"/>
      <c r="Q1173" s="15"/>
      <c r="R1173" s="15"/>
      <c r="S1173" s="15"/>
      <c r="T1173" s="15"/>
      <c r="U1173" s="15"/>
      <c r="V1173" s="15"/>
    </row>
    <row r="1174" ht="22.5" customHeight="1">
      <c r="A1174" s="7"/>
      <c r="B1174" s="8"/>
      <c r="C1174" s="8"/>
      <c r="D1174" s="8"/>
      <c r="E1174" s="16"/>
      <c r="F1174" s="10"/>
      <c r="G1174" s="19"/>
      <c r="H1174" s="18"/>
      <c r="I1174" s="13"/>
      <c r="J1174" s="14"/>
      <c r="K1174" s="8"/>
      <c r="L1174" s="15"/>
      <c r="M1174" s="15"/>
      <c r="N1174" s="15"/>
      <c r="O1174" s="15"/>
      <c r="P1174" s="15"/>
      <c r="Q1174" s="15"/>
      <c r="R1174" s="15"/>
      <c r="S1174" s="15"/>
      <c r="T1174" s="15"/>
      <c r="U1174" s="15"/>
      <c r="V1174" s="15"/>
    </row>
    <row r="1175" ht="22.5" customHeight="1">
      <c r="A1175" s="7"/>
      <c r="B1175" s="8"/>
      <c r="C1175" s="8"/>
      <c r="D1175" s="8"/>
      <c r="E1175" s="16"/>
      <c r="F1175" s="10"/>
      <c r="G1175" s="19"/>
      <c r="H1175" s="18"/>
      <c r="I1175" s="13"/>
      <c r="J1175" s="14"/>
      <c r="K1175" s="8"/>
      <c r="L1175" s="15"/>
      <c r="M1175" s="15"/>
      <c r="N1175" s="15"/>
      <c r="O1175" s="15"/>
      <c r="P1175" s="15"/>
      <c r="Q1175" s="15"/>
      <c r="R1175" s="15"/>
      <c r="S1175" s="15"/>
      <c r="T1175" s="15"/>
      <c r="U1175" s="15"/>
      <c r="V1175" s="15"/>
    </row>
    <row r="1176" ht="22.5" customHeight="1">
      <c r="A1176" s="7"/>
      <c r="B1176" s="8"/>
      <c r="C1176" s="8"/>
      <c r="D1176" s="8"/>
      <c r="E1176" s="16"/>
      <c r="F1176" s="10"/>
      <c r="G1176" s="19"/>
      <c r="H1176" s="18"/>
      <c r="I1176" s="13"/>
      <c r="J1176" s="14"/>
      <c r="K1176" s="8"/>
      <c r="L1176" s="15"/>
      <c r="M1176" s="15"/>
      <c r="N1176" s="15"/>
      <c r="O1176" s="15"/>
      <c r="P1176" s="15"/>
      <c r="Q1176" s="15"/>
      <c r="R1176" s="15"/>
      <c r="S1176" s="15"/>
      <c r="T1176" s="15"/>
      <c r="U1176" s="15"/>
      <c r="V1176" s="15"/>
    </row>
    <row r="1177" ht="22.5" customHeight="1">
      <c r="A1177" s="7"/>
      <c r="B1177" s="8"/>
      <c r="C1177" s="8"/>
      <c r="D1177" s="8"/>
      <c r="E1177" s="16"/>
      <c r="F1177" s="10"/>
      <c r="G1177" s="19"/>
      <c r="H1177" s="18"/>
      <c r="I1177" s="13"/>
      <c r="J1177" s="14"/>
      <c r="K1177" s="8"/>
      <c r="L1177" s="15"/>
      <c r="M1177" s="15"/>
      <c r="N1177" s="15"/>
      <c r="O1177" s="15"/>
      <c r="P1177" s="15"/>
      <c r="Q1177" s="15"/>
      <c r="R1177" s="15"/>
      <c r="S1177" s="15"/>
      <c r="T1177" s="15"/>
      <c r="U1177" s="15"/>
      <c r="V1177" s="15"/>
    </row>
    <row r="1178" ht="22.5" customHeight="1">
      <c r="A1178" s="7"/>
      <c r="B1178" s="8"/>
      <c r="C1178" s="8"/>
      <c r="D1178" s="8"/>
      <c r="E1178" s="16"/>
      <c r="F1178" s="10"/>
      <c r="G1178" s="19"/>
      <c r="H1178" s="18"/>
      <c r="I1178" s="13"/>
      <c r="J1178" s="14"/>
      <c r="K1178" s="8"/>
      <c r="L1178" s="15"/>
      <c r="M1178" s="15"/>
      <c r="N1178" s="15"/>
      <c r="O1178" s="15"/>
      <c r="P1178" s="15"/>
      <c r="Q1178" s="15"/>
      <c r="R1178" s="15"/>
      <c r="S1178" s="15"/>
      <c r="T1178" s="15"/>
      <c r="U1178" s="15"/>
      <c r="V1178" s="15"/>
    </row>
    <row r="1179" ht="22.5" customHeight="1">
      <c r="A1179" s="7"/>
      <c r="B1179" s="8"/>
      <c r="C1179" s="8"/>
      <c r="D1179" s="8"/>
      <c r="E1179" s="16"/>
      <c r="F1179" s="10"/>
      <c r="G1179" s="19"/>
      <c r="H1179" s="18"/>
      <c r="I1179" s="13"/>
      <c r="J1179" s="14"/>
      <c r="K1179" s="8"/>
      <c r="L1179" s="15"/>
      <c r="M1179" s="15"/>
      <c r="N1179" s="15"/>
      <c r="O1179" s="15"/>
      <c r="P1179" s="15"/>
      <c r="Q1179" s="15"/>
      <c r="R1179" s="15"/>
      <c r="S1179" s="15"/>
      <c r="T1179" s="15"/>
      <c r="U1179" s="15"/>
      <c r="V1179" s="15"/>
    </row>
    <row r="1180" ht="22.5" customHeight="1">
      <c r="A1180" s="7"/>
      <c r="B1180" s="8"/>
      <c r="C1180" s="8"/>
      <c r="D1180" s="8"/>
      <c r="E1180" s="16"/>
      <c r="F1180" s="10"/>
      <c r="G1180" s="19"/>
      <c r="H1180" s="18"/>
      <c r="I1180" s="13"/>
      <c r="J1180" s="14"/>
      <c r="K1180" s="8"/>
      <c r="L1180" s="15"/>
      <c r="M1180" s="15"/>
      <c r="N1180" s="15"/>
      <c r="O1180" s="15"/>
      <c r="P1180" s="15"/>
      <c r="Q1180" s="15"/>
      <c r="R1180" s="15"/>
      <c r="S1180" s="15"/>
      <c r="T1180" s="15"/>
      <c r="U1180" s="15"/>
      <c r="V1180" s="15"/>
    </row>
    <row r="1181" ht="22.5" customHeight="1">
      <c r="A1181" s="7"/>
      <c r="B1181" s="8"/>
      <c r="C1181" s="8"/>
      <c r="D1181" s="8"/>
      <c r="E1181" s="16"/>
      <c r="F1181" s="10"/>
      <c r="G1181" s="19"/>
      <c r="H1181" s="18"/>
      <c r="I1181" s="13"/>
      <c r="J1181" s="14"/>
      <c r="K1181" s="8"/>
      <c r="L1181" s="15"/>
      <c r="M1181" s="15"/>
      <c r="N1181" s="15"/>
      <c r="O1181" s="15"/>
      <c r="P1181" s="15"/>
      <c r="Q1181" s="15"/>
      <c r="R1181" s="15"/>
      <c r="S1181" s="15"/>
      <c r="T1181" s="15"/>
      <c r="U1181" s="15"/>
      <c r="V1181" s="15"/>
    </row>
    <row r="1182" ht="22.5" customHeight="1">
      <c r="A1182" s="7"/>
      <c r="B1182" s="8"/>
      <c r="C1182" s="8"/>
      <c r="D1182" s="8"/>
      <c r="E1182" s="16"/>
      <c r="F1182" s="10"/>
      <c r="G1182" s="19"/>
      <c r="H1182" s="18"/>
      <c r="I1182" s="13"/>
      <c r="J1182" s="14"/>
      <c r="K1182" s="8"/>
      <c r="L1182" s="15"/>
      <c r="M1182" s="15"/>
      <c r="N1182" s="15"/>
      <c r="O1182" s="15"/>
      <c r="P1182" s="15"/>
      <c r="Q1182" s="15"/>
      <c r="R1182" s="15"/>
      <c r="S1182" s="15"/>
      <c r="T1182" s="15"/>
      <c r="U1182" s="15"/>
      <c r="V1182" s="15"/>
    </row>
    <row r="1183" ht="22.5" customHeight="1">
      <c r="A1183" s="7"/>
      <c r="B1183" s="8"/>
      <c r="C1183" s="8"/>
      <c r="D1183" s="8"/>
      <c r="E1183" s="16"/>
      <c r="F1183" s="10"/>
      <c r="G1183" s="19"/>
      <c r="H1183" s="18"/>
      <c r="I1183" s="13"/>
      <c r="J1183" s="14"/>
      <c r="K1183" s="8"/>
      <c r="L1183" s="15"/>
      <c r="M1183" s="15"/>
      <c r="N1183" s="15"/>
      <c r="O1183" s="15"/>
      <c r="P1183" s="15"/>
      <c r="Q1183" s="15"/>
      <c r="R1183" s="15"/>
      <c r="S1183" s="15"/>
      <c r="T1183" s="15"/>
      <c r="U1183" s="15"/>
      <c r="V1183" s="15"/>
    </row>
    <row r="1184" ht="22.5" customHeight="1">
      <c r="A1184" s="7"/>
      <c r="B1184" s="8"/>
      <c r="C1184" s="8"/>
      <c r="D1184" s="8"/>
      <c r="E1184" s="16"/>
      <c r="F1184" s="10"/>
      <c r="G1184" s="19"/>
      <c r="H1184" s="18"/>
      <c r="I1184" s="13"/>
      <c r="J1184" s="14"/>
      <c r="K1184" s="8"/>
      <c r="L1184" s="15"/>
      <c r="M1184" s="15"/>
      <c r="N1184" s="15"/>
      <c r="O1184" s="15"/>
      <c r="P1184" s="15"/>
      <c r="Q1184" s="15"/>
      <c r="R1184" s="15"/>
      <c r="S1184" s="15"/>
      <c r="T1184" s="15"/>
      <c r="U1184" s="15"/>
      <c r="V1184" s="15"/>
    </row>
    <row r="1185" ht="22.5" customHeight="1">
      <c r="A1185" s="7"/>
      <c r="B1185" s="8"/>
      <c r="C1185" s="8"/>
      <c r="D1185" s="8"/>
      <c r="E1185" s="16"/>
      <c r="F1185" s="10"/>
      <c r="G1185" s="19"/>
      <c r="H1185" s="18"/>
      <c r="I1185" s="13"/>
      <c r="J1185" s="14"/>
      <c r="K1185" s="8"/>
      <c r="L1185" s="15"/>
      <c r="M1185" s="15"/>
      <c r="N1185" s="15"/>
      <c r="O1185" s="15"/>
      <c r="P1185" s="15"/>
      <c r="Q1185" s="15"/>
      <c r="R1185" s="15"/>
      <c r="S1185" s="15"/>
      <c r="T1185" s="15"/>
      <c r="U1185" s="15"/>
      <c r="V1185" s="15"/>
    </row>
    <row r="1186" ht="22.5" customHeight="1">
      <c r="A1186" s="7"/>
      <c r="B1186" s="8"/>
      <c r="C1186" s="8"/>
      <c r="D1186" s="8"/>
      <c r="E1186" s="16"/>
      <c r="F1186" s="10"/>
      <c r="G1186" s="19"/>
      <c r="H1186" s="18"/>
      <c r="I1186" s="13"/>
      <c r="J1186" s="14"/>
      <c r="K1186" s="8"/>
      <c r="L1186" s="15"/>
      <c r="M1186" s="15"/>
      <c r="N1186" s="15"/>
      <c r="O1186" s="15"/>
      <c r="P1186" s="15"/>
      <c r="Q1186" s="15"/>
      <c r="R1186" s="15"/>
      <c r="S1186" s="15"/>
      <c r="T1186" s="15"/>
      <c r="U1186" s="15"/>
      <c r="V1186" s="15"/>
    </row>
    <row r="1187" ht="22.5" customHeight="1">
      <c r="A1187" s="7"/>
      <c r="B1187" s="8"/>
      <c r="C1187" s="8"/>
      <c r="D1187" s="8"/>
      <c r="E1187" s="16"/>
      <c r="F1187" s="10"/>
      <c r="G1187" s="19"/>
      <c r="H1187" s="18"/>
      <c r="I1187" s="13"/>
      <c r="J1187" s="14"/>
      <c r="K1187" s="8"/>
      <c r="L1187" s="15"/>
      <c r="M1187" s="15"/>
      <c r="N1187" s="15"/>
      <c r="O1187" s="15"/>
      <c r="P1187" s="15"/>
      <c r="Q1187" s="15"/>
      <c r="R1187" s="15"/>
      <c r="S1187" s="15"/>
      <c r="T1187" s="15"/>
      <c r="U1187" s="15"/>
      <c r="V1187" s="15"/>
    </row>
    <row r="1188" ht="22.5" customHeight="1">
      <c r="A1188" s="7"/>
      <c r="B1188" s="8"/>
      <c r="C1188" s="8"/>
      <c r="D1188" s="8"/>
      <c r="E1188" s="16"/>
      <c r="F1188" s="10"/>
      <c r="G1188" s="19"/>
      <c r="H1188" s="18"/>
      <c r="I1188" s="13"/>
      <c r="J1188" s="14"/>
      <c r="K1188" s="8"/>
      <c r="L1188" s="15"/>
      <c r="M1188" s="15"/>
      <c r="N1188" s="15"/>
      <c r="O1188" s="15"/>
      <c r="P1188" s="15"/>
      <c r="Q1188" s="15"/>
      <c r="R1188" s="15"/>
      <c r="S1188" s="15"/>
      <c r="T1188" s="15"/>
      <c r="U1188" s="15"/>
      <c r="V1188" s="15"/>
    </row>
    <row r="1189" ht="22.5" customHeight="1">
      <c r="A1189" s="7"/>
      <c r="B1189" s="8"/>
      <c r="C1189" s="8"/>
      <c r="D1189" s="8"/>
      <c r="E1189" s="16"/>
      <c r="F1189" s="10"/>
      <c r="G1189" s="19"/>
      <c r="H1189" s="18"/>
      <c r="I1189" s="13"/>
      <c r="J1189" s="14"/>
      <c r="K1189" s="8"/>
      <c r="L1189" s="15"/>
      <c r="M1189" s="15"/>
      <c r="N1189" s="15"/>
      <c r="O1189" s="15"/>
      <c r="P1189" s="15"/>
      <c r="Q1189" s="15"/>
      <c r="R1189" s="15"/>
      <c r="S1189" s="15"/>
      <c r="T1189" s="15"/>
      <c r="U1189" s="15"/>
      <c r="V1189" s="15"/>
    </row>
    <row r="1190" ht="22.5" customHeight="1">
      <c r="A1190" s="7"/>
      <c r="B1190" s="8"/>
      <c r="C1190" s="8"/>
      <c r="D1190" s="8"/>
      <c r="E1190" s="16"/>
      <c r="F1190" s="10"/>
      <c r="G1190" s="19"/>
      <c r="H1190" s="18"/>
      <c r="I1190" s="13"/>
      <c r="J1190" s="14"/>
      <c r="K1190" s="8"/>
      <c r="L1190" s="15"/>
      <c r="M1190" s="15"/>
      <c r="N1190" s="15"/>
      <c r="O1190" s="15"/>
      <c r="P1190" s="15"/>
      <c r="Q1190" s="15"/>
      <c r="R1190" s="15"/>
      <c r="S1190" s="15"/>
      <c r="T1190" s="15"/>
      <c r="U1190" s="15"/>
      <c r="V1190" s="15"/>
    </row>
    <row r="1191" ht="22.5" customHeight="1">
      <c r="A1191" s="7"/>
      <c r="B1191" s="8"/>
      <c r="C1191" s="8"/>
      <c r="D1191" s="8"/>
      <c r="E1191" s="16"/>
      <c r="F1191" s="10"/>
      <c r="G1191" s="19"/>
      <c r="H1191" s="18"/>
      <c r="I1191" s="13"/>
      <c r="J1191" s="14"/>
      <c r="K1191" s="8"/>
      <c r="L1191" s="15"/>
      <c r="M1191" s="15"/>
      <c r="N1191" s="15"/>
      <c r="O1191" s="15"/>
      <c r="P1191" s="15"/>
      <c r="Q1191" s="15"/>
      <c r="R1191" s="15"/>
      <c r="S1191" s="15"/>
      <c r="T1191" s="15"/>
      <c r="U1191" s="15"/>
      <c r="V1191" s="15"/>
    </row>
    <row r="1192" ht="22.5" customHeight="1">
      <c r="A1192" s="7"/>
      <c r="B1192" s="8"/>
      <c r="C1192" s="8"/>
      <c r="D1192" s="8"/>
      <c r="E1192" s="16"/>
      <c r="F1192" s="10"/>
      <c r="G1192" s="19"/>
      <c r="H1192" s="18"/>
      <c r="I1192" s="13"/>
      <c r="J1192" s="14"/>
      <c r="K1192" s="8"/>
      <c r="L1192" s="15"/>
      <c r="M1192" s="15"/>
      <c r="N1192" s="15"/>
      <c r="O1192" s="15"/>
      <c r="P1192" s="15"/>
      <c r="Q1192" s="15"/>
      <c r="R1192" s="15"/>
      <c r="S1192" s="15"/>
      <c r="T1192" s="15"/>
      <c r="U1192" s="15"/>
      <c r="V1192" s="15"/>
    </row>
    <row r="1193" ht="22.5" customHeight="1">
      <c r="A1193" s="7"/>
      <c r="B1193" s="8"/>
      <c r="C1193" s="8"/>
      <c r="D1193" s="8"/>
      <c r="E1193" s="16"/>
      <c r="F1193" s="10"/>
      <c r="G1193" s="19"/>
      <c r="H1193" s="18"/>
      <c r="I1193" s="13"/>
      <c r="J1193" s="14"/>
      <c r="K1193" s="8"/>
      <c r="L1193" s="15"/>
      <c r="M1193" s="15"/>
      <c r="N1193" s="15"/>
      <c r="O1193" s="15"/>
      <c r="P1193" s="15"/>
      <c r="Q1193" s="15"/>
      <c r="R1193" s="15"/>
      <c r="S1193" s="15"/>
      <c r="T1193" s="15"/>
      <c r="U1193" s="15"/>
      <c r="V1193" s="15"/>
    </row>
    <row r="1194" ht="22.5" customHeight="1">
      <c r="A1194" s="7"/>
      <c r="B1194" s="8"/>
      <c r="C1194" s="8"/>
      <c r="D1194" s="8"/>
      <c r="E1194" s="16"/>
      <c r="F1194" s="10"/>
      <c r="G1194" s="19"/>
      <c r="H1194" s="18"/>
      <c r="I1194" s="13"/>
      <c r="J1194" s="14"/>
      <c r="K1194" s="8"/>
      <c r="L1194" s="15"/>
      <c r="M1194" s="15"/>
      <c r="N1194" s="15"/>
      <c r="O1194" s="15"/>
      <c r="P1194" s="15"/>
      <c r="Q1194" s="15"/>
      <c r="R1194" s="15"/>
      <c r="S1194" s="15"/>
      <c r="T1194" s="15"/>
      <c r="U1194" s="15"/>
      <c r="V1194" s="15"/>
    </row>
    <row r="1195" ht="22.5" customHeight="1">
      <c r="A1195" s="7"/>
      <c r="B1195" s="8"/>
      <c r="C1195" s="8"/>
      <c r="D1195" s="8"/>
      <c r="E1195" s="16"/>
      <c r="F1195" s="10"/>
      <c r="G1195" s="19"/>
      <c r="H1195" s="18"/>
      <c r="I1195" s="13"/>
      <c r="J1195" s="14"/>
      <c r="K1195" s="8"/>
      <c r="L1195" s="15"/>
      <c r="M1195" s="15"/>
      <c r="N1195" s="15"/>
      <c r="O1195" s="15"/>
      <c r="P1195" s="15"/>
      <c r="Q1195" s="15"/>
      <c r="R1195" s="15"/>
      <c r="S1195" s="15"/>
      <c r="T1195" s="15"/>
      <c r="U1195" s="15"/>
      <c r="V1195" s="15"/>
    </row>
    <row r="1196" ht="22.5" customHeight="1">
      <c r="A1196" s="7"/>
      <c r="B1196" s="8"/>
      <c r="C1196" s="8"/>
      <c r="D1196" s="8"/>
      <c r="E1196" s="16"/>
      <c r="F1196" s="10"/>
      <c r="G1196" s="19"/>
      <c r="H1196" s="18"/>
      <c r="I1196" s="13"/>
      <c r="J1196" s="14"/>
      <c r="K1196" s="8"/>
      <c r="L1196" s="15"/>
      <c r="M1196" s="15"/>
      <c r="N1196" s="15"/>
      <c r="O1196" s="15"/>
      <c r="P1196" s="15"/>
      <c r="Q1196" s="15"/>
      <c r="R1196" s="15"/>
      <c r="S1196" s="15"/>
      <c r="T1196" s="15"/>
      <c r="U1196" s="15"/>
      <c r="V1196" s="15"/>
    </row>
    <row r="1197" ht="22.5" customHeight="1">
      <c r="A1197" s="7"/>
      <c r="B1197" s="8"/>
      <c r="C1197" s="8"/>
      <c r="D1197" s="8"/>
      <c r="E1197" s="16"/>
      <c r="F1197" s="10"/>
      <c r="G1197" s="19"/>
      <c r="H1197" s="18"/>
      <c r="I1197" s="13"/>
      <c r="J1197" s="14"/>
      <c r="K1197" s="8"/>
      <c r="L1197" s="15"/>
      <c r="M1197" s="15"/>
      <c r="N1197" s="15"/>
      <c r="O1197" s="15"/>
      <c r="P1197" s="15"/>
      <c r="Q1197" s="15"/>
      <c r="R1197" s="15"/>
      <c r="S1197" s="15"/>
      <c r="T1197" s="15"/>
      <c r="U1197" s="15"/>
      <c r="V1197" s="15"/>
    </row>
    <row r="1198" ht="22.5" customHeight="1">
      <c r="A1198" s="7"/>
      <c r="B1198" s="8"/>
      <c r="C1198" s="8"/>
      <c r="D1198" s="8"/>
      <c r="E1198" s="16"/>
      <c r="F1198" s="10"/>
      <c r="G1198" s="19"/>
      <c r="H1198" s="18"/>
      <c r="I1198" s="13"/>
      <c r="J1198" s="14"/>
      <c r="K1198" s="8"/>
      <c r="L1198" s="15"/>
      <c r="M1198" s="15"/>
      <c r="N1198" s="15"/>
      <c r="O1198" s="15"/>
      <c r="P1198" s="15"/>
      <c r="Q1198" s="15"/>
      <c r="R1198" s="15"/>
      <c r="S1198" s="15"/>
      <c r="T1198" s="15"/>
      <c r="U1198" s="15"/>
      <c r="V1198" s="15"/>
    </row>
    <row r="1199" ht="22.5" customHeight="1">
      <c r="A1199" s="7"/>
      <c r="B1199" s="8"/>
      <c r="C1199" s="8"/>
      <c r="D1199" s="8"/>
      <c r="E1199" s="16"/>
      <c r="F1199" s="10"/>
      <c r="G1199" s="19"/>
      <c r="H1199" s="18"/>
      <c r="I1199" s="13"/>
      <c r="J1199" s="14"/>
      <c r="K1199" s="8"/>
      <c r="L1199" s="15"/>
      <c r="M1199" s="15"/>
      <c r="N1199" s="15"/>
      <c r="O1199" s="15"/>
      <c r="P1199" s="15"/>
      <c r="Q1199" s="15"/>
      <c r="R1199" s="15"/>
      <c r="S1199" s="15"/>
      <c r="T1199" s="15"/>
      <c r="U1199" s="15"/>
      <c r="V1199" s="15"/>
    </row>
    <row r="1200" ht="22.5" customHeight="1">
      <c r="A1200" s="7"/>
      <c r="B1200" s="8"/>
      <c r="C1200" s="8"/>
      <c r="D1200" s="8"/>
      <c r="E1200" s="16"/>
      <c r="F1200" s="10"/>
      <c r="G1200" s="19"/>
      <c r="H1200" s="18"/>
      <c r="I1200" s="13"/>
      <c r="J1200" s="14"/>
      <c r="K1200" s="8"/>
      <c r="L1200" s="15"/>
      <c r="M1200" s="15"/>
      <c r="N1200" s="15"/>
      <c r="O1200" s="15"/>
      <c r="P1200" s="15"/>
      <c r="Q1200" s="15"/>
      <c r="R1200" s="15"/>
      <c r="S1200" s="15"/>
      <c r="T1200" s="15"/>
      <c r="U1200" s="15"/>
      <c r="V1200" s="15"/>
    </row>
    <row r="1201" ht="22.5" customHeight="1">
      <c r="A1201" s="7"/>
      <c r="B1201" s="8"/>
      <c r="C1201" s="8"/>
      <c r="D1201" s="8"/>
      <c r="E1201" s="16"/>
      <c r="F1201" s="10"/>
      <c r="G1201" s="19"/>
      <c r="H1201" s="18"/>
      <c r="I1201" s="13"/>
      <c r="J1201" s="14"/>
      <c r="K1201" s="8"/>
      <c r="L1201" s="15"/>
      <c r="M1201" s="15"/>
      <c r="N1201" s="15"/>
      <c r="O1201" s="15"/>
      <c r="P1201" s="15"/>
      <c r="Q1201" s="15"/>
      <c r="R1201" s="15"/>
      <c r="S1201" s="15"/>
      <c r="T1201" s="15"/>
      <c r="U1201" s="15"/>
      <c r="V1201" s="15"/>
    </row>
    <row r="1202" ht="22.5" customHeight="1">
      <c r="A1202" s="7"/>
      <c r="B1202" s="8"/>
      <c r="C1202" s="8"/>
      <c r="D1202" s="8"/>
      <c r="E1202" s="16"/>
      <c r="F1202" s="10"/>
      <c r="G1202" s="19"/>
      <c r="H1202" s="18"/>
      <c r="I1202" s="13"/>
      <c r="J1202" s="14"/>
      <c r="K1202" s="8"/>
      <c r="L1202" s="15"/>
      <c r="M1202" s="15"/>
      <c r="N1202" s="15"/>
      <c r="O1202" s="15"/>
      <c r="P1202" s="15"/>
      <c r="Q1202" s="15"/>
      <c r="R1202" s="15"/>
      <c r="S1202" s="15"/>
      <c r="T1202" s="15"/>
      <c r="U1202" s="15"/>
      <c r="V1202" s="15"/>
    </row>
    <row r="1203" ht="22.5" customHeight="1">
      <c r="A1203" s="7"/>
      <c r="B1203" s="8"/>
      <c r="C1203" s="8"/>
      <c r="D1203" s="8"/>
      <c r="E1203" s="16"/>
      <c r="F1203" s="10"/>
      <c r="G1203" s="19"/>
      <c r="H1203" s="18"/>
      <c r="I1203" s="13"/>
      <c r="J1203" s="14"/>
      <c r="K1203" s="8"/>
      <c r="L1203" s="15"/>
      <c r="M1203" s="15"/>
      <c r="N1203" s="15"/>
      <c r="O1203" s="15"/>
      <c r="P1203" s="15"/>
      <c r="Q1203" s="15"/>
      <c r="R1203" s="15"/>
      <c r="S1203" s="15"/>
      <c r="T1203" s="15"/>
      <c r="U1203" s="15"/>
      <c r="V1203" s="15"/>
    </row>
    <row r="1204" ht="22.5" customHeight="1">
      <c r="A1204" s="7"/>
      <c r="B1204" s="8"/>
      <c r="C1204" s="8"/>
      <c r="D1204" s="8"/>
      <c r="E1204" s="16"/>
      <c r="F1204" s="10"/>
      <c r="G1204" s="19"/>
      <c r="H1204" s="18"/>
      <c r="I1204" s="13"/>
      <c r="J1204" s="14"/>
      <c r="K1204" s="8"/>
      <c r="L1204" s="15"/>
      <c r="M1204" s="15"/>
      <c r="N1204" s="15"/>
      <c r="O1204" s="15"/>
      <c r="P1204" s="15"/>
      <c r="Q1204" s="15"/>
      <c r="R1204" s="15"/>
      <c r="S1204" s="15"/>
      <c r="T1204" s="15"/>
      <c r="U1204" s="15"/>
      <c r="V1204" s="15"/>
    </row>
    <row r="1205" ht="22.5" customHeight="1">
      <c r="A1205" s="7"/>
      <c r="B1205" s="8"/>
      <c r="C1205" s="8"/>
      <c r="D1205" s="8"/>
      <c r="E1205" s="16"/>
      <c r="F1205" s="10"/>
      <c r="G1205" s="19"/>
      <c r="H1205" s="18"/>
      <c r="I1205" s="13"/>
      <c r="J1205" s="14"/>
      <c r="K1205" s="8"/>
      <c r="L1205" s="15"/>
      <c r="M1205" s="15"/>
      <c r="N1205" s="15"/>
      <c r="O1205" s="15"/>
      <c r="P1205" s="15"/>
      <c r="Q1205" s="15"/>
      <c r="R1205" s="15"/>
      <c r="S1205" s="15"/>
      <c r="T1205" s="15"/>
      <c r="U1205" s="15"/>
      <c r="V1205" s="15"/>
    </row>
    <row r="1206" ht="22.5" customHeight="1">
      <c r="A1206" s="7"/>
      <c r="B1206" s="8"/>
      <c r="C1206" s="8"/>
      <c r="D1206" s="8"/>
      <c r="E1206" s="16"/>
      <c r="F1206" s="10"/>
      <c r="G1206" s="19"/>
      <c r="H1206" s="18"/>
      <c r="I1206" s="13"/>
      <c r="J1206" s="14"/>
      <c r="K1206" s="8"/>
      <c r="L1206" s="15"/>
      <c r="M1206" s="15"/>
      <c r="N1206" s="15"/>
      <c r="O1206" s="15"/>
      <c r="P1206" s="15"/>
      <c r="Q1206" s="15"/>
      <c r="R1206" s="15"/>
      <c r="S1206" s="15"/>
      <c r="T1206" s="15"/>
      <c r="U1206" s="15"/>
      <c r="V1206" s="15"/>
    </row>
    <row r="1207" ht="22.5" customHeight="1">
      <c r="A1207" s="7"/>
      <c r="B1207" s="8"/>
      <c r="C1207" s="8"/>
      <c r="D1207" s="8"/>
      <c r="E1207" s="16"/>
      <c r="F1207" s="10"/>
      <c r="G1207" s="19"/>
      <c r="H1207" s="18"/>
      <c r="I1207" s="13"/>
      <c r="J1207" s="14"/>
      <c r="K1207" s="8"/>
      <c r="L1207" s="15"/>
      <c r="M1207" s="15"/>
      <c r="N1207" s="15"/>
      <c r="O1207" s="15"/>
      <c r="P1207" s="15"/>
      <c r="Q1207" s="15"/>
      <c r="R1207" s="15"/>
      <c r="S1207" s="15"/>
      <c r="T1207" s="15"/>
      <c r="U1207" s="15"/>
      <c r="V1207" s="15"/>
    </row>
    <row r="1208" ht="22.5" customHeight="1">
      <c r="A1208" s="7"/>
      <c r="B1208" s="8"/>
      <c r="C1208" s="8"/>
      <c r="D1208" s="8"/>
      <c r="E1208" s="16"/>
      <c r="F1208" s="10"/>
      <c r="G1208" s="19"/>
      <c r="H1208" s="18"/>
      <c r="I1208" s="13"/>
      <c r="J1208" s="14"/>
      <c r="K1208" s="8"/>
      <c r="L1208" s="15"/>
      <c r="M1208" s="15"/>
      <c r="N1208" s="15"/>
      <c r="O1208" s="15"/>
      <c r="P1208" s="15"/>
      <c r="Q1208" s="15"/>
      <c r="R1208" s="15"/>
      <c r="S1208" s="15"/>
      <c r="T1208" s="15"/>
      <c r="U1208" s="15"/>
      <c r="V1208" s="15"/>
    </row>
    <row r="1209" ht="22.5" customHeight="1">
      <c r="A1209" s="7"/>
      <c r="B1209" s="8"/>
      <c r="C1209" s="8"/>
      <c r="D1209" s="8"/>
      <c r="E1209" s="16"/>
      <c r="F1209" s="10"/>
      <c r="G1209" s="19"/>
      <c r="H1209" s="18"/>
      <c r="I1209" s="13"/>
      <c r="J1209" s="14"/>
      <c r="K1209" s="8"/>
      <c r="L1209" s="15"/>
      <c r="M1209" s="15"/>
      <c r="N1209" s="15"/>
      <c r="O1209" s="15"/>
      <c r="P1209" s="15"/>
      <c r="Q1209" s="15"/>
      <c r="R1209" s="15"/>
      <c r="S1209" s="15"/>
      <c r="T1209" s="15"/>
      <c r="U1209" s="15"/>
      <c r="V1209" s="15"/>
    </row>
    <row r="1210" ht="22.5" customHeight="1">
      <c r="A1210" s="7"/>
      <c r="B1210" s="8"/>
      <c r="C1210" s="8"/>
      <c r="D1210" s="8"/>
      <c r="E1210" s="16"/>
      <c r="F1210" s="10"/>
      <c r="G1210" s="19"/>
      <c r="H1210" s="18"/>
      <c r="I1210" s="13"/>
      <c r="J1210" s="14"/>
      <c r="K1210" s="8"/>
      <c r="L1210" s="15"/>
      <c r="M1210" s="15"/>
      <c r="N1210" s="15"/>
      <c r="O1210" s="15"/>
      <c r="P1210" s="15"/>
      <c r="Q1210" s="15"/>
      <c r="R1210" s="15"/>
      <c r="S1210" s="15"/>
      <c r="T1210" s="15"/>
      <c r="U1210" s="15"/>
      <c r="V1210" s="15"/>
    </row>
    <row r="1211" ht="22.5" customHeight="1">
      <c r="A1211" s="7"/>
      <c r="B1211" s="8"/>
      <c r="C1211" s="8"/>
      <c r="D1211" s="8"/>
      <c r="E1211" s="16"/>
      <c r="F1211" s="10"/>
      <c r="G1211" s="19"/>
      <c r="H1211" s="18"/>
      <c r="I1211" s="13"/>
      <c r="J1211" s="14"/>
      <c r="K1211" s="8"/>
      <c r="L1211" s="15"/>
      <c r="M1211" s="15"/>
      <c r="N1211" s="15"/>
      <c r="O1211" s="15"/>
      <c r="P1211" s="15"/>
      <c r="Q1211" s="15"/>
      <c r="R1211" s="15"/>
      <c r="S1211" s="15"/>
      <c r="T1211" s="15"/>
      <c r="U1211" s="15"/>
      <c r="V1211" s="15"/>
    </row>
    <row r="1212" ht="22.5" customHeight="1">
      <c r="A1212" s="7"/>
      <c r="B1212" s="8"/>
      <c r="C1212" s="8"/>
      <c r="D1212" s="8"/>
      <c r="E1212" s="16"/>
      <c r="F1212" s="10"/>
      <c r="G1212" s="19"/>
      <c r="H1212" s="18"/>
      <c r="I1212" s="13"/>
      <c r="J1212" s="14"/>
      <c r="K1212" s="8"/>
      <c r="L1212" s="15"/>
      <c r="M1212" s="15"/>
      <c r="N1212" s="15"/>
      <c r="O1212" s="15"/>
      <c r="P1212" s="15"/>
      <c r="Q1212" s="15"/>
      <c r="R1212" s="15"/>
      <c r="S1212" s="15"/>
      <c r="T1212" s="15"/>
      <c r="U1212" s="15"/>
      <c r="V1212" s="15"/>
    </row>
    <row r="1213" ht="22.5" customHeight="1">
      <c r="A1213" s="7"/>
      <c r="B1213" s="8"/>
      <c r="C1213" s="8"/>
      <c r="D1213" s="8"/>
      <c r="E1213" s="16"/>
      <c r="F1213" s="10"/>
      <c r="G1213" s="19"/>
      <c r="H1213" s="18"/>
      <c r="I1213" s="13"/>
      <c r="J1213" s="14"/>
      <c r="K1213" s="8"/>
      <c r="L1213" s="15"/>
      <c r="M1213" s="15"/>
      <c r="N1213" s="15"/>
      <c r="O1213" s="15"/>
      <c r="P1213" s="15"/>
      <c r="Q1213" s="15"/>
      <c r="R1213" s="15"/>
      <c r="S1213" s="15"/>
      <c r="T1213" s="15"/>
      <c r="U1213" s="15"/>
      <c r="V1213" s="15"/>
    </row>
    <row r="1214" ht="22.5" customHeight="1">
      <c r="A1214" s="7"/>
      <c r="B1214" s="8"/>
      <c r="C1214" s="8"/>
      <c r="D1214" s="8"/>
      <c r="E1214" s="16"/>
      <c r="F1214" s="10"/>
      <c r="G1214" s="19"/>
      <c r="H1214" s="18"/>
      <c r="I1214" s="13"/>
      <c r="J1214" s="14"/>
      <c r="K1214" s="8"/>
      <c r="L1214" s="15"/>
      <c r="M1214" s="15"/>
      <c r="N1214" s="15"/>
      <c r="O1214" s="15"/>
      <c r="P1214" s="15"/>
      <c r="Q1214" s="15"/>
      <c r="R1214" s="15"/>
      <c r="S1214" s="15"/>
      <c r="T1214" s="15"/>
      <c r="U1214" s="15"/>
      <c r="V1214" s="15"/>
    </row>
    <row r="1215" ht="22.5" customHeight="1">
      <c r="A1215" s="7"/>
      <c r="B1215" s="8"/>
      <c r="C1215" s="8"/>
      <c r="D1215" s="8"/>
      <c r="E1215" s="16"/>
      <c r="F1215" s="10"/>
      <c r="G1215" s="19"/>
      <c r="H1215" s="18"/>
      <c r="I1215" s="13"/>
      <c r="J1215" s="14"/>
      <c r="K1215" s="8"/>
      <c r="L1215" s="15"/>
      <c r="M1215" s="15"/>
      <c r="N1215" s="15"/>
      <c r="O1215" s="15"/>
      <c r="P1215" s="15"/>
      <c r="Q1215" s="15"/>
      <c r="R1215" s="15"/>
      <c r="S1215" s="15"/>
      <c r="T1215" s="15"/>
      <c r="U1215" s="15"/>
      <c r="V1215" s="15"/>
    </row>
    <row r="1216" ht="22.5" customHeight="1">
      <c r="A1216" s="7"/>
      <c r="B1216" s="8"/>
      <c r="C1216" s="8"/>
      <c r="D1216" s="8"/>
      <c r="E1216" s="16"/>
      <c r="F1216" s="10"/>
      <c r="G1216" s="19"/>
      <c r="H1216" s="18"/>
      <c r="I1216" s="13"/>
      <c r="J1216" s="14"/>
      <c r="K1216" s="8"/>
      <c r="L1216" s="15"/>
      <c r="M1216" s="15"/>
      <c r="N1216" s="15"/>
      <c r="O1216" s="15"/>
      <c r="P1216" s="15"/>
      <c r="Q1216" s="15"/>
      <c r="R1216" s="15"/>
      <c r="S1216" s="15"/>
      <c r="T1216" s="15"/>
      <c r="U1216" s="15"/>
      <c r="V1216" s="15"/>
    </row>
    <row r="1217" ht="22.5" customHeight="1">
      <c r="A1217" s="7"/>
      <c r="B1217" s="8"/>
      <c r="C1217" s="8"/>
      <c r="D1217" s="8"/>
      <c r="E1217" s="16"/>
      <c r="F1217" s="10"/>
      <c r="G1217" s="19"/>
      <c r="H1217" s="18"/>
      <c r="I1217" s="13"/>
      <c r="J1217" s="14"/>
      <c r="K1217" s="8"/>
      <c r="L1217" s="15"/>
      <c r="M1217" s="15"/>
      <c r="N1217" s="15"/>
      <c r="O1217" s="15"/>
      <c r="P1217" s="15"/>
      <c r="Q1217" s="15"/>
      <c r="R1217" s="15"/>
      <c r="S1217" s="15"/>
      <c r="T1217" s="15"/>
      <c r="U1217" s="15"/>
      <c r="V1217" s="15"/>
    </row>
    <row r="1218" ht="22.5" customHeight="1">
      <c r="A1218" s="7"/>
      <c r="B1218" s="8"/>
      <c r="C1218" s="8"/>
      <c r="D1218" s="8"/>
      <c r="E1218" s="16"/>
      <c r="F1218" s="10"/>
      <c r="G1218" s="19"/>
      <c r="H1218" s="18"/>
      <c r="I1218" s="13"/>
      <c r="J1218" s="14"/>
      <c r="K1218" s="8"/>
      <c r="L1218" s="15"/>
      <c r="M1218" s="15"/>
      <c r="N1218" s="15"/>
      <c r="O1218" s="15"/>
      <c r="P1218" s="15"/>
      <c r="Q1218" s="15"/>
      <c r="R1218" s="15"/>
      <c r="S1218" s="15"/>
      <c r="T1218" s="15"/>
      <c r="U1218" s="15"/>
      <c r="V1218" s="15"/>
    </row>
    <row r="1219" ht="22.5" customHeight="1">
      <c r="A1219" s="7"/>
      <c r="B1219" s="8"/>
      <c r="C1219" s="8"/>
      <c r="D1219" s="8"/>
      <c r="E1219" s="16"/>
      <c r="F1219" s="10"/>
      <c r="G1219" s="19"/>
      <c r="H1219" s="18"/>
      <c r="I1219" s="13"/>
      <c r="J1219" s="14"/>
      <c r="K1219" s="8"/>
      <c r="L1219" s="15"/>
      <c r="M1219" s="15"/>
      <c r="N1219" s="15"/>
      <c r="O1219" s="15"/>
      <c r="P1219" s="15"/>
      <c r="Q1219" s="15"/>
      <c r="R1219" s="15"/>
      <c r="S1219" s="15"/>
      <c r="T1219" s="15"/>
      <c r="U1219" s="15"/>
      <c r="V1219" s="15"/>
    </row>
    <row r="1220" ht="22.5" customHeight="1">
      <c r="A1220" s="7"/>
      <c r="B1220" s="8"/>
      <c r="C1220" s="8"/>
      <c r="D1220" s="8"/>
      <c r="E1220" s="16"/>
      <c r="F1220" s="10"/>
      <c r="G1220" s="19"/>
      <c r="H1220" s="18"/>
      <c r="I1220" s="13"/>
      <c r="J1220" s="14"/>
      <c r="K1220" s="8"/>
      <c r="L1220" s="15"/>
      <c r="M1220" s="15"/>
      <c r="N1220" s="15"/>
      <c r="O1220" s="15"/>
      <c r="P1220" s="15"/>
      <c r="Q1220" s="15"/>
      <c r="R1220" s="15"/>
      <c r="S1220" s="15"/>
      <c r="T1220" s="15"/>
      <c r="U1220" s="15"/>
      <c r="V1220" s="15"/>
    </row>
    <row r="1221" ht="22.5" customHeight="1">
      <c r="A1221" s="7"/>
      <c r="B1221" s="8"/>
      <c r="C1221" s="8"/>
      <c r="D1221" s="8"/>
      <c r="E1221" s="16"/>
      <c r="F1221" s="10"/>
      <c r="G1221" s="19"/>
      <c r="H1221" s="18"/>
      <c r="I1221" s="13"/>
      <c r="J1221" s="14"/>
      <c r="K1221" s="8"/>
      <c r="L1221" s="15"/>
      <c r="M1221" s="15"/>
      <c r="N1221" s="15"/>
      <c r="O1221" s="15"/>
      <c r="P1221" s="15"/>
      <c r="Q1221" s="15"/>
      <c r="R1221" s="15"/>
      <c r="S1221" s="15"/>
      <c r="T1221" s="15"/>
      <c r="U1221" s="15"/>
      <c r="V1221" s="15"/>
    </row>
    <row r="1222" ht="22.5" customHeight="1">
      <c r="A1222" s="7"/>
      <c r="B1222" s="8"/>
      <c r="C1222" s="8"/>
      <c r="D1222" s="8"/>
      <c r="E1222" s="16"/>
      <c r="F1222" s="10"/>
      <c r="G1222" s="19"/>
      <c r="H1222" s="18"/>
      <c r="I1222" s="13"/>
      <c r="J1222" s="14"/>
      <c r="K1222" s="8"/>
      <c r="L1222" s="15"/>
      <c r="M1222" s="15"/>
      <c r="N1222" s="15"/>
      <c r="O1222" s="15"/>
      <c r="P1222" s="15"/>
      <c r="Q1222" s="15"/>
      <c r="R1222" s="15"/>
      <c r="S1222" s="15"/>
      <c r="T1222" s="15"/>
      <c r="U1222" s="15"/>
      <c r="V1222" s="15"/>
    </row>
    <row r="1223" ht="22.5" customHeight="1">
      <c r="A1223" s="7"/>
      <c r="B1223" s="8"/>
      <c r="C1223" s="8"/>
      <c r="D1223" s="8"/>
      <c r="E1223" s="16"/>
      <c r="F1223" s="10"/>
      <c r="G1223" s="19"/>
      <c r="H1223" s="18"/>
      <c r="I1223" s="13"/>
      <c r="J1223" s="14"/>
      <c r="K1223" s="8"/>
      <c r="L1223" s="15"/>
      <c r="M1223" s="15"/>
      <c r="N1223" s="15"/>
      <c r="O1223" s="15"/>
      <c r="P1223" s="15"/>
      <c r="Q1223" s="15"/>
      <c r="R1223" s="15"/>
      <c r="S1223" s="15"/>
      <c r="T1223" s="15"/>
      <c r="U1223" s="15"/>
      <c r="V1223" s="15"/>
    </row>
    <row r="1224" ht="22.5" customHeight="1">
      <c r="A1224" s="7"/>
      <c r="B1224" s="8"/>
      <c r="C1224" s="8"/>
      <c r="D1224" s="8"/>
      <c r="E1224" s="16"/>
      <c r="F1224" s="10"/>
      <c r="G1224" s="19"/>
      <c r="H1224" s="18"/>
      <c r="I1224" s="13"/>
      <c r="J1224" s="14"/>
      <c r="K1224" s="8"/>
      <c r="L1224" s="15"/>
      <c r="M1224" s="15"/>
      <c r="N1224" s="15"/>
      <c r="O1224" s="15"/>
      <c r="P1224" s="15"/>
      <c r="Q1224" s="15"/>
      <c r="R1224" s="15"/>
      <c r="S1224" s="15"/>
      <c r="T1224" s="15"/>
      <c r="U1224" s="15"/>
      <c r="V1224" s="15"/>
    </row>
    <row r="1225" ht="22.5" customHeight="1">
      <c r="A1225" s="7"/>
      <c r="B1225" s="8"/>
      <c r="C1225" s="8"/>
      <c r="D1225" s="8"/>
      <c r="E1225" s="16"/>
      <c r="F1225" s="10"/>
      <c r="G1225" s="19"/>
      <c r="H1225" s="18"/>
      <c r="I1225" s="13"/>
      <c r="J1225" s="14"/>
      <c r="K1225" s="8"/>
      <c r="L1225" s="15"/>
      <c r="M1225" s="15"/>
      <c r="N1225" s="15"/>
      <c r="O1225" s="15"/>
      <c r="P1225" s="15"/>
      <c r="Q1225" s="15"/>
      <c r="R1225" s="15"/>
      <c r="S1225" s="15"/>
      <c r="T1225" s="15"/>
      <c r="U1225" s="15"/>
      <c r="V1225" s="15"/>
    </row>
    <row r="1226" ht="22.5" customHeight="1">
      <c r="A1226" s="7"/>
      <c r="B1226" s="8"/>
      <c r="C1226" s="8"/>
      <c r="D1226" s="8"/>
      <c r="E1226" s="16"/>
      <c r="F1226" s="10"/>
      <c r="G1226" s="19"/>
      <c r="H1226" s="18"/>
      <c r="I1226" s="13"/>
      <c r="J1226" s="14"/>
      <c r="K1226" s="8"/>
      <c r="L1226" s="15"/>
      <c r="M1226" s="15"/>
      <c r="N1226" s="15"/>
      <c r="O1226" s="15"/>
      <c r="P1226" s="15"/>
      <c r="Q1226" s="15"/>
      <c r="R1226" s="15"/>
      <c r="S1226" s="15"/>
      <c r="T1226" s="15"/>
      <c r="U1226" s="15"/>
      <c r="V1226" s="15"/>
    </row>
    <row r="1227" ht="22.5" customHeight="1">
      <c r="A1227" s="7"/>
      <c r="B1227" s="8"/>
      <c r="C1227" s="8"/>
      <c r="D1227" s="8"/>
      <c r="E1227" s="16"/>
      <c r="F1227" s="10"/>
      <c r="G1227" s="19"/>
      <c r="H1227" s="18"/>
      <c r="I1227" s="13"/>
      <c r="J1227" s="14"/>
      <c r="K1227" s="8"/>
      <c r="L1227" s="15"/>
      <c r="M1227" s="15"/>
      <c r="N1227" s="15"/>
      <c r="O1227" s="15"/>
      <c r="P1227" s="15"/>
      <c r="Q1227" s="15"/>
      <c r="R1227" s="15"/>
      <c r="S1227" s="15"/>
      <c r="T1227" s="15"/>
      <c r="U1227" s="15"/>
      <c r="V1227" s="15"/>
    </row>
    <row r="1228" ht="22.5" customHeight="1">
      <c r="A1228" s="7"/>
      <c r="B1228" s="8"/>
      <c r="C1228" s="8"/>
      <c r="D1228" s="8"/>
      <c r="E1228" s="16"/>
      <c r="F1228" s="10"/>
      <c r="G1228" s="19"/>
      <c r="H1228" s="18"/>
      <c r="I1228" s="13"/>
      <c r="J1228" s="14"/>
      <c r="K1228" s="8"/>
      <c r="L1228" s="15"/>
      <c r="M1228" s="15"/>
      <c r="N1228" s="15"/>
      <c r="O1228" s="15"/>
      <c r="P1228" s="15"/>
      <c r="Q1228" s="15"/>
      <c r="R1228" s="15"/>
      <c r="S1228" s="15"/>
      <c r="T1228" s="15"/>
      <c r="U1228" s="15"/>
      <c r="V1228" s="15"/>
    </row>
    <row r="1229" ht="22.5" customHeight="1">
      <c r="A1229" s="7"/>
      <c r="B1229" s="8"/>
      <c r="C1229" s="8"/>
      <c r="D1229" s="8"/>
      <c r="E1229" s="16"/>
      <c r="F1229" s="10"/>
      <c r="G1229" s="19"/>
      <c r="H1229" s="18"/>
      <c r="I1229" s="13"/>
      <c r="J1229" s="14"/>
      <c r="K1229" s="8"/>
      <c r="L1229" s="15"/>
      <c r="M1229" s="15"/>
      <c r="N1229" s="15"/>
      <c r="O1229" s="15"/>
      <c r="P1229" s="15"/>
      <c r="Q1229" s="15"/>
      <c r="R1229" s="15"/>
      <c r="S1229" s="15"/>
      <c r="T1229" s="15"/>
      <c r="U1229" s="15"/>
      <c r="V1229" s="15"/>
    </row>
    <row r="1230" ht="22.5" customHeight="1">
      <c r="A1230" s="7"/>
      <c r="B1230" s="8"/>
      <c r="C1230" s="8"/>
      <c r="D1230" s="8"/>
      <c r="E1230" s="16"/>
      <c r="F1230" s="10"/>
      <c r="G1230" s="19"/>
      <c r="H1230" s="18"/>
      <c r="I1230" s="13"/>
      <c r="J1230" s="14"/>
      <c r="K1230" s="8"/>
      <c r="L1230" s="15"/>
      <c r="M1230" s="15"/>
      <c r="N1230" s="15"/>
      <c r="O1230" s="15"/>
      <c r="P1230" s="15"/>
      <c r="Q1230" s="15"/>
      <c r="R1230" s="15"/>
      <c r="S1230" s="15"/>
      <c r="T1230" s="15"/>
      <c r="U1230" s="15"/>
      <c r="V1230" s="15"/>
    </row>
    <row r="1231" ht="22.5" customHeight="1">
      <c r="A1231" s="7"/>
      <c r="B1231" s="8"/>
      <c r="C1231" s="8"/>
      <c r="D1231" s="8"/>
      <c r="E1231" s="16"/>
      <c r="F1231" s="10"/>
      <c r="G1231" s="19"/>
      <c r="H1231" s="18"/>
      <c r="I1231" s="13"/>
      <c r="J1231" s="14"/>
      <c r="K1231" s="8"/>
      <c r="L1231" s="15"/>
      <c r="M1231" s="15"/>
      <c r="N1231" s="15"/>
      <c r="O1231" s="15"/>
      <c r="P1231" s="15"/>
      <c r="Q1231" s="15"/>
      <c r="R1231" s="15"/>
      <c r="S1231" s="15"/>
      <c r="T1231" s="15"/>
      <c r="U1231" s="15"/>
      <c r="V1231" s="15"/>
    </row>
    <row r="1232" ht="22.5" customHeight="1">
      <c r="A1232" s="7"/>
      <c r="B1232" s="8"/>
      <c r="C1232" s="8"/>
      <c r="D1232" s="8"/>
      <c r="E1232" s="16"/>
      <c r="F1232" s="10"/>
      <c r="G1232" s="19"/>
      <c r="H1232" s="18"/>
      <c r="I1232" s="13"/>
      <c r="J1232" s="14"/>
      <c r="K1232" s="8"/>
      <c r="L1232" s="15"/>
      <c r="M1232" s="15"/>
      <c r="N1232" s="15"/>
      <c r="O1232" s="15"/>
      <c r="P1232" s="15"/>
      <c r="Q1232" s="15"/>
      <c r="R1232" s="15"/>
      <c r="S1232" s="15"/>
      <c r="T1232" s="15"/>
      <c r="U1232" s="15"/>
      <c r="V1232" s="15"/>
    </row>
    <row r="1233" ht="22.5" customHeight="1">
      <c r="A1233" s="7"/>
      <c r="B1233" s="8"/>
      <c r="C1233" s="8"/>
      <c r="D1233" s="8"/>
      <c r="E1233" s="16"/>
      <c r="F1233" s="10"/>
      <c r="G1233" s="19"/>
      <c r="H1233" s="18"/>
      <c r="I1233" s="13"/>
      <c r="J1233" s="14"/>
      <c r="K1233" s="8"/>
      <c r="L1233" s="15"/>
      <c r="M1233" s="15"/>
      <c r="N1233" s="15"/>
      <c r="O1233" s="15"/>
      <c r="P1233" s="15"/>
      <c r="Q1233" s="15"/>
      <c r="R1233" s="15"/>
      <c r="S1233" s="15"/>
      <c r="T1233" s="15"/>
      <c r="U1233" s="15"/>
      <c r="V1233" s="15"/>
    </row>
    <row r="1234" ht="22.5" customHeight="1">
      <c r="A1234" s="7"/>
      <c r="B1234" s="8"/>
      <c r="C1234" s="8"/>
      <c r="D1234" s="8"/>
      <c r="E1234" s="16"/>
      <c r="F1234" s="10"/>
      <c r="G1234" s="19"/>
      <c r="H1234" s="18"/>
      <c r="I1234" s="13"/>
      <c r="J1234" s="14"/>
      <c r="K1234" s="8"/>
      <c r="L1234" s="15"/>
      <c r="M1234" s="15"/>
      <c r="N1234" s="15"/>
      <c r="O1234" s="15"/>
      <c r="P1234" s="15"/>
      <c r="Q1234" s="15"/>
      <c r="R1234" s="15"/>
      <c r="S1234" s="15"/>
      <c r="T1234" s="15"/>
      <c r="U1234" s="15"/>
      <c r="V1234" s="15"/>
    </row>
    <row r="1235" ht="22.5" customHeight="1">
      <c r="A1235" s="7"/>
      <c r="B1235" s="8"/>
      <c r="C1235" s="8"/>
      <c r="D1235" s="8"/>
      <c r="E1235" s="16"/>
      <c r="F1235" s="10"/>
      <c r="G1235" s="19"/>
      <c r="H1235" s="18"/>
      <c r="I1235" s="13"/>
      <c r="J1235" s="14"/>
      <c r="K1235" s="8"/>
      <c r="L1235" s="15"/>
      <c r="M1235" s="15"/>
      <c r="N1235" s="15"/>
      <c r="O1235" s="15"/>
      <c r="P1235" s="15"/>
      <c r="Q1235" s="15"/>
      <c r="R1235" s="15"/>
      <c r="S1235" s="15"/>
      <c r="T1235" s="15"/>
      <c r="U1235" s="15"/>
      <c r="V1235" s="15"/>
    </row>
    <row r="1236" ht="22.5" customHeight="1">
      <c r="A1236" s="7"/>
      <c r="B1236" s="8"/>
      <c r="C1236" s="8"/>
      <c r="D1236" s="8"/>
      <c r="E1236" s="16"/>
      <c r="F1236" s="10"/>
      <c r="G1236" s="19"/>
      <c r="H1236" s="18"/>
      <c r="I1236" s="13"/>
      <c r="J1236" s="14"/>
      <c r="K1236" s="8"/>
      <c r="L1236" s="15"/>
      <c r="M1236" s="15"/>
      <c r="N1236" s="15"/>
      <c r="O1236" s="15"/>
      <c r="P1236" s="15"/>
      <c r="Q1236" s="15"/>
      <c r="R1236" s="15"/>
      <c r="S1236" s="15"/>
      <c r="T1236" s="15"/>
      <c r="U1236" s="15"/>
      <c r="V1236" s="15"/>
    </row>
    <row r="1237" ht="22.5" customHeight="1">
      <c r="A1237" s="7"/>
      <c r="B1237" s="8"/>
      <c r="C1237" s="8"/>
      <c r="D1237" s="8"/>
      <c r="E1237" s="16"/>
      <c r="F1237" s="10"/>
      <c r="G1237" s="19"/>
      <c r="H1237" s="18"/>
      <c r="I1237" s="13"/>
      <c r="J1237" s="14"/>
      <c r="K1237" s="8"/>
      <c r="L1237" s="15"/>
      <c r="M1237" s="15"/>
      <c r="N1237" s="15"/>
      <c r="O1237" s="15"/>
      <c r="P1237" s="15"/>
      <c r="Q1237" s="15"/>
      <c r="R1237" s="15"/>
      <c r="S1237" s="15"/>
      <c r="T1237" s="15"/>
      <c r="U1237" s="15"/>
      <c r="V1237" s="15"/>
    </row>
    <row r="1238" ht="22.5" customHeight="1">
      <c r="A1238" s="7"/>
      <c r="B1238" s="8"/>
      <c r="C1238" s="8"/>
      <c r="D1238" s="8"/>
      <c r="E1238" s="16"/>
      <c r="F1238" s="10"/>
      <c r="G1238" s="19"/>
      <c r="H1238" s="18"/>
      <c r="I1238" s="13"/>
      <c r="J1238" s="14"/>
      <c r="K1238" s="8"/>
      <c r="L1238" s="15"/>
      <c r="M1238" s="15"/>
      <c r="N1238" s="15"/>
      <c r="O1238" s="15"/>
      <c r="P1238" s="15"/>
      <c r="Q1238" s="15"/>
      <c r="R1238" s="15"/>
      <c r="S1238" s="15"/>
      <c r="T1238" s="15"/>
      <c r="U1238" s="15"/>
      <c r="V1238" s="15"/>
    </row>
    <row r="1239" ht="22.5" customHeight="1">
      <c r="A1239" s="7"/>
      <c r="B1239" s="8"/>
      <c r="C1239" s="8"/>
      <c r="D1239" s="8"/>
      <c r="E1239" s="16"/>
      <c r="F1239" s="10"/>
      <c r="G1239" s="19"/>
      <c r="H1239" s="18"/>
      <c r="I1239" s="13"/>
      <c r="J1239" s="14"/>
      <c r="K1239" s="8"/>
      <c r="L1239" s="15"/>
      <c r="M1239" s="15"/>
      <c r="N1239" s="15"/>
      <c r="O1239" s="15"/>
      <c r="P1239" s="15"/>
      <c r="Q1239" s="15"/>
      <c r="R1239" s="15"/>
      <c r="S1239" s="15"/>
      <c r="T1239" s="15"/>
      <c r="U1239" s="15"/>
      <c r="V1239" s="15"/>
    </row>
    <row r="1240" ht="22.5" customHeight="1">
      <c r="A1240" s="7"/>
      <c r="B1240" s="8"/>
      <c r="C1240" s="8"/>
      <c r="D1240" s="8"/>
      <c r="E1240" s="16"/>
      <c r="F1240" s="10"/>
      <c r="G1240" s="19"/>
      <c r="H1240" s="18"/>
      <c r="I1240" s="13"/>
      <c r="J1240" s="14"/>
      <c r="K1240" s="8"/>
      <c r="L1240" s="15"/>
      <c r="M1240" s="15"/>
      <c r="N1240" s="15"/>
      <c r="O1240" s="15"/>
      <c r="P1240" s="15"/>
      <c r="Q1240" s="15"/>
      <c r="R1240" s="15"/>
      <c r="S1240" s="15"/>
      <c r="T1240" s="15"/>
      <c r="U1240" s="15"/>
      <c r="V1240" s="15"/>
    </row>
    <row r="1241" ht="22.5" customHeight="1">
      <c r="A1241" s="7"/>
      <c r="B1241" s="8"/>
      <c r="C1241" s="8"/>
      <c r="D1241" s="8"/>
      <c r="E1241" s="16"/>
      <c r="F1241" s="10"/>
      <c r="G1241" s="19"/>
      <c r="H1241" s="18"/>
      <c r="I1241" s="13"/>
      <c r="J1241" s="14"/>
      <c r="K1241" s="8"/>
      <c r="L1241" s="15"/>
      <c r="M1241" s="15"/>
      <c r="N1241" s="15"/>
      <c r="O1241" s="15"/>
      <c r="P1241" s="15"/>
      <c r="Q1241" s="15"/>
      <c r="R1241" s="15"/>
      <c r="S1241" s="15"/>
      <c r="T1241" s="15"/>
      <c r="U1241" s="15"/>
      <c r="V1241" s="15"/>
    </row>
    <row r="1242" ht="22.5" customHeight="1">
      <c r="A1242" s="7"/>
      <c r="B1242" s="8"/>
      <c r="C1242" s="8"/>
      <c r="D1242" s="8"/>
      <c r="E1242" s="16"/>
      <c r="F1242" s="10"/>
      <c r="G1242" s="19"/>
      <c r="H1242" s="18"/>
      <c r="I1242" s="13"/>
      <c r="J1242" s="14"/>
      <c r="K1242" s="8"/>
      <c r="L1242" s="15"/>
      <c r="M1242" s="15"/>
      <c r="N1242" s="15"/>
      <c r="O1242" s="15"/>
      <c r="P1242" s="15"/>
      <c r="Q1242" s="15"/>
      <c r="R1242" s="15"/>
      <c r="S1242" s="15"/>
      <c r="T1242" s="15"/>
      <c r="U1242" s="15"/>
      <c r="V1242" s="15"/>
    </row>
    <row r="1243" ht="22.5" customHeight="1">
      <c r="A1243" s="7"/>
      <c r="B1243" s="8"/>
      <c r="C1243" s="8"/>
      <c r="D1243" s="8"/>
      <c r="E1243" s="16"/>
      <c r="F1243" s="10"/>
      <c r="G1243" s="19"/>
      <c r="H1243" s="18"/>
      <c r="I1243" s="13"/>
      <c r="J1243" s="14"/>
      <c r="K1243" s="8"/>
      <c r="L1243" s="15"/>
      <c r="M1243" s="15"/>
      <c r="N1243" s="15"/>
      <c r="O1243" s="15"/>
      <c r="P1243" s="15"/>
      <c r="Q1243" s="15"/>
      <c r="R1243" s="15"/>
      <c r="S1243" s="15"/>
      <c r="T1243" s="15"/>
      <c r="U1243" s="15"/>
      <c r="V1243" s="15"/>
    </row>
    <row r="1244" ht="22.5" customHeight="1">
      <c r="A1244" s="7"/>
      <c r="B1244" s="8"/>
      <c r="C1244" s="8"/>
      <c r="D1244" s="8"/>
      <c r="E1244" s="16"/>
      <c r="F1244" s="10"/>
      <c r="G1244" s="19"/>
      <c r="H1244" s="18"/>
      <c r="I1244" s="13"/>
      <c r="J1244" s="14"/>
      <c r="K1244" s="8"/>
      <c r="L1244" s="15"/>
      <c r="M1244" s="15"/>
      <c r="N1244" s="15"/>
      <c r="O1244" s="15"/>
      <c r="P1244" s="15"/>
      <c r="Q1244" s="15"/>
      <c r="R1244" s="15"/>
      <c r="S1244" s="15"/>
      <c r="T1244" s="15"/>
      <c r="U1244" s="15"/>
      <c r="V1244" s="15"/>
    </row>
    <row r="1245" ht="22.5" customHeight="1">
      <c r="A1245" s="7"/>
      <c r="B1245" s="8"/>
      <c r="C1245" s="8"/>
      <c r="D1245" s="8"/>
      <c r="E1245" s="16"/>
      <c r="F1245" s="10"/>
      <c r="G1245" s="19"/>
      <c r="H1245" s="18"/>
      <c r="I1245" s="13"/>
      <c r="J1245" s="14"/>
      <c r="K1245" s="8"/>
      <c r="L1245" s="15"/>
      <c r="M1245" s="15"/>
      <c r="N1245" s="15"/>
      <c r="O1245" s="15"/>
      <c r="P1245" s="15"/>
      <c r="Q1245" s="15"/>
      <c r="R1245" s="15"/>
      <c r="S1245" s="15"/>
      <c r="T1245" s="15"/>
      <c r="U1245" s="15"/>
      <c r="V1245" s="15"/>
    </row>
    <row r="1246" ht="22.5" customHeight="1">
      <c r="A1246" s="7"/>
      <c r="B1246" s="8"/>
      <c r="C1246" s="8"/>
      <c r="D1246" s="8"/>
      <c r="E1246" s="16"/>
      <c r="F1246" s="10"/>
      <c r="G1246" s="19"/>
      <c r="H1246" s="18"/>
      <c r="I1246" s="13"/>
      <c r="J1246" s="14"/>
      <c r="K1246" s="8"/>
      <c r="L1246" s="15"/>
      <c r="M1246" s="15"/>
      <c r="N1246" s="15"/>
      <c r="O1246" s="15"/>
      <c r="P1246" s="15"/>
      <c r="Q1246" s="15"/>
      <c r="R1246" s="15"/>
      <c r="S1246" s="15"/>
      <c r="T1246" s="15"/>
      <c r="U1246" s="15"/>
      <c r="V1246" s="15"/>
    </row>
    <row r="1247" ht="22.5" customHeight="1">
      <c r="A1247" s="7"/>
      <c r="B1247" s="8"/>
      <c r="C1247" s="8"/>
      <c r="D1247" s="8"/>
      <c r="E1247" s="16"/>
      <c r="F1247" s="10"/>
      <c r="G1247" s="19"/>
      <c r="H1247" s="18"/>
      <c r="I1247" s="13"/>
      <c r="J1247" s="14"/>
      <c r="K1247" s="8"/>
      <c r="L1247" s="15"/>
      <c r="M1247" s="15"/>
      <c r="N1247" s="15"/>
      <c r="O1247" s="15"/>
      <c r="P1247" s="15"/>
      <c r="Q1247" s="15"/>
      <c r="R1247" s="15"/>
      <c r="S1247" s="15"/>
      <c r="T1247" s="15"/>
      <c r="U1247" s="15"/>
      <c r="V1247" s="15"/>
    </row>
    <row r="1248" ht="22.5" customHeight="1">
      <c r="A1248" s="7"/>
      <c r="B1248" s="8"/>
      <c r="C1248" s="8"/>
      <c r="D1248" s="8"/>
      <c r="E1248" s="16"/>
      <c r="F1248" s="10"/>
      <c r="G1248" s="19"/>
      <c r="H1248" s="18"/>
      <c r="I1248" s="13"/>
      <c r="J1248" s="14"/>
      <c r="K1248" s="8"/>
      <c r="L1248" s="15"/>
      <c r="M1248" s="15"/>
      <c r="N1248" s="15"/>
      <c r="O1248" s="15"/>
      <c r="P1248" s="15"/>
      <c r="Q1248" s="15"/>
      <c r="R1248" s="15"/>
      <c r="S1248" s="15"/>
      <c r="T1248" s="15"/>
      <c r="U1248" s="15"/>
      <c r="V1248" s="15"/>
    </row>
    <row r="1249" ht="22.5" customHeight="1">
      <c r="A1249" s="7"/>
      <c r="B1249" s="8"/>
      <c r="C1249" s="8"/>
      <c r="D1249" s="8"/>
      <c r="E1249" s="16"/>
      <c r="F1249" s="10"/>
      <c r="G1249" s="19"/>
      <c r="H1249" s="18"/>
      <c r="I1249" s="13"/>
      <c r="J1249" s="14"/>
      <c r="K1249" s="8"/>
      <c r="L1249" s="15"/>
      <c r="M1249" s="15"/>
      <c r="N1249" s="15"/>
      <c r="O1249" s="15"/>
      <c r="P1249" s="15"/>
      <c r="Q1249" s="15"/>
      <c r="R1249" s="15"/>
      <c r="S1249" s="15"/>
      <c r="T1249" s="15"/>
      <c r="U1249" s="15"/>
      <c r="V1249" s="15"/>
    </row>
    <row r="1250" ht="22.5" customHeight="1">
      <c r="A1250" s="7"/>
      <c r="B1250" s="8"/>
      <c r="C1250" s="8"/>
      <c r="D1250" s="8"/>
      <c r="E1250" s="16"/>
      <c r="F1250" s="10"/>
      <c r="G1250" s="19"/>
      <c r="H1250" s="18"/>
      <c r="I1250" s="13"/>
      <c r="J1250" s="14"/>
      <c r="K1250" s="8"/>
      <c r="L1250" s="15"/>
      <c r="M1250" s="15"/>
      <c r="N1250" s="15"/>
      <c r="O1250" s="15"/>
      <c r="P1250" s="15"/>
      <c r="Q1250" s="15"/>
      <c r="R1250" s="15"/>
      <c r="S1250" s="15"/>
      <c r="T1250" s="15"/>
      <c r="U1250" s="15"/>
      <c r="V1250" s="15"/>
    </row>
    <row r="1251" ht="22.5" customHeight="1">
      <c r="A1251" s="7"/>
      <c r="B1251" s="8"/>
      <c r="C1251" s="8"/>
      <c r="D1251" s="8"/>
      <c r="E1251" s="16"/>
      <c r="F1251" s="10"/>
      <c r="G1251" s="19"/>
      <c r="H1251" s="18"/>
      <c r="I1251" s="13"/>
      <c r="J1251" s="14"/>
      <c r="K1251" s="8"/>
      <c r="L1251" s="15"/>
      <c r="M1251" s="15"/>
      <c r="N1251" s="15"/>
      <c r="O1251" s="15"/>
      <c r="P1251" s="15"/>
      <c r="Q1251" s="15"/>
      <c r="R1251" s="15"/>
      <c r="S1251" s="15"/>
      <c r="T1251" s="15"/>
      <c r="U1251" s="15"/>
      <c r="V1251" s="15"/>
    </row>
    <row r="1252" ht="22.5" customHeight="1">
      <c r="A1252" s="7"/>
      <c r="B1252" s="8"/>
      <c r="C1252" s="8"/>
      <c r="D1252" s="8"/>
      <c r="E1252" s="16"/>
      <c r="F1252" s="10"/>
      <c r="G1252" s="19"/>
      <c r="H1252" s="18"/>
      <c r="I1252" s="13"/>
      <c r="J1252" s="14"/>
      <c r="K1252" s="8"/>
      <c r="L1252" s="15"/>
      <c r="M1252" s="15"/>
      <c r="N1252" s="15"/>
      <c r="O1252" s="15"/>
      <c r="P1252" s="15"/>
      <c r="Q1252" s="15"/>
      <c r="R1252" s="15"/>
      <c r="S1252" s="15"/>
      <c r="T1252" s="15"/>
      <c r="U1252" s="15"/>
      <c r="V1252" s="15"/>
    </row>
    <row r="1253" ht="22.5" customHeight="1">
      <c r="A1253" s="7"/>
      <c r="B1253" s="8"/>
      <c r="C1253" s="8"/>
      <c r="D1253" s="8"/>
      <c r="E1253" s="16"/>
      <c r="F1253" s="10"/>
      <c r="G1253" s="19"/>
      <c r="H1253" s="18"/>
      <c r="I1253" s="13"/>
      <c r="J1253" s="14"/>
      <c r="K1253" s="8"/>
      <c r="L1253" s="15"/>
      <c r="M1253" s="15"/>
      <c r="N1253" s="15"/>
      <c r="O1253" s="15"/>
      <c r="P1253" s="15"/>
      <c r="Q1253" s="15"/>
      <c r="R1253" s="15"/>
      <c r="S1253" s="15"/>
      <c r="T1253" s="15"/>
      <c r="U1253" s="15"/>
      <c r="V1253" s="15"/>
    </row>
    <row r="1254" ht="22.5" customHeight="1">
      <c r="A1254" s="7"/>
      <c r="B1254" s="8"/>
      <c r="C1254" s="8"/>
      <c r="D1254" s="8"/>
      <c r="E1254" s="16"/>
      <c r="F1254" s="10"/>
      <c r="G1254" s="19"/>
      <c r="H1254" s="18"/>
      <c r="I1254" s="13"/>
      <c r="J1254" s="14"/>
      <c r="K1254" s="8"/>
      <c r="L1254" s="15"/>
      <c r="M1254" s="15"/>
      <c r="N1254" s="15"/>
      <c r="O1254" s="15"/>
      <c r="P1254" s="15"/>
      <c r="Q1254" s="15"/>
      <c r="R1254" s="15"/>
      <c r="S1254" s="15"/>
      <c r="T1254" s="15"/>
      <c r="U1254" s="15"/>
      <c r="V1254" s="15"/>
    </row>
    <row r="1255" ht="22.5" customHeight="1">
      <c r="A1255" s="7"/>
      <c r="B1255" s="8"/>
      <c r="C1255" s="8"/>
      <c r="D1255" s="8"/>
      <c r="E1255" s="16"/>
      <c r="F1255" s="10"/>
      <c r="G1255" s="19"/>
      <c r="H1255" s="18"/>
      <c r="I1255" s="13"/>
      <c r="J1255" s="14"/>
      <c r="K1255" s="8"/>
      <c r="L1255" s="15"/>
      <c r="M1255" s="15"/>
      <c r="N1255" s="15"/>
      <c r="O1255" s="15"/>
      <c r="P1255" s="15"/>
      <c r="Q1255" s="15"/>
      <c r="R1255" s="15"/>
      <c r="S1255" s="15"/>
      <c r="T1255" s="15"/>
      <c r="U1255" s="15"/>
      <c r="V1255" s="15"/>
    </row>
    <row r="1256" ht="22.5" customHeight="1">
      <c r="A1256" s="7"/>
      <c r="B1256" s="8"/>
      <c r="C1256" s="8"/>
      <c r="D1256" s="8"/>
      <c r="E1256" s="16"/>
      <c r="F1256" s="10"/>
      <c r="G1256" s="19"/>
      <c r="H1256" s="18"/>
      <c r="I1256" s="13"/>
      <c r="J1256" s="14"/>
      <c r="K1256" s="8"/>
      <c r="L1256" s="15"/>
      <c r="M1256" s="15"/>
      <c r="N1256" s="15"/>
      <c r="O1256" s="15"/>
      <c r="P1256" s="15"/>
      <c r="Q1256" s="15"/>
      <c r="R1256" s="15"/>
      <c r="S1256" s="15"/>
      <c r="T1256" s="15"/>
      <c r="U1256" s="15"/>
      <c r="V1256" s="15"/>
    </row>
    <row r="1257" ht="22.5" customHeight="1">
      <c r="A1257" s="7"/>
      <c r="B1257" s="8"/>
      <c r="C1257" s="8"/>
      <c r="D1257" s="8"/>
      <c r="E1257" s="16"/>
      <c r="F1257" s="10"/>
      <c r="G1257" s="19"/>
      <c r="H1257" s="18"/>
      <c r="I1257" s="13"/>
      <c r="J1257" s="14"/>
      <c r="K1257" s="8"/>
      <c r="L1257" s="15"/>
      <c r="M1257" s="15"/>
      <c r="N1257" s="15"/>
      <c r="O1257" s="15"/>
      <c r="P1257" s="15"/>
      <c r="Q1257" s="15"/>
      <c r="R1257" s="15"/>
      <c r="S1257" s="15"/>
      <c r="T1257" s="15"/>
      <c r="U1257" s="15"/>
      <c r="V1257" s="15"/>
    </row>
    <row r="1258" ht="22.5" customHeight="1">
      <c r="A1258" s="7"/>
      <c r="B1258" s="8"/>
      <c r="C1258" s="8"/>
      <c r="D1258" s="8"/>
      <c r="E1258" s="16"/>
      <c r="F1258" s="10"/>
      <c r="G1258" s="19"/>
      <c r="H1258" s="18"/>
      <c r="I1258" s="13"/>
      <c r="J1258" s="14"/>
      <c r="K1258" s="8"/>
      <c r="L1258" s="15"/>
      <c r="M1258" s="15"/>
      <c r="N1258" s="15"/>
      <c r="O1258" s="15"/>
      <c r="P1258" s="15"/>
      <c r="Q1258" s="15"/>
      <c r="R1258" s="15"/>
      <c r="S1258" s="15"/>
      <c r="T1258" s="15"/>
      <c r="U1258" s="15"/>
      <c r="V1258" s="15"/>
    </row>
    <row r="1259" ht="22.5" customHeight="1">
      <c r="A1259" s="7"/>
      <c r="B1259" s="8"/>
      <c r="C1259" s="8"/>
      <c r="D1259" s="8"/>
      <c r="E1259" s="16"/>
      <c r="F1259" s="10"/>
      <c r="G1259" s="19"/>
      <c r="H1259" s="18"/>
      <c r="I1259" s="13"/>
      <c r="J1259" s="14"/>
      <c r="K1259" s="8"/>
      <c r="L1259" s="15"/>
      <c r="M1259" s="15"/>
      <c r="N1259" s="15"/>
      <c r="O1259" s="15"/>
      <c r="P1259" s="15"/>
      <c r="Q1259" s="15"/>
      <c r="R1259" s="15"/>
      <c r="S1259" s="15"/>
      <c r="T1259" s="15"/>
      <c r="U1259" s="15"/>
      <c r="V1259" s="15"/>
    </row>
    <row r="1260" ht="22.5" customHeight="1">
      <c r="A1260" s="7"/>
      <c r="B1260" s="8"/>
      <c r="C1260" s="8"/>
      <c r="D1260" s="8"/>
      <c r="E1260" s="16"/>
      <c r="F1260" s="10"/>
      <c r="G1260" s="19"/>
      <c r="H1260" s="18"/>
      <c r="I1260" s="13"/>
      <c r="J1260" s="14"/>
      <c r="K1260" s="8"/>
      <c r="L1260" s="15"/>
      <c r="M1260" s="15"/>
      <c r="N1260" s="15"/>
      <c r="O1260" s="15"/>
      <c r="P1260" s="15"/>
      <c r="Q1260" s="15"/>
      <c r="R1260" s="15"/>
      <c r="S1260" s="15"/>
      <c r="T1260" s="15"/>
      <c r="U1260" s="15"/>
      <c r="V1260" s="15"/>
    </row>
    <row r="1261" ht="22.5" customHeight="1">
      <c r="A1261" s="7"/>
      <c r="B1261" s="8"/>
      <c r="C1261" s="8"/>
      <c r="D1261" s="8"/>
      <c r="E1261" s="16"/>
      <c r="F1261" s="10"/>
      <c r="G1261" s="19"/>
      <c r="H1261" s="18"/>
      <c r="I1261" s="13"/>
      <c r="J1261" s="14"/>
      <c r="K1261" s="8"/>
      <c r="L1261" s="15"/>
      <c r="M1261" s="15"/>
      <c r="N1261" s="15"/>
      <c r="O1261" s="15"/>
      <c r="P1261" s="15"/>
      <c r="Q1261" s="15"/>
      <c r="R1261" s="15"/>
      <c r="S1261" s="15"/>
      <c r="T1261" s="15"/>
      <c r="U1261" s="15"/>
      <c r="V1261" s="15"/>
    </row>
    <row r="1262" ht="22.5" customHeight="1">
      <c r="A1262" s="7"/>
      <c r="B1262" s="8"/>
      <c r="C1262" s="8"/>
      <c r="D1262" s="8"/>
      <c r="E1262" s="16"/>
      <c r="F1262" s="10"/>
      <c r="G1262" s="19"/>
      <c r="H1262" s="18"/>
      <c r="I1262" s="13"/>
      <c r="J1262" s="14"/>
      <c r="K1262" s="8"/>
      <c r="L1262" s="15"/>
      <c r="M1262" s="15"/>
      <c r="N1262" s="15"/>
      <c r="O1262" s="15"/>
      <c r="P1262" s="15"/>
      <c r="Q1262" s="15"/>
      <c r="R1262" s="15"/>
      <c r="S1262" s="15"/>
      <c r="T1262" s="15"/>
      <c r="U1262" s="15"/>
      <c r="V1262" s="15"/>
    </row>
    <row r="1263" ht="22.5" customHeight="1">
      <c r="A1263" s="7"/>
      <c r="B1263" s="8"/>
      <c r="C1263" s="8"/>
      <c r="D1263" s="8"/>
      <c r="E1263" s="16"/>
      <c r="F1263" s="10"/>
      <c r="G1263" s="19"/>
      <c r="H1263" s="18"/>
      <c r="I1263" s="13"/>
      <c r="J1263" s="14"/>
      <c r="K1263" s="8"/>
      <c r="L1263" s="15"/>
      <c r="M1263" s="15"/>
      <c r="N1263" s="15"/>
      <c r="O1263" s="15"/>
      <c r="P1263" s="15"/>
      <c r="Q1263" s="15"/>
      <c r="R1263" s="15"/>
      <c r="S1263" s="15"/>
      <c r="T1263" s="15"/>
      <c r="U1263" s="15"/>
      <c r="V1263" s="15"/>
    </row>
    <row r="1264" ht="22.5" customHeight="1">
      <c r="A1264" s="7"/>
      <c r="B1264" s="8"/>
      <c r="C1264" s="8"/>
      <c r="D1264" s="8"/>
      <c r="E1264" s="16"/>
      <c r="F1264" s="10"/>
      <c r="G1264" s="19"/>
      <c r="H1264" s="18"/>
      <c r="I1264" s="13"/>
      <c r="J1264" s="14"/>
      <c r="K1264" s="8"/>
      <c r="L1264" s="15"/>
      <c r="M1264" s="15"/>
      <c r="N1264" s="15"/>
      <c r="O1264" s="15"/>
      <c r="P1264" s="15"/>
      <c r="Q1264" s="15"/>
      <c r="R1264" s="15"/>
      <c r="S1264" s="15"/>
      <c r="T1264" s="15"/>
      <c r="U1264" s="15"/>
      <c r="V1264" s="15"/>
    </row>
    <row r="1265" ht="22.5" customHeight="1">
      <c r="A1265" s="7"/>
      <c r="B1265" s="8"/>
      <c r="C1265" s="8"/>
      <c r="D1265" s="8"/>
      <c r="E1265" s="16"/>
      <c r="F1265" s="10"/>
      <c r="G1265" s="19"/>
      <c r="H1265" s="18"/>
      <c r="I1265" s="13"/>
      <c r="J1265" s="14"/>
      <c r="K1265" s="8"/>
      <c r="L1265" s="15"/>
      <c r="M1265" s="15"/>
      <c r="N1265" s="15"/>
      <c r="O1265" s="15"/>
      <c r="P1265" s="15"/>
      <c r="Q1265" s="15"/>
      <c r="R1265" s="15"/>
      <c r="S1265" s="15"/>
      <c r="T1265" s="15"/>
      <c r="U1265" s="15"/>
      <c r="V1265" s="15"/>
    </row>
    <row r="1266" ht="22.5" customHeight="1">
      <c r="A1266" s="7"/>
      <c r="B1266" s="8"/>
      <c r="C1266" s="8"/>
      <c r="D1266" s="8"/>
      <c r="E1266" s="16"/>
      <c r="F1266" s="10"/>
      <c r="G1266" s="19"/>
      <c r="H1266" s="18"/>
      <c r="I1266" s="13"/>
      <c r="J1266" s="14"/>
      <c r="K1266" s="8"/>
      <c r="L1266" s="15"/>
      <c r="M1266" s="15"/>
      <c r="N1266" s="15"/>
      <c r="O1266" s="15"/>
      <c r="P1266" s="15"/>
      <c r="Q1266" s="15"/>
      <c r="R1266" s="15"/>
      <c r="S1266" s="15"/>
      <c r="T1266" s="15"/>
      <c r="U1266" s="15"/>
      <c r="V1266" s="15"/>
    </row>
    <row r="1267" ht="22.5" customHeight="1">
      <c r="A1267" s="7"/>
      <c r="B1267" s="8"/>
      <c r="C1267" s="8"/>
      <c r="D1267" s="8"/>
      <c r="E1267" s="16"/>
      <c r="F1267" s="10"/>
      <c r="G1267" s="19"/>
      <c r="H1267" s="18"/>
      <c r="I1267" s="13"/>
      <c r="J1267" s="14"/>
      <c r="K1267" s="8"/>
      <c r="L1267" s="15"/>
      <c r="M1267" s="15"/>
      <c r="N1267" s="15"/>
      <c r="O1267" s="15"/>
      <c r="P1267" s="15"/>
      <c r="Q1267" s="15"/>
      <c r="R1267" s="15"/>
      <c r="S1267" s="15"/>
      <c r="T1267" s="15"/>
      <c r="U1267" s="15"/>
      <c r="V1267" s="15"/>
    </row>
    <row r="1268" ht="22.5" customHeight="1">
      <c r="A1268" s="7"/>
      <c r="B1268" s="8"/>
      <c r="C1268" s="8"/>
      <c r="D1268" s="8"/>
      <c r="E1268" s="16"/>
      <c r="F1268" s="10"/>
      <c r="G1268" s="19"/>
      <c r="H1268" s="18"/>
      <c r="I1268" s="13"/>
      <c r="J1268" s="14"/>
      <c r="K1268" s="8"/>
      <c r="L1268" s="15"/>
      <c r="M1268" s="15"/>
      <c r="N1268" s="15"/>
      <c r="O1268" s="15"/>
      <c r="P1268" s="15"/>
      <c r="Q1268" s="15"/>
      <c r="R1268" s="15"/>
      <c r="S1268" s="15"/>
      <c r="T1268" s="15"/>
      <c r="U1268" s="15"/>
      <c r="V1268" s="15"/>
    </row>
    <row r="1269" ht="22.5" customHeight="1">
      <c r="A1269" s="7"/>
      <c r="B1269" s="8"/>
      <c r="C1269" s="8"/>
      <c r="D1269" s="8"/>
      <c r="E1269" s="16"/>
      <c r="F1269" s="10"/>
      <c r="G1269" s="19"/>
      <c r="H1269" s="18"/>
      <c r="I1269" s="13"/>
      <c r="J1269" s="14"/>
      <c r="K1269" s="8"/>
      <c r="L1269" s="15"/>
      <c r="M1269" s="15"/>
      <c r="N1269" s="15"/>
      <c r="O1269" s="15"/>
      <c r="P1269" s="15"/>
      <c r="Q1269" s="15"/>
      <c r="R1269" s="15"/>
      <c r="S1269" s="15"/>
      <c r="T1269" s="15"/>
      <c r="U1269" s="15"/>
      <c r="V1269" s="15"/>
    </row>
    <row r="1270" ht="22.5" customHeight="1">
      <c r="A1270" s="7"/>
      <c r="B1270" s="8"/>
      <c r="C1270" s="8"/>
      <c r="D1270" s="8"/>
      <c r="E1270" s="16"/>
      <c r="F1270" s="10"/>
      <c r="G1270" s="19"/>
      <c r="H1270" s="18"/>
      <c r="I1270" s="13"/>
      <c r="J1270" s="14"/>
      <c r="K1270" s="8"/>
      <c r="L1270" s="15"/>
      <c r="M1270" s="15"/>
      <c r="N1270" s="15"/>
      <c r="O1270" s="15"/>
      <c r="P1270" s="15"/>
      <c r="Q1270" s="15"/>
      <c r="R1270" s="15"/>
      <c r="S1270" s="15"/>
      <c r="T1270" s="15"/>
      <c r="U1270" s="15"/>
      <c r="V1270" s="15"/>
    </row>
    <row r="1271" ht="22.5" customHeight="1">
      <c r="A1271" s="7"/>
      <c r="B1271" s="8"/>
      <c r="C1271" s="8"/>
      <c r="D1271" s="8"/>
      <c r="E1271" s="16"/>
      <c r="F1271" s="10"/>
      <c r="G1271" s="19"/>
      <c r="H1271" s="18"/>
      <c r="I1271" s="13"/>
      <c r="J1271" s="14"/>
      <c r="K1271" s="8"/>
      <c r="L1271" s="15"/>
      <c r="M1271" s="15"/>
      <c r="N1271" s="15"/>
      <c r="O1271" s="15"/>
      <c r="P1271" s="15"/>
      <c r="Q1271" s="15"/>
      <c r="R1271" s="15"/>
      <c r="S1271" s="15"/>
      <c r="T1271" s="15"/>
      <c r="U1271" s="15"/>
      <c r="V1271" s="15"/>
    </row>
    <row r="1272" ht="22.5" customHeight="1">
      <c r="A1272" s="7"/>
      <c r="B1272" s="8"/>
      <c r="C1272" s="8"/>
      <c r="D1272" s="8"/>
      <c r="E1272" s="16"/>
      <c r="F1272" s="10"/>
      <c r="G1272" s="19"/>
      <c r="H1272" s="18"/>
      <c r="I1272" s="13"/>
      <c r="J1272" s="14"/>
      <c r="K1272" s="8"/>
      <c r="L1272" s="15"/>
      <c r="M1272" s="15"/>
      <c r="N1272" s="15"/>
      <c r="O1272" s="15"/>
      <c r="P1272" s="15"/>
      <c r="Q1272" s="15"/>
      <c r="R1272" s="15"/>
      <c r="S1272" s="15"/>
      <c r="T1272" s="15"/>
      <c r="U1272" s="15"/>
      <c r="V1272" s="15"/>
    </row>
    <row r="1273" ht="22.5" customHeight="1">
      <c r="A1273" s="7"/>
      <c r="B1273" s="8"/>
      <c r="C1273" s="8"/>
      <c r="D1273" s="8"/>
      <c r="E1273" s="16"/>
      <c r="F1273" s="10"/>
      <c r="G1273" s="19"/>
      <c r="H1273" s="18"/>
      <c r="I1273" s="13"/>
      <c r="J1273" s="14"/>
      <c r="K1273" s="8"/>
      <c r="L1273" s="15"/>
      <c r="M1273" s="15"/>
      <c r="N1273" s="15"/>
      <c r="O1273" s="15"/>
      <c r="P1273" s="15"/>
      <c r="Q1273" s="15"/>
      <c r="R1273" s="15"/>
      <c r="S1273" s="15"/>
      <c r="T1273" s="15"/>
      <c r="U1273" s="15"/>
      <c r="V1273" s="15"/>
    </row>
    <row r="1274" ht="22.5" customHeight="1">
      <c r="A1274" s="7"/>
      <c r="B1274" s="8"/>
      <c r="C1274" s="8"/>
      <c r="D1274" s="8"/>
      <c r="E1274" s="16"/>
      <c r="F1274" s="10"/>
      <c r="G1274" s="19"/>
      <c r="H1274" s="18"/>
      <c r="I1274" s="13"/>
      <c r="J1274" s="14"/>
      <c r="K1274" s="8"/>
      <c r="L1274" s="15"/>
      <c r="M1274" s="15"/>
      <c r="N1274" s="15"/>
      <c r="O1274" s="15"/>
      <c r="P1274" s="15"/>
      <c r="Q1274" s="15"/>
      <c r="R1274" s="15"/>
      <c r="S1274" s="15"/>
      <c r="T1274" s="15"/>
      <c r="U1274" s="15"/>
      <c r="V1274" s="15"/>
    </row>
    <row r="1275" ht="22.5" customHeight="1">
      <c r="A1275" s="7"/>
      <c r="B1275" s="8"/>
      <c r="C1275" s="8"/>
      <c r="D1275" s="8"/>
      <c r="E1275" s="16"/>
      <c r="F1275" s="10"/>
      <c r="G1275" s="19"/>
      <c r="H1275" s="18"/>
      <c r="I1275" s="13"/>
      <c r="J1275" s="14"/>
      <c r="K1275" s="8"/>
      <c r="L1275" s="15"/>
      <c r="M1275" s="15"/>
      <c r="N1275" s="15"/>
      <c r="O1275" s="15"/>
      <c r="P1275" s="15"/>
      <c r="Q1275" s="15"/>
      <c r="R1275" s="15"/>
      <c r="S1275" s="15"/>
      <c r="T1275" s="15"/>
      <c r="U1275" s="15"/>
      <c r="V1275" s="15"/>
    </row>
    <row r="1276" ht="22.5" customHeight="1">
      <c r="A1276" s="7"/>
      <c r="B1276" s="8"/>
      <c r="C1276" s="8"/>
      <c r="D1276" s="8"/>
      <c r="E1276" s="16"/>
      <c r="F1276" s="10"/>
      <c r="G1276" s="19"/>
      <c r="H1276" s="18"/>
      <c r="I1276" s="13"/>
      <c r="J1276" s="14"/>
      <c r="K1276" s="8"/>
      <c r="L1276" s="15"/>
      <c r="M1276" s="15"/>
      <c r="N1276" s="15"/>
      <c r="O1276" s="15"/>
      <c r="P1276" s="15"/>
      <c r="Q1276" s="15"/>
      <c r="R1276" s="15"/>
      <c r="S1276" s="15"/>
      <c r="T1276" s="15"/>
      <c r="U1276" s="15"/>
      <c r="V1276" s="15"/>
    </row>
    <row r="1277" ht="22.5" customHeight="1">
      <c r="A1277" s="7"/>
      <c r="B1277" s="8"/>
      <c r="C1277" s="8"/>
      <c r="D1277" s="8"/>
      <c r="E1277" s="16"/>
      <c r="F1277" s="10"/>
      <c r="G1277" s="19"/>
      <c r="H1277" s="18"/>
      <c r="I1277" s="13"/>
      <c r="J1277" s="14"/>
      <c r="K1277" s="8"/>
      <c r="L1277" s="15"/>
      <c r="M1277" s="15"/>
      <c r="N1277" s="15"/>
      <c r="O1277" s="15"/>
      <c r="P1277" s="15"/>
      <c r="Q1277" s="15"/>
      <c r="R1277" s="15"/>
      <c r="S1277" s="15"/>
      <c r="T1277" s="15"/>
      <c r="U1277" s="15"/>
      <c r="V1277" s="15"/>
    </row>
    <row r="1278" ht="22.5" customHeight="1">
      <c r="A1278" s="7"/>
      <c r="B1278" s="8"/>
      <c r="C1278" s="8"/>
      <c r="D1278" s="8"/>
      <c r="E1278" s="16"/>
      <c r="F1278" s="10"/>
      <c r="G1278" s="19"/>
      <c r="H1278" s="18"/>
      <c r="I1278" s="13"/>
      <c r="J1278" s="14"/>
      <c r="K1278" s="8"/>
      <c r="L1278" s="15"/>
      <c r="M1278" s="15"/>
      <c r="N1278" s="15"/>
      <c r="O1278" s="15"/>
      <c r="P1278" s="15"/>
      <c r="Q1278" s="15"/>
      <c r="R1278" s="15"/>
      <c r="S1278" s="15"/>
      <c r="T1278" s="15"/>
      <c r="U1278" s="15"/>
      <c r="V1278" s="15"/>
    </row>
    <row r="1279" ht="22.5" customHeight="1">
      <c r="A1279" s="7"/>
      <c r="B1279" s="8"/>
      <c r="C1279" s="8"/>
      <c r="D1279" s="8"/>
      <c r="E1279" s="16"/>
      <c r="F1279" s="10"/>
      <c r="G1279" s="19"/>
      <c r="H1279" s="18"/>
      <c r="I1279" s="13"/>
      <c r="J1279" s="14"/>
      <c r="K1279" s="8"/>
      <c r="L1279" s="15"/>
      <c r="M1279" s="15"/>
      <c r="N1279" s="15"/>
      <c r="O1279" s="15"/>
      <c r="P1279" s="15"/>
      <c r="Q1279" s="15"/>
      <c r="R1279" s="15"/>
      <c r="S1279" s="15"/>
      <c r="T1279" s="15"/>
      <c r="U1279" s="15"/>
      <c r="V1279" s="15"/>
    </row>
    <row r="1280" ht="22.5" customHeight="1">
      <c r="A1280" s="7"/>
      <c r="B1280" s="8"/>
      <c r="C1280" s="8"/>
      <c r="D1280" s="8"/>
      <c r="E1280" s="16"/>
      <c r="F1280" s="10"/>
      <c r="G1280" s="19"/>
      <c r="H1280" s="18"/>
      <c r="I1280" s="13"/>
      <c r="J1280" s="14"/>
      <c r="K1280" s="8"/>
      <c r="L1280" s="15"/>
      <c r="M1280" s="15"/>
      <c r="N1280" s="15"/>
      <c r="O1280" s="15"/>
      <c r="P1280" s="15"/>
      <c r="Q1280" s="15"/>
      <c r="R1280" s="15"/>
      <c r="S1280" s="15"/>
      <c r="T1280" s="15"/>
      <c r="U1280" s="15"/>
      <c r="V1280" s="15"/>
    </row>
    <row r="1281" ht="22.5" customHeight="1">
      <c r="A1281" s="7"/>
      <c r="B1281" s="8"/>
      <c r="C1281" s="8"/>
      <c r="D1281" s="8"/>
      <c r="E1281" s="16"/>
      <c r="F1281" s="10"/>
      <c r="G1281" s="19"/>
      <c r="H1281" s="18"/>
      <c r="I1281" s="13"/>
      <c r="J1281" s="14"/>
      <c r="K1281" s="8"/>
      <c r="L1281" s="15"/>
      <c r="M1281" s="15"/>
      <c r="N1281" s="15"/>
      <c r="O1281" s="15"/>
      <c r="P1281" s="15"/>
      <c r="Q1281" s="15"/>
      <c r="R1281" s="15"/>
      <c r="S1281" s="15"/>
      <c r="T1281" s="15"/>
      <c r="U1281" s="15"/>
      <c r="V1281" s="15"/>
    </row>
    <row r="1282" ht="22.5" customHeight="1">
      <c r="A1282" s="7"/>
      <c r="B1282" s="8"/>
      <c r="C1282" s="8"/>
      <c r="D1282" s="8"/>
      <c r="E1282" s="16"/>
      <c r="F1282" s="10"/>
      <c r="G1282" s="19"/>
      <c r="H1282" s="18"/>
      <c r="I1282" s="13"/>
      <c r="J1282" s="14"/>
      <c r="K1282" s="8"/>
      <c r="L1282" s="15"/>
      <c r="M1282" s="15"/>
      <c r="N1282" s="15"/>
      <c r="O1282" s="15"/>
      <c r="P1282" s="15"/>
      <c r="Q1282" s="15"/>
      <c r="R1282" s="15"/>
      <c r="S1282" s="15"/>
      <c r="T1282" s="15"/>
      <c r="U1282" s="15"/>
      <c r="V1282" s="15"/>
    </row>
    <row r="1283" ht="22.5" customHeight="1">
      <c r="A1283" s="7"/>
      <c r="B1283" s="8"/>
      <c r="C1283" s="8"/>
      <c r="D1283" s="8"/>
      <c r="E1283" s="16"/>
      <c r="F1283" s="10"/>
      <c r="G1283" s="19"/>
      <c r="H1283" s="18"/>
      <c r="I1283" s="13"/>
      <c r="J1283" s="14"/>
      <c r="K1283" s="8"/>
      <c r="L1283" s="15"/>
      <c r="M1283" s="15"/>
      <c r="N1283" s="15"/>
      <c r="O1283" s="15"/>
      <c r="P1283" s="15"/>
      <c r="Q1283" s="15"/>
      <c r="R1283" s="15"/>
      <c r="S1283" s="15"/>
      <c r="T1283" s="15"/>
      <c r="U1283" s="15"/>
      <c r="V1283" s="15"/>
    </row>
    <row r="1284" ht="22.5" customHeight="1">
      <c r="A1284" s="7"/>
      <c r="B1284" s="8"/>
      <c r="C1284" s="8"/>
      <c r="D1284" s="8"/>
      <c r="E1284" s="16"/>
      <c r="F1284" s="10"/>
      <c r="G1284" s="19"/>
      <c r="H1284" s="18"/>
      <c r="I1284" s="13"/>
      <c r="J1284" s="14"/>
      <c r="K1284" s="8"/>
      <c r="L1284" s="15"/>
      <c r="M1284" s="15"/>
      <c r="N1284" s="15"/>
      <c r="O1284" s="15"/>
      <c r="P1284" s="15"/>
      <c r="Q1284" s="15"/>
      <c r="R1284" s="15"/>
      <c r="S1284" s="15"/>
      <c r="T1284" s="15"/>
      <c r="U1284" s="15"/>
      <c r="V1284" s="15"/>
    </row>
    <row r="1285" ht="22.5" customHeight="1">
      <c r="A1285" s="7"/>
      <c r="B1285" s="8"/>
      <c r="C1285" s="8"/>
      <c r="D1285" s="8"/>
      <c r="E1285" s="16"/>
      <c r="F1285" s="10"/>
      <c r="G1285" s="19"/>
      <c r="H1285" s="18"/>
      <c r="I1285" s="13"/>
      <c r="J1285" s="14"/>
      <c r="K1285" s="8"/>
      <c r="L1285" s="15"/>
      <c r="M1285" s="15"/>
      <c r="N1285" s="15"/>
      <c r="O1285" s="15"/>
      <c r="P1285" s="15"/>
      <c r="Q1285" s="15"/>
      <c r="R1285" s="15"/>
      <c r="S1285" s="15"/>
      <c r="T1285" s="15"/>
      <c r="U1285" s="15"/>
      <c r="V1285" s="15"/>
    </row>
    <row r="1286" ht="22.5" customHeight="1">
      <c r="A1286" s="7"/>
      <c r="B1286" s="8"/>
      <c r="C1286" s="8"/>
      <c r="D1286" s="8"/>
      <c r="E1286" s="16"/>
      <c r="F1286" s="10"/>
      <c r="G1286" s="19"/>
      <c r="H1286" s="18"/>
      <c r="I1286" s="13"/>
      <c r="J1286" s="14"/>
      <c r="K1286" s="8"/>
      <c r="L1286" s="15"/>
      <c r="M1286" s="15"/>
      <c r="N1286" s="15"/>
      <c r="O1286" s="15"/>
      <c r="P1286" s="15"/>
      <c r="Q1286" s="15"/>
      <c r="R1286" s="15"/>
      <c r="S1286" s="15"/>
      <c r="T1286" s="15"/>
      <c r="U1286" s="15"/>
      <c r="V1286" s="15"/>
    </row>
    <row r="1287" ht="22.5" customHeight="1">
      <c r="A1287" s="7"/>
      <c r="B1287" s="8"/>
      <c r="C1287" s="8"/>
      <c r="D1287" s="8"/>
      <c r="E1287" s="16"/>
      <c r="F1287" s="10"/>
      <c r="G1287" s="19"/>
      <c r="H1287" s="18"/>
      <c r="I1287" s="13"/>
      <c r="J1287" s="14"/>
      <c r="K1287" s="8"/>
      <c r="L1287" s="15"/>
      <c r="M1287" s="15"/>
      <c r="N1287" s="15"/>
      <c r="O1287" s="15"/>
      <c r="P1287" s="15"/>
      <c r="Q1287" s="15"/>
      <c r="R1287" s="15"/>
      <c r="S1287" s="15"/>
      <c r="T1287" s="15"/>
      <c r="U1287" s="15"/>
      <c r="V1287" s="15"/>
    </row>
    <row r="1288" ht="22.5" customHeight="1">
      <c r="A1288" s="7"/>
      <c r="B1288" s="8"/>
      <c r="C1288" s="8"/>
      <c r="D1288" s="8"/>
      <c r="E1288" s="16"/>
      <c r="F1288" s="10"/>
      <c r="G1288" s="19"/>
      <c r="H1288" s="18"/>
      <c r="I1288" s="13"/>
      <c r="J1288" s="14"/>
      <c r="K1288" s="8"/>
      <c r="L1288" s="15"/>
      <c r="M1288" s="15"/>
      <c r="N1288" s="15"/>
      <c r="O1288" s="15"/>
      <c r="P1288" s="15"/>
      <c r="Q1288" s="15"/>
      <c r="R1288" s="15"/>
      <c r="S1288" s="15"/>
      <c r="T1288" s="15"/>
      <c r="U1288" s="15"/>
      <c r="V1288" s="15"/>
    </row>
    <row r="1289" ht="22.5" customHeight="1">
      <c r="A1289" s="7"/>
      <c r="B1289" s="8"/>
      <c r="C1289" s="8"/>
      <c r="D1289" s="8"/>
      <c r="E1289" s="16"/>
      <c r="F1289" s="10"/>
      <c r="G1289" s="19"/>
      <c r="H1289" s="18"/>
      <c r="I1289" s="13"/>
      <c r="J1289" s="14"/>
      <c r="K1289" s="8"/>
      <c r="L1289" s="15"/>
      <c r="M1289" s="15"/>
      <c r="N1289" s="15"/>
      <c r="O1289" s="15"/>
      <c r="P1289" s="15"/>
      <c r="Q1289" s="15"/>
      <c r="R1289" s="15"/>
      <c r="S1289" s="15"/>
      <c r="T1289" s="15"/>
      <c r="U1289" s="15"/>
      <c r="V1289" s="15"/>
    </row>
    <row r="1290" ht="22.5" customHeight="1">
      <c r="A1290" s="7"/>
      <c r="B1290" s="8"/>
      <c r="C1290" s="8"/>
      <c r="D1290" s="8"/>
      <c r="E1290" s="16"/>
      <c r="F1290" s="10"/>
      <c r="G1290" s="19"/>
      <c r="H1290" s="18"/>
      <c r="I1290" s="13"/>
      <c r="J1290" s="14"/>
      <c r="K1290" s="8"/>
      <c r="L1290" s="15"/>
      <c r="M1290" s="15"/>
      <c r="N1290" s="15"/>
      <c r="O1290" s="15"/>
      <c r="P1290" s="15"/>
      <c r="Q1290" s="15"/>
      <c r="R1290" s="15"/>
      <c r="S1290" s="15"/>
      <c r="T1290" s="15"/>
      <c r="U1290" s="15"/>
      <c r="V1290" s="15"/>
    </row>
    <row r="1291" ht="22.5" customHeight="1">
      <c r="A1291" s="7"/>
      <c r="B1291" s="8"/>
      <c r="C1291" s="8"/>
      <c r="D1291" s="8"/>
      <c r="E1291" s="16"/>
      <c r="F1291" s="10"/>
      <c r="G1291" s="19"/>
      <c r="H1291" s="18"/>
      <c r="I1291" s="13"/>
      <c r="J1291" s="14"/>
      <c r="K1291" s="8"/>
      <c r="L1291" s="15"/>
      <c r="M1291" s="15"/>
      <c r="N1291" s="15"/>
      <c r="O1291" s="15"/>
      <c r="P1291" s="15"/>
      <c r="Q1291" s="15"/>
      <c r="R1291" s="15"/>
      <c r="S1291" s="15"/>
      <c r="T1291" s="15"/>
      <c r="U1291" s="15"/>
      <c r="V1291" s="15"/>
    </row>
    <row r="1292" ht="22.5" customHeight="1">
      <c r="A1292" s="7"/>
      <c r="B1292" s="8"/>
      <c r="C1292" s="8"/>
      <c r="D1292" s="8"/>
      <c r="E1292" s="16"/>
      <c r="F1292" s="10"/>
      <c r="G1292" s="19"/>
      <c r="H1292" s="18"/>
      <c r="I1292" s="13"/>
      <c r="J1292" s="14"/>
      <c r="K1292" s="8"/>
      <c r="L1292" s="15"/>
      <c r="M1292" s="15"/>
      <c r="N1292" s="15"/>
      <c r="O1292" s="15"/>
      <c r="P1292" s="15"/>
      <c r="Q1292" s="15"/>
      <c r="R1292" s="15"/>
      <c r="S1292" s="15"/>
      <c r="T1292" s="15"/>
      <c r="U1292" s="15"/>
      <c r="V1292" s="15"/>
    </row>
    <row r="1293" ht="22.5" customHeight="1">
      <c r="A1293" s="7"/>
      <c r="B1293" s="8"/>
      <c r="C1293" s="8"/>
      <c r="D1293" s="8"/>
      <c r="E1293" s="16"/>
      <c r="F1293" s="10"/>
      <c r="G1293" s="19"/>
      <c r="H1293" s="18"/>
      <c r="I1293" s="13"/>
      <c r="J1293" s="14"/>
      <c r="K1293" s="8"/>
      <c r="L1293" s="15"/>
      <c r="M1293" s="15"/>
      <c r="N1293" s="15"/>
      <c r="O1293" s="15"/>
      <c r="P1293" s="15"/>
      <c r="Q1293" s="15"/>
      <c r="R1293" s="15"/>
      <c r="S1293" s="15"/>
      <c r="T1293" s="15"/>
      <c r="U1293" s="15"/>
      <c r="V1293" s="15"/>
    </row>
    <row r="1294" ht="22.5" customHeight="1">
      <c r="A1294" s="7"/>
      <c r="B1294" s="8"/>
      <c r="C1294" s="8"/>
      <c r="D1294" s="8"/>
      <c r="E1294" s="16"/>
      <c r="F1294" s="10"/>
      <c r="G1294" s="19"/>
      <c r="H1294" s="18"/>
      <c r="I1294" s="13"/>
      <c r="J1294" s="14"/>
      <c r="K1294" s="8"/>
      <c r="L1294" s="15"/>
      <c r="M1294" s="15"/>
      <c r="N1294" s="15"/>
      <c r="O1294" s="15"/>
      <c r="P1294" s="15"/>
      <c r="Q1294" s="15"/>
      <c r="R1294" s="15"/>
      <c r="S1294" s="15"/>
      <c r="T1294" s="15"/>
      <c r="U1294" s="15"/>
      <c r="V1294" s="15"/>
    </row>
    <row r="1295" ht="22.5" customHeight="1">
      <c r="A1295" s="7"/>
      <c r="B1295" s="8"/>
      <c r="C1295" s="8"/>
      <c r="D1295" s="8"/>
      <c r="E1295" s="16"/>
      <c r="F1295" s="10"/>
      <c r="G1295" s="19"/>
      <c r="H1295" s="18"/>
      <c r="I1295" s="13"/>
      <c r="J1295" s="14"/>
      <c r="K1295" s="8"/>
      <c r="L1295" s="15"/>
      <c r="M1295" s="15"/>
      <c r="N1295" s="15"/>
      <c r="O1295" s="15"/>
      <c r="P1295" s="15"/>
      <c r="Q1295" s="15"/>
      <c r="R1295" s="15"/>
      <c r="S1295" s="15"/>
      <c r="T1295" s="15"/>
      <c r="U1295" s="15"/>
      <c r="V1295" s="15"/>
    </row>
    <row r="1296" ht="22.5" customHeight="1">
      <c r="A1296" s="7"/>
      <c r="B1296" s="8"/>
      <c r="C1296" s="8"/>
      <c r="D1296" s="8"/>
      <c r="E1296" s="16"/>
      <c r="F1296" s="10"/>
      <c r="G1296" s="19"/>
      <c r="H1296" s="18"/>
      <c r="I1296" s="13"/>
      <c r="J1296" s="14"/>
      <c r="K1296" s="8"/>
      <c r="L1296" s="15"/>
      <c r="M1296" s="15"/>
      <c r="N1296" s="15"/>
      <c r="O1296" s="15"/>
      <c r="P1296" s="15"/>
      <c r="Q1296" s="15"/>
      <c r="R1296" s="15"/>
      <c r="S1296" s="15"/>
      <c r="T1296" s="15"/>
      <c r="U1296" s="15"/>
      <c r="V1296" s="15"/>
    </row>
    <row r="1297" ht="22.5" customHeight="1">
      <c r="A1297" s="7"/>
      <c r="B1297" s="8"/>
      <c r="C1297" s="8"/>
      <c r="D1297" s="8"/>
      <c r="E1297" s="16"/>
      <c r="F1297" s="10"/>
      <c r="G1297" s="19"/>
      <c r="H1297" s="18"/>
      <c r="I1297" s="13"/>
      <c r="J1297" s="14"/>
      <c r="K1297" s="8"/>
      <c r="L1297" s="15"/>
      <c r="M1297" s="15"/>
      <c r="N1297" s="15"/>
      <c r="O1297" s="15"/>
      <c r="P1297" s="15"/>
      <c r="Q1297" s="15"/>
      <c r="R1297" s="15"/>
      <c r="S1297" s="15"/>
      <c r="T1297" s="15"/>
      <c r="U1297" s="15"/>
      <c r="V1297" s="15"/>
    </row>
    <row r="1298" ht="22.5" customHeight="1">
      <c r="A1298" s="7"/>
      <c r="B1298" s="8"/>
      <c r="C1298" s="8"/>
      <c r="D1298" s="8"/>
      <c r="E1298" s="16"/>
      <c r="F1298" s="10"/>
      <c r="G1298" s="19"/>
      <c r="H1298" s="18"/>
      <c r="I1298" s="13"/>
      <c r="J1298" s="14"/>
      <c r="K1298" s="8"/>
      <c r="L1298" s="15"/>
      <c r="M1298" s="15"/>
      <c r="N1298" s="15"/>
      <c r="O1298" s="15"/>
      <c r="P1298" s="15"/>
      <c r="Q1298" s="15"/>
      <c r="R1298" s="15"/>
      <c r="S1298" s="15"/>
      <c r="T1298" s="15"/>
      <c r="U1298" s="15"/>
      <c r="V1298" s="15"/>
    </row>
    <row r="1299" ht="22.5" customHeight="1">
      <c r="A1299" s="7"/>
      <c r="B1299" s="8"/>
      <c r="C1299" s="8"/>
      <c r="D1299" s="8"/>
      <c r="E1299" s="16"/>
      <c r="F1299" s="10"/>
      <c r="G1299" s="19"/>
      <c r="H1299" s="18"/>
      <c r="I1299" s="13"/>
      <c r="J1299" s="14"/>
      <c r="K1299" s="8"/>
      <c r="L1299" s="15"/>
      <c r="M1299" s="15"/>
      <c r="N1299" s="15"/>
      <c r="O1299" s="15"/>
      <c r="P1299" s="15"/>
      <c r="Q1299" s="15"/>
      <c r="R1299" s="15"/>
      <c r="S1299" s="15"/>
      <c r="T1299" s="15"/>
      <c r="U1299" s="15"/>
      <c r="V1299" s="15"/>
    </row>
    <row r="1300" ht="22.5" customHeight="1">
      <c r="A1300" s="7"/>
      <c r="B1300" s="8"/>
      <c r="C1300" s="8"/>
      <c r="D1300" s="8"/>
      <c r="E1300" s="16"/>
      <c r="F1300" s="10"/>
      <c r="G1300" s="19"/>
      <c r="H1300" s="18"/>
      <c r="I1300" s="13"/>
      <c r="J1300" s="14"/>
      <c r="K1300" s="8"/>
      <c r="L1300" s="15"/>
      <c r="M1300" s="15"/>
      <c r="N1300" s="15"/>
      <c r="O1300" s="15"/>
      <c r="P1300" s="15"/>
      <c r="Q1300" s="15"/>
      <c r="R1300" s="15"/>
      <c r="S1300" s="15"/>
      <c r="T1300" s="15"/>
      <c r="U1300" s="15"/>
      <c r="V1300" s="15"/>
    </row>
    <row r="1301" ht="22.5" customHeight="1">
      <c r="A1301" s="7"/>
      <c r="B1301" s="8"/>
      <c r="C1301" s="8"/>
      <c r="D1301" s="8"/>
      <c r="E1301" s="16"/>
      <c r="F1301" s="10"/>
      <c r="G1301" s="19"/>
      <c r="H1301" s="18"/>
      <c r="I1301" s="13"/>
      <c r="J1301" s="14"/>
      <c r="K1301" s="8"/>
      <c r="L1301" s="15"/>
      <c r="M1301" s="15"/>
      <c r="N1301" s="15"/>
      <c r="O1301" s="15"/>
      <c r="P1301" s="15"/>
      <c r="Q1301" s="15"/>
      <c r="R1301" s="15"/>
      <c r="S1301" s="15"/>
      <c r="T1301" s="15"/>
      <c r="U1301" s="15"/>
      <c r="V1301" s="15"/>
    </row>
    <row r="1302" ht="22.5" customHeight="1">
      <c r="A1302" s="7"/>
      <c r="B1302" s="8"/>
      <c r="C1302" s="8"/>
      <c r="D1302" s="8"/>
      <c r="E1302" s="16"/>
      <c r="F1302" s="10"/>
      <c r="G1302" s="19"/>
      <c r="H1302" s="18"/>
      <c r="I1302" s="13"/>
      <c r="J1302" s="14"/>
      <c r="K1302" s="8"/>
      <c r="L1302" s="15"/>
      <c r="M1302" s="15"/>
      <c r="N1302" s="15"/>
      <c r="O1302" s="15"/>
      <c r="P1302" s="15"/>
      <c r="Q1302" s="15"/>
      <c r="R1302" s="15"/>
      <c r="S1302" s="15"/>
      <c r="T1302" s="15"/>
      <c r="U1302" s="15"/>
      <c r="V1302" s="15"/>
    </row>
    <row r="1303" ht="22.5" customHeight="1">
      <c r="A1303" s="7"/>
      <c r="B1303" s="8"/>
      <c r="C1303" s="8"/>
      <c r="D1303" s="8"/>
      <c r="E1303" s="16"/>
      <c r="F1303" s="10"/>
      <c r="G1303" s="19"/>
      <c r="H1303" s="18"/>
      <c r="I1303" s="13"/>
      <c r="J1303" s="14"/>
      <c r="K1303" s="8"/>
      <c r="L1303" s="15"/>
      <c r="M1303" s="15"/>
      <c r="N1303" s="15"/>
      <c r="O1303" s="15"/>
      <c r="P1303" s="15"/>
      <c r="Q1303" s="15"/>
      <c r="R1303" s="15"/>
      <c r="S1303" s="15"/>
      <c r="T1303" s="15"/>
      <c r="U1303" s="15"/>
      <c r="V1303" s="15"/>
    </row>
    <row r="1304" ht="22.5" customHeight="1">
      <c r="A1304" s="7"/>
      <c r="B1304" s="8"/>
      <c r="C1304" s="8"/>
      <c r="D1304" s="8"/>
      <c r="E1304" s="16"/>
      <c r="F1304" s="10"/>
      <c r="G1304" s="19"/>
      <c r="H1304" s="18"/>
      <c r="I1304" s="13"/>
      <c r="J1304" s="14"/>
      <c r="K1304" s="8"/>
      <c r="L1304" s="15"/>
      <c r="M1304" s="15"/>
      <c r="N1304" s="15"/>
      <c r="O1304" s="15"/>
      <c r="P1304" s="15"/>
      <c r="Q1304" s="15"/>
      <c r="R1304" s="15"/>
      <c r="S1304" s="15"/>
      <c r="T1304" s="15"/>
      <c r="U1304" s="15"/>
      <c r="V1304" s="15"/>
    </row>
    <row r="1305" ht="22.5" customHeight="1">
      <c r="A1305" s="7"/>
      <c r="B1305" s="8"/>
      <c r="C1305" s="8"/>
      <c r="D1305" s="8"/>
      <c r="E1305" s="16"/>
      <c r="F1305" s="10"/>
      <c r="G1305" s="19"/>
      <c r="H1305" s="18"/>
      <c r="I1305" s="13"/>
      <c r="J1305" s="14"/>
      <c r="K1305" s="8"/>
      <c r="L1305" s="15"/>
      <c r="M1305" s="15"/>
      <c r="N1305" s="15"/>
      <c r="O1305" s="15"/>
      <c r="P1305" s="15"/>
      <c r="Q1305" s="15"/>
      <c r="R1305" s="15"/>
      <c r="S1305" s="15"/>
      <c r="T1305" s="15"/>
      <c r="U1305" s="15"/>
      <c r="V1305" s="15"/>
    </row>
    <row r="1306" ht="22.5" customHeight="1">
      <c r="A1306" s="7"/>
      <c r="B1306" s="8"/>
      <c r="C1306" s="8"/>
      <c r="D1306" s="8"/>
      <c r="E1306" s="16"/>
      <c r="F1306" s="10"/>
      <c r="G1306" s="19"/>
      <c r="H1306" s="18"/>
      <c r="I1306" s="13"/>
      <c r="J1306" s="14"/>
      <c r="K1306" s="8"/>
      <c r="L1306" s="15"/>
      <c r="M1306" s="15"/>
      <c r="N1306" s="15"/>
      <c r="O1306" s="15"/>
      <c r="P1306" s="15"/>
      <c r="Q1306" s="15"/>
      <c r="R1306" s="15"/>
      <c r="S1306" s="15"/>
      <c r="T1306" s="15"/>
      <c r="U1306" s="15"/>
      <c r="V1306" s="15"/>
    </row>
    <row r="1307" ht="22.5" customHeight="1">
      <c r="A1307" s="7"/>
      <c r="B1307" s="8"/>
      <c r="C1307" s="8"/>
      <c r="D1307" s="8"/>
      <c r="E1307" s="16"/>
      <c r="F1307" s="10"/>
      <c r="G1307" s="19"/>
      <c r="H1307" s="18"/>
      <c r="I1307" s="13"/>
      <c r="J1307" s="14"/>
      <c r="K1307" s="8"/>
      <c r="L1307" s="15"/>
      <c r="M1307" s="15"/>
      <c r="N1307" s="15"/>
      <c r="O1307" s="15"/>
      <c r="P1307" s="15"/>
      <c r="Q1307" s="15"/>
      <c r="R1307" s="15"/>
      <c r="S1307" s="15"/>
      <c r="T1307" s="15"/>
      <c r="U1307" s="15"/>
      <c r="V1307" s="15"/>
    </row>
    <row r="1308" ht="22.5" customHeight="1">
      <c r="A1308" s="7"/>
      <c r="B1308" s="8"/>
      <c r="C1308" s="8"/>
      <c r="D1308" s="8"/>
      <c r="E1308" s="16"/>
      <c r="F1308" s="10"/>
      <c r="G1308" s="19"/>
      <c r="H1308" s="18"/>
      <c r="I1308" s="13"/>
      <c r="J1308" s="14"/>
      <c r="K1308" s="8"/>
      <c r="L1308" s="15"/>
      <c r="M1308" s="15"/>
      <c r="N1308" s="15"/>
      <c r="O1308" s="15"/>
      <c r="P1308" s="15"/>
      <c r="Q1308" s="15"/>
      <c r="R1308" s="15"/>
      <c r="S1308" s="15"/>
      <c r="T1308" s="15"/>
      <c r="U1308" s="15"/>
      <c r="V1308" s="15"/>
    </row>
    <row r="1309" ht="22.5" customHeight="1">
      <c r="A1309" s="7"/>
      <c r="B1309" s="8"/>
      <c r="C1309" s="8"/>
      <c r="D1309" s="8"/>
      <c r="E1309" s="16"/>
      <c r="F1309" s="10"/>
      <c r="G1309" s="19"/>
      <c r="H1309" s="18"/>
      <c r="I1309" s="13"/>
      <c r="J1309" s="14"/>
      <c r="K1309" s="8"/>
      <c r="L1309" s="15"/>
      <c r="M1309" s="15"/>
      <c r="N1309" s="15"/>
      <c r="O1309" s="15"/>
      <c r="P1309" s="15"/>
      <c r="Q1309" s="15"/>
      <c r="R1309" s="15"/>
      <c r="S1309" s="15"/>
      <c r="T1309" s="15"/>
      <c r="U1309" s="15"/>
      <c r="V1309" s="15"/>
    </row>
    <row r="1310" ht="22.5" customHeight="1">
      <c r="A1310" s="7"/>
      <c r="B1310" s="8"/>
      <c r="C1310" s="8"/>
      <c r="D1310" s="8"/>
      <c r="E1310" s="16"/>
      <c r="F1310" s="10"/>
      <c r="G1310" s="19"/>
      <c r="H1310" s="18"/>
      <c r="I1310" s="13"/>
      <c r="J1310" s="14"/>
      <c r="K1310" s="8"/>
      <c r="L1310" s="15"/>
      <c r="M1310" s="15"/>
      <c r="N1310" s="15"/>
      <c r="O1310" s="15"/>
      <c r="P1310" s="15"/>
      <c r="Q1310" s="15"/>
      <c r="R1310" s="15"/>
      <c r="S1310" s="15"/>
      <c r="T1310" s="15"/>
      <c r="U1310" s="15"/>
      <c r="V1310" s="15"/>
    </row>
    <row r="1311" ht="22.5" customHeight="1">
      <c r="A1311" s="7"/>
      <c r="B1311" s="8"/>
      <c r="C1311" s="8"/>
      <c r="D1311" s="8"/>
      <c r="E1311" s="16"/>
      <c r="F1311" s="10"/>
      <c r="G1311" s="19"/>
      <c r="H1311" s="18"/>
      <c r="I1311" s="13"/>
      <c r="J1311" s="14"/>
      <c r="K1311" s="8"/>
      <c r="L1311" s="15"/>
      <c r="M1311" s="15"/>
      <c r="N1311" s="15"/>
      <c r="O1311" s="15"/>
      <c r="P1311" s="15"/>
      <c r="Q1311" s="15"/>
      <c r="R1311" s="15"/>
      <c r="S1311" s="15"/>
      <c r="T1311" s="15"/>
      <c r="U1311" s="15"/>
      <c r="V1311" s="15"/>
    </row>
    <row r="1312" ht="22.5" customHeight="1">
      <c r="A1312" s="7"/>
      <c r="B1312" s="8"/>
      <c r="C1312" s="8"/>
      <c r="D1312" s="8"/>
      <c r="E1312" s="16"/>
      <c r="F1312" s="10"/>
      <c r="G1312" s="19"/>
      <c r="H1312" s="18"/>
      <c r="I1312" s="13"/>
      <c r="J1312" s="14"/>
      <c r="K1312" s="8"/>
      <c r="L1312" s="15"/>
      <c r="M1312" s="15"/>
      <c r="N1312" s="15"/>
      <c r="O1312" s="15"/>
      <c r="P1312" s="15"/>
      <c r="Q1312" s="15"/>
      <c r="R1312" s="15"/>
      <c r="S1312" s="15"/>
      <c r="T1312" s="15"/>
      <c r="U1312" s="15"/>
      <c r="V1312" s="15"/>
    </row>
    <row r="1313" ht="22.5" customHeight="1">
      <c r="A1313" s="7"/>
      <c r="B1313" s="8"/>
      <c r="C1313" s="8"/>
      <c r="D1313" s="8"/>
      <c r="E1313" s="16"/>
      <c r="F1313" s="10"/>
      <c r="G1313" s="19"/>
      <c r="H1313" s="18"/>
      <c r="I1313" s="13"/>
      <c r="J1313" s="14"/>
      <c r="K1313" s="8"/>
      <c r="L1313" s="15"/>
      <c r="M1313" s="15"/>
      <c r="N1313" s="15"/>
      <c r="O1313" s="15"/>
      <c r="P1313" s="15"/>
      <c r="Q1313" s="15"/>
      <c r="R1313" s="15"/>
      <c r="S1313" s="15"/>
      <c r="T1313" s="15"/>
      <c r="U1313" s="15"/>
      <c r="V1313" s="15"/>
    </row>
    <row r="1314" ht="22.5" customHeight="1">
      <c r="A1314" s="7"/>
      <c r="B1314" s="8"/>
      <c r="C1314" s="8"/>
      <c r="D1314" s="8"/>
      <c r="E1314" s="16"/>
      <c r="F1314" s="10"/>
      <c r="G1314" s="19"/>
      <c r="H1314" s="18"/>
      <c r="I1314" s="13"/>
      <c r="J1314" s="14"/>
      <c r="K1314" s="8"/>
      <c r="L1314" s="15"/>
      <c r="M1314" s="15"/>
      <c r="N1314" s="15"/>
      <c r="O1314" s="15"/>
      <c r="P1314" s="15"/>
      <c r="Q1314" s="15"/>
      <c r="R1314" s="15"/>
      <c r="S1314" s="15"/>
      <c r="T1314" s="15"/>
      <c r="U1314" s="15"/>
      <c r="V1314" s="15"/>
    </row>
    <row r="1315" ht="22.5" customHeight="1">
      <c r="A1315" s="7"/>
      <c r="B1315" s="8"/>
      <c r="C1315" s="8"/>
      <c r="D1315" s="8"/>
      <c r="E1315" s="16"/>
      <c r="F1315" s="10"/>
      <c r="G1315" s="19"/>
      <c r="H1315" s="18"/>
      <c r="I1315" s="13"/>
      <c r="J1315" s="14"/>
      <c r="K1315" s="8"/>
      <c r="L1315" s="15"/>
      <c r="M1315" s="15"/>
      <c r="N1315" s="15"/>
      <c r="O1315" s="15"/>
      <c r="P1315" s="15"/>
      <c r="Q1315" s="15"/>
      <c r="R1315" s="15"/>
      <c r="S1315" s="15"/>
      <c r="T1315" s="15"/>
      <c r="U1315" s="15"/>
      <c r="V1315" s="15"/>
    </row>
    <row r="1316" ht="22.5" customHeight="1">
      <c r="A1316" s="7"/>
      <c r="B1316" s="8"/>
      <c r="C1316" s="8"/>
      <c r="D1316" s="8"/>
      <c r="E1316" s="16"/>
      <c r="F1316" s="10"/>
      <c r="G1316" s="19"/>
      <c r="H1316" s="18"/>
      <c r="I1316" s="13"/>
      <c r="J1316" s="14"/>
      <c r="K1316" s="8"/>
      <c r="L1316" s="15"/>
      <c r="M1316" s="15"/>
      <c r="N1316" s="15"/>
      <c r="O1316" s="15"/>
      <c r="P1316" s="15"/>
      <c r="Q1316" s="15"/>
      <c r="R1316" s="15"/>
      <c r="S1316" s="15"/>
      <c r="T1316" s="15"/>
      <c r="U1316" s="15"/>
      <c r="V1316" s="15"/>
    </row>
    <row r="1317" ht="22.5" customHeight="1">
      <c r="A1317" s="7"/>
      <c r="B1317" s="8"/>
      <c r="C1317" s="8"/>
      <c r="D1317" s="8"/>
      <c r="E1317" s="16"/>
      <c r="F1317" s="10"/>
      <c r="G1317" s="19"/>
      <c r="H1317" s="18"/>
      <c r="I1317" s="13"/>
      <c r="J1317" s="14"/>
      <c r="K1317" s="8"/>
      <c r="L1317" s="15"/>
      <c r="M1317" s="15"/>
      <c r="N1317" s="15"/>
      <c r="O1317" s="15"/>
      <c r="P1317" s="15"/>
      <c r="Q1317" s="15"/>
      <c r="R1317" s="15"/>
      <c r="S1317" s="15"/>
      <c r="T1317" s="15"/>
      <c r="U1317" s="15"/>
      <c r="V1317" s="15"/>
    </row>
    <row r="1318" ht="22.5" customHeight="1">
      <c r="A1318" s="7"/>
      <c r="B1318" s="8"/>
      <c r="C1318" s="8"/>
      <c r="D1318" s="8"/>
      <c r="E1318" s="16"/>
      <c r="F1318" s="10"/>
      <c r="G1318" s="19"/>
      <c r="H1318" s="18"/>
      <c r="I1318" s="13"/>
      <c r="J1318" s="14"/>
      <c r="K1318" s="8"/>
      <c r="L1318" s="15"/>
      <c r="M1318" s="15"/>
      <c r="N1318" s="15"/>
      <c r="O1318" s="15"/>
      <c r="P1318" s="15"/>
      <c r="Q1318" s="15"/>
      <c r="R1318" s="15"/>
      <c r="S1318" s="15"/>
      <c r="T1318" s="15"/>
      <c r="U1318" s="15"/>
      <c r="V1318" s="15"/>
    </row>
    <row r="1319" ht="22.5" customHeight="1">
      <c r="A1319" s="7"/>
      <c r="B1319" s="8"/>
      <c r="C1319" s="8"/>
      <c r="D1319" s="8"/>
      <c r="E1319" s="16"/>
      <c r="F1319" s="10"/>
      <c r="G1319" s="19"/>
      <c r="H1319" s="18"/>
      <c r="I1319" s="13"/>
      <c r="J1319" s="14"/>
      <c r="K1319" s="8"/>
      <c r="L1319" s="15"/>
      <c r="M1319" s="15"/>
      <c r="N1319" s="15"/>
      <c r="O1319" s="15"/>
      <c r="P1319" s="15"/>
      <c r="Q1319" s="15"/>
      <c r="R1319" s="15"/>
      <c r="S1319" s="15"/>
      <c r="T1319" s="15"/>
      <c r="U1319" s="15"/>
      <c r="V1319" s="15"/>
    </row>
    <row r="1320" ht="22.5" customHeight="1">
      <c r="A1320" s="7"/>
      <c r="B1320" s="8"/>
      <c r="C1320" s="8"/>
      <c r="D1320" s="8"/>
      <c r="E1320" s="16"/>
      <c r="F1320" s="10"/>
      <c r="G1320" s="19"/>
      <c r="H1320" s="18"/>
      <c r="I1320" s="13"/>
      <c r="J1320" s="14"/>
      <c r="K1320" s="8"/>
      <c r="L1320" s="15"/>
      <c r="M1320" s="15"/>
      <c r="N1320" s="15"/>
      <c r="O1320" s="15"/>
      <c r="P1320" s="15"/>
      <c r="Q1320" s="15"/>
      <c r="R1320" s="15"/>
      <c r="S1320" s="15"/>
      <c r="T1320" s="15"/>
      <c r="U1320" s="15"/>
      <c r="V1320" s="15"/>
    </row>
    <row r="1321" ht="22.5" customHeight="1">
      <c r="A1321" s="7"/>
      <c r="B1321" s="8"/>
      <c r="C1321" s="8"/>
      <c r="D1321" s="8"/>
      <c r="E1321" s="16"/>
      <c r="F1321" s="10"/>
      <c r="G1321" s="19"/>
      <c r="H1321" s="18"/>
      <c r="I1321" s="13"/>
      <c r="J1321" s="14"/>
      <c r="K1321" s="8"/>
      <c r="L1321" s="15"/>
      <c r="M1321" s="15"/>
      <c r="N1321" s="15"/>
      <c r="O1321" s="15"/>
      <c r="P1321" s="15"/>
      <c r="Q1321" s="15"/>
      <c r="R1321" s="15"/>
      <c r="S1321" s="15"/>
      <c r="T1321" s="15"/>
      <c r="U1321" s="15"/>
      <c r="V1321" s="15"/>
    </row>
    <row r="1322" ht="22.5" customHeight="1">
      <c r="A1322" s="7"/>
      <c r="B1322" s="8"/>
      <c r="C1322" s="8"/>
      <c r="D1322" s="8"/>
      <c r="E1322" s="16"/>
      <c r="F1322" s="10"/>
      <c r="G1322" s="19"/>
      <c r="H1322" s="18"/>
      <c r="I1322" s="13"/>
      <c r="J1322" s="14"/>
      <c r="K1322" s="8"/>
      <c r="L1322" s="15"/>
      <c r="M1322" s="15"/>
      <c r="N1322" s="15"/>
      <c r="O1322" s="15"/>
      <c r="P1322" s="15"/>
      <c r="Q1322" s="15"/>
      <c r="R1322" s="15"/>
      <c r="S1322" s="15"/>
      <c r="T1322" s="15"/>
      <c r="U1322" s="15"/>
      <c r="V1322" s="15"/>
    </row>
    <row r="1323" ht="22.5" customHeight="1">
      <c r="A1323" s="7"/>
      <c r="B1323" s="8"/>
      <c r="C1323" s="8"/>
      <c r="D1323" s="8"/>
      <c r="E1323" s="16"/>
      <c r="F1323" s="10"/>
      <c r="G1323" s="19"/>
      <c r="H1323" s="18"/>
      <c r="I1323" s="13"/>
      <c r="J1323" s="14"/>
      <c r="K1323" s="8"/>
      <c r="L1323" s="15"/>
      <c r="M1323" s="15"/>
      <c r="N1323" s="15"/>
      <c r="O1323" s="15"/>
      <c r="P1323" s="15"/>
      <c r="Q1323" s="15"/>
      <c r="R1323" s="15"/>
      <c r="S1323" s="15"/>
      <c r="T1323" s="15"/>
      <c r="U1323" s="15"/>
      <c r="V1323" s="15"/>
    </row>
    <row r="1324" ht="22.5" customHeight="1">
      <c r="A1324" s="7"/>
      <c r="B1324" s="8"/>
      <c r="C1324" s="8"/>
      <c r="D1324" s="8"/>
      <c r="E1324" s="16"/>
      <c r="F1324" s="10"/>
      <c r="G1324" s="19"/>
      <c r="H1324" s="18"/>
      <c r="I1324" s="13"/>
      <c r="J1324" s="14"/>
      <c r="K1324" s="8"/>
      <c r="L1324" s="15"/>
      <c r="M1324" s="15"/>
      <c r="N1324" s="15"/>
      <c r="O1324" s="15"/>
      <c r="P1324" s="15"/>
      <c r="Q1324" s="15"/>
      <c r="R1324" s="15"/>
      <c r="S1324" s="15"/>
      <c r="T1324" s="15"/>
      <c r="U1324" s="15"/>
      <c r="V1324" s="15"/>
    </row>
    <row r="1325" ht="22.5" customHeight="1">
      <c r="A1325" s="7"/>
      <c r="B1325" s="8"/>
      <c r="C1325" s="8"/>
      <c r="D1325" s="8"/>
      <c r="E1325" s="16"/>
      <c r="F1325" s="10"/>
      <c r="G1325" s="19"/>
      <c r="H1325" s="18"/>
      <c r="I1325" s="13"/>
      <c r="J1325" s="14"/>
      <c r="K1325" s="8"/>
      <c r="L1325" s="15"/>
      <c r="M1325" s="15"/>
      <c r="N1325" s="15"/>
      <c r="O1325" s="15"/>
      <c r="P1325" s="15"/>
      <c r="Q1325" s="15"/>
      <c r="R1325" s="15"/>
      <c r="S1325" s="15"/>
      <c r="T1325" s="15"/>
      <c r="U1325" s="15"/>
      <c r="V1325" s="15"/>
    </row>
    <row r="1326" ht="22.5" customHeight="1">
      <c r="A1326" s="7"/>
      <c r="B1326" s="8"/>
      <c r="C1326" s="8"/>
      <c r="D1326" s="8"/>
      <c r="E1326" s="16"/>
      <c r="F1326" s="10"/>
      <c r="G1326" s="19"/>
      <c r="H1326" s="18"/>
      <c r="I1326" s="13"/>
      <c r="J1326" s="14"/>
      <c r="K1326" s="8"/>
      <c r="L1326" s="15"/>
      <c r="M1326" s="15"/>
      <c r="N1326" s="15"/>
      <c r="O1326" s="15"/>
      <c r="P1326" s="15"/>
      <c r="Q1326" s="15"/>
      <c r="R1326" s="15"/>
      <c r="S1326" s="15"/>
      <c r="T1326" s="15"/>
      <c r="U1326" s="15"/>
      <c r="V1326" s="15"/>
    </row>
    <row r="1327" ht="22.5" customHeight="1">
      <c r="A1327" s="7"/>
      <c r="B1327" s="8"/>
      <c r="C1327" s="8"/>
      <c r="D1327" s="8"/>
      <c r="E1327" s="16"/>
      <c r="F1327" s="10"/>
      <c r="G1327" s="19"/>
      <c r="H1327" s="18"/>
      <c r="I1327" s="13"/>
      <c r="J1327" s="14"/>
      <c r="K1327" s="8"/>
      <c r="L1327" s="15"/>
      <c r="M1327" s="15"/>
      <c r="N1327" s="15"/>
      <c r="O1327" s="15"/>
      <c r="P1327" s="15"/>
      <c r="Q1327" s="15"/>
      <c r="R1327" s="15"/>
      <c r="S1327" s="15"/>
      <c r="T1327" s="15"/>
      <c r="U1327" s="15"/>
      <c r="V1327" s="15"/>
    </row>
    <row r="1328" ht="22.5" customHeight="1">
      <c r="A1328" s="7"/>
      <c r="B1328" s="8"/>
      <c r="C1328" s="8"/>
      <c r="D1328" s="8"/>
      <c r="E1328" s="16"/>
      <c r="F1328" s="10"/>
      <c r="G1328" s="19"/>
      <c r="H1328" s="18"/>
      <c r="I1328" s="13"/>
      <c r="J1328" s="14"/>
      <c r="K1328" s="8"/>
      <c r="L1328" s="15"/>
      <c r="M1328" s="15"/>
      <c r="N1328" s="15"/>
      <c r="O1328" s="15"/>
      <c r="P1328" s="15"/>
      <c r="Q1328" s="15"/>
      <c r="R1328" s="15"/>
      <c r="S1328" s="15"/>
      <c r="T1328" s="15"/>
      <c r="U1328" s="15"/>
      <c r="V1328" s="15"/>
    </row>
    <row r="1329" ht="22.5" customHeight="1">
      <c r="A1329" s="7"/>
      <c r="B1329" s="8"/>
      <c r="C1329" s="8"/>
      <c r="D1329" s="8"/>
      <c r="E1329" s="16"/>
      <c r="F1329" s="10"/>
      <c r="G1329" s="19"/>
      <c r="H1329" s="18"/>
      <c r="I1329" s="13"/>
      <c r="J1329" s="14"/>
      <c r="K1329" s="8"/>
      <c r="L1329" s="15"/>
      <c r="M1329" s="15"/>
      <c r="N1329" s="15"/>
      <c r="O1329" s="15"/>
      <c r="P1329" s="15"/>
      <c r="Q1329" s="15"/>
      <c r="R1329" s="15"/>
      <c r="S1329" s="15"/>
      <c r="T1329" s="15"/>
      <c r="U1329" s="15"/>
      <c r="V1329" s="15"/>
    </row>
    <row r="1330" ht="22.5" customHeight="1">
      <c r="A1330" s="7"/>
      <c r="B1330" s="8"/>
      <c r="C1330" s="8"/>
      <c r="D1330" s="8"/>
      <c r="E1330" s="16"/>
      <c r="F1330" s="10"/>
      <c r="G1330" s="19"/>
      <c r="H1330" s="18"/>
      <c r="I1330" s="13"/>
      <c r="J1330" s="14"/>
      <c r="K1330" s="8"/>
      <c r="L1330" s="15"/>
      <c r="M1330" s="15"/>
      <c r="N1330" s="15"/>
      <c r="O1330" s="15"/>
      <c r="P1330" s="15"/>
      <c r="Q1330" s="15"/>
      <c r="R1330" s="15"/>
      <c r="S1330" s="15"/>
      <c r="T1330" s="15"/>
      <c r="U1330" s="15"/>
      <c r="V1330" s="15"/>
    </row>
    <row r="1331" ht="22.5" customHeight="1">
      <c r="A1331" s="7"/>
      <c r="B1331" s="8"/>
      <c r="C1331" s="8"/>
      <c r="D1331" s="8"/>
      <c r="E1331" s="16"/>
      <c r="F1331" s="10"/>
      <c r="G1331" s="19"/>
      <c r="H1331" s="18"/>
      <c r="I1331" s="13"/>
      <c r="J1331" s="14"/>
      <c r="K1331" s="8"/>
      <c r="L1331" s="15"/>
      <c r="M1331" s="15"/>
      <c r="N1331" s="15"/>
      <c r="O1331" s="15"/>
      <c r="P1331" s="15"/>
      <c r="Q1331" s="15"/>
      <c r="R1331" s="15"/>
      <c r="S1331" s="15"/>
      <c r="T1331" s="15"/>
      <c r="U1331" s="15"/>
      <c r="V1331" s="15"/>
    </row>
    <row r="1332" ht="22.5" customHeight="1">
      <c r="A1332" s="7"/>
      <c r="B1332" s="8"/>
      <c r="C1332" s="8"/>
      <c r="D1332" s="8"/>
      <c r="E1332" s="16"/>
      <c r="F1332" s="10"/>
      <c r="G1332" s="19"/>
      <c r="H1332" s="18"/>
      <c r="I1332" s="13"/>
      <c r="J1332" s="14"/>
      <c r="K1332" s="8"/>
      <c r="L1332" s="15"/>
      <c r="M1332" s="15"/>
      <c r="N1332" s="15"/>
      <c r="O1332" s="15"/>
      <c r="P1332" s="15"/>
      <c r="Q1332" s="15"/>
      <c r="R1332" s="15"/>
      <c r="S1332" s="15"/>
      <c r="T1332" s="15"/>
      <c r="U1332" s="15"/>
      <c r="V1332" s="15"/>
    </row>
    <row r="1333" ht="22.5" customHeight="1">
      <c r="A1333" s="7"/>
      <c r="B1333" s="8"/>
      <c r="C1333" s="8"/>
      <c r="D1333" s="8"/>
      <c r="E1333" s="16"/>
      <c r="F1333" s="10"/>
      <c r="G1333" s="19"/>
      <c r="H1333" s="18"/>
      <c r="I1333" s="13"/>
      <c r="J1333" s="14"/>
      <c r="K1333" s="8"/>
      <c r="L1333" s="15"/>
      <c r="M1333" s="15"/>
      <c r="N1333" s="15"/>
      <c r="O1333" s="15"/>
      <c r="P1333" s="15"/>
      <c r="Q1333" s="15"/>
      <c r="R1333" s="15"/>
      <c r="S1333" s="15"/>
      <c r="T1333" s="15"/>
      <c r="U1333" s="15"/>
      <c r="V1333" s="15"/>
    </row>
    <row r="1334" ht="22.5" customHeight="1">
      <c r="A1334" s="7"/>
      <c r="B1334" s="8"/>
      <c r="C1334" s="8"/>
      <c r="D1334" s="8"/>
      <c r="E1334" s="16"/>
      <c r="F1334" s="10"/>
      <c r="G1334" s="19"/>
      <c r="H1334" s="18"/>
      <c r="I1334" s="13"/>
      <c r="J1334" s="14"/>
      <c r="K1334" s="8"/>
      <c r="L1334" s="15"/>
      <c r="M1334" s="15"/>
      <c r="N1334" s="15"/>
      <c r="O1334" s="15"/>
      <c r="P1334" s="15"/>
      <c r="Q1334" s="15"/>
      <c r="R1334" s="15"/>
      <c r="S1334" s="15"/>
      <c r="T1334" s="15"/>
      <c r="U1334" s="15"/>
      <c r="V1334" s="15"/>
    </row>
    <row r="1335" ht="22.5" customHeight="1">
      <c r="A1335" s="7"/>
      <c r="B1335" s="8"/>
      <c r="C1335" s="8"/>
      <c r="D1335" s="8"/>
      <c r="E1335" s="16"/>
      <c r="F1335" s="10"/>
      <c r="G1335" s="19"/>
      <c r="H1335" s="18"/>
      <c r="I1335" s="13"/>
      <c r="J1335" s="14"/>
      <c r="K1335" s="8"/>
      <c r="L1335" s="15"/>
      <c r="M1335" s="15"/>
      <c r="N1335" s="15"/>
      <c r="O1335" s="15"/>
      <c r="P1335" s="15"/>
      <c r="Q1335" s="15"/>
      <c r="R1335" s="15"/>
      <c r="S1335" s="15"/>
      <c r="T1335" s="15"/>
      <c r="U1335" s="15"/>
      <c r="V1335" s="15"/>
    </row>
    <row r="1336" ht="22.5" customHeight="1">
      <c r="A1336" s="7"/>
      <c r="B1336" s="8"/>
      <c r="C1336" s="8"/>
      <c r="D1336" s="8"/>
      <c r="E1336" s="16"/>
      <c r="F1336" s="10"/>
      <c r="G1336" s="19"/>
      <c r="H1336" s="18"/>
      <c r="I1336" s="13"/>
      <c r="J1336" s="14"/>
      <c r="K1336" s="8"/>
      <c r="L1336" s="15"/>
      <c r="M1336" s="15"/>
      <c r="N1336" s="15"/>
      <c r="O1336" s="15"/>
      <c r="P1336" s="15"/>
      <c r="Q1336" s="15"/>
      <c r="R1336" s="15"/>
      <c r="S1336" s="15"/>
      <c r="T1336" s="15"/>
      <c r="U1336" s="15"/>
      <c r="V1336" s="15"/>
    </row>
    <row r="1337" ht="22.5" customHeight="1">
      <c r="A1337" s="7"/>
      <c r="B1337" s="8"/>
      <c r="C1337" s="8"/>
      <c r="D1337" s="8"/>
      <c r="E1337" s="16"/>
      <c r="F1337" s="10"/>
      <c r="G1337" s="19"/>
      <c r="H1337" s="18"/>
      <c r="I1337" s="13"/>
      <c r="J1337" s="14"/>
      <c r="K1337" s="8"/>
      <c r="L1337" s="15"/>
      <c r="M1337" s="15"/>
      <c r="N1337" s="15"/>
      <c r="O1337" s="15"/>
      <c r="P1337" s="15"/>
      <c r="Q1337" s="15"/>
      <c r="R1337" s="15"/>
      <c r="S1337" s="15"/>
      <c r="T1337" s="15"/>
      <c r="U1337" s="15"/>
      <c r="V1337" s="15"/>
    </row>
    <row r="1338" ht="22.5" customHeight="1">
      <c r="A1338" s="7"/>
      <c r="B1338" s="8"/>
      <c r="C1338" s="8"/>
      <c r="D1338" s="8"/>
      <c r="E1338" s="16"/>
      <c r="F1338" s="10"/>
      <c r="G1338" s="19"/>
      <c r="H1338" s="18"/>
      <c r="I1338" s="13"/>
      <c r="J1338" s="14"/>
      <c r="K1338" s="8"/>
      <c r="L1338" s="15"/>
      <c r="M1338" s="15"/>
      <c r="N1338" s="15"/>
      <c r="O1338" s="15"/>
      <c r="P1338" s="15"/>
      <c r="Q1338" s="15"/>
      <c r="R1338" s="15"/>
      <c r="S1338" s="15"/>
      <c r="T1338" s="15"/>
      <c r="U1338" s="15"/>
      <c r="V1338" s="15"/>
    </row>
    <row r="1339" ht="22.5" customHeight="1">
      <c r="A1339" s="7"/>
      <c r="B1339" s="8"/>
      <c r="C1339" s="8"/>
      <c r="D1339" s="8"/>
      <c r="E1339" s="16"/>
      <c r="F1339" s="10"/>
      <c r="G1339" s="19"/>
      <c r="H1339" s="18"/>
      <c r="I1339" s="13"/>
      <c r="J1339" s="14"/>
      <c r="K1339" s="8"/>
      <c r="L1339" s="15"/>
      <c r="M1339" s="15"/>
      <c r="N1339" s="15"/>
      <c r="O1339" s="15"/>
      <c r="P1339" s="15"/>
      <c r="Q1339" s="15"/>
      <c r="R1339" s="15"/>
      <c r="S1339" s="15"/>
      <c r="T1339" s="15"/>
      <c r="U1339" s="15"/>
      <c r="V1339" s="15"/>
    </row>
    <row r="1340" ht="22.5" customHeight="1">
      <c r="A1340" s="7"/>
      <c r="B1340" s="8"/>
      <c r="C1340" s="8"/>
      <c r="D1340" s="8"/>
      <c r="E1340" s="16"/>
      <c r="F1340" s="10"/>
      <c r="G1340" s="19"/>
      <c r="H1340" s="18"/>
      <c r="I1340" s="13"/>
      <c r="J1340" s="14"/>
      <c r="K1340" s="8"/>
      <c r="L1340" s="15"/>
      <c r="M1340" s="15"/>
      <c r="N1340" s="15"/>
      <c r="O1340" s="15"/>
      <c r="P1340" s="15"/>
      <c r="Q1340" s="15"/>
      <c r="R1340" s="15"/>
      <c r="S1340" s="15"/>
      <c r="T1340" s="15"/>
      <c r="U1340" s="15"/>
      <c r="V1340" s="15"/>
    </row>
    <row r="1341" ht="22.5" customHeight="1">
      <c r="A1341" s="7"/>
      <c r="B1341" s="8"/>
      <c r="C1341" s="8"/>
      <c r="D1341" s="8"/>
      <c r="E1341" s="16"/>
      <c r="F1341" s="10"/>
      <c r="G1341" s="19"/>
      <c r="H1341" s="18"/>
      <c r="I1341" s="13"/>
      <c r="J1341" s="14"/>
      <c r="K1341" s="8"/>
      <c r="L1341" s="15"/>
      <c r="M1341" s="15"/>
      <c r="N1341" s="15"/>
      <c r="O1341" s="15"/>
      <c r="P1341" s="15"/>
      <c r="Q1341" s="15"/>
      <c r="R1341" s="15"/>
      <c r="S1341" s="15"/>
      <c r="T1341" s="15"/>
      <c r="U1341" s="15"/>
      <c r="V1341" s="15"/>
    </row>
    <row r="1342" ht="22.5" customHeight="1">
      <c r="A1342" s="7"/>
      <c r="B1342" s="8"/>
      <c r="C1342" s="8"/>
      <c r="D1342" s="8"/>
      <c r="E1342" s="16"/>
      <c r="F1342" s="10"/>
      <c r="G1342" s="19"/>
      <c r="H1342" s="18"/>
      <c r="I1342" s="13"/>
      <c r="J1342" s="14"/>
      <c r="K1342" s="8"/>
      <c r="L1342" s="15"/>
      <c r="M1342" s="15"/>
      <c r="N1342" s="15"/>
      <c r="O1342" s="15"/>
      <c r="P1342" s="15"/>
      <c r="Q1342" s="15"/>
      <c r="R1342" s="15"/>
      <c r="S1342" s="15"/>
      <c r="T1342" s="15"/>
      <c r="U1342" s="15"/>
      <c r="V1342" s="15"/>
    </row>
    <row r="1343" ht="22.5" customHeight="1">
      <c r="A1343" s="7"/>
      <c r="B1343" s="8"/>
      <c r="C1343" s="8"/>
      <c r="D1343" s="8"/>
      <c r="E1343" s="16"/>
      <c r="F1343" s="10"/>
      <c r="G1343" s="19"/>
      <c r="H1343" s="18"/>
      <c r="I1343" s="13"/>
      <c r="J1343" s="14"/>
      <c r="K1343" s="8"/>
      <c r="L1343" s="15"/>
      <c r="M1343" s="15"/>
      <c r="N1343" s="15"/>
      <c r="O1343" s="15"/>
      <c r="P1343" s="15"/>
      <c r="Q1343" s="15"/>
      <c r="R1343" s="15"/>
      <c r="S1343" s="15"/>
      <c r="T1343" s="15"/>
      <c r="U1343" s="15"/>
      <c r="V1343" s="15"/>
    </row>
    <row r="1344" ht="22.5" customHeight="1">
      <c r="A1344" s="7"/>
      <c r="B1344" s="8"/>
      <c r="C1344" s="8"/>
      <c r="D1344" s="8"/>
      <c r="E1344" s="16"/>
      <c r="F1344" s="10"/>
      <c r="G1344" s="19"/>
      <c r="H1344" s="18"/>
      <c r="I1344" s="13"/>
      <c r="J1344" s="14"/>
      <c r="K1344" s="8"/>
      <c r="L1344" s="15"/>
      <c r="M1344" s="15"/>
      <c r="N1344" s="15"/>
      <c r="O1344" s="15"/>
      <c r="P1344" s="15"/>
      <c r="Q1344" s="15"/>
      <c r="R1344" s="15"/>
      <c r="S1344" s="15"/>
      <c r="T1344" s="15"/>
      <c r="U1344" s="15"/>
      <c r="V1344" s="15"/>
    </row>
    <row r="1345" ht="22.5" customHeight="1">
      <c r="A1345" s="7"/>
      <c r="B1345" s="8"/>
      <c r="C1345" s="8"/>
      <c r="D1345" s="8"/>
      <c r="E1345" s="16"/>
      <c r="F1345" s="10"/>
      <c r="G1345" s="19"/>
      <c r="H1345" s="18"/>
      <c r="I1345" s="13"/>
      <c r="J1345" s="14"/>
      <c r="K1345" s="8"/>
      <c r="L1345" s="15"/>
      <c r="M1345" s="15"/>
      <c r="N1345" s="15"/>
      <c r="O1345" s="15"/>
      <c r="P1345" s="15"/>
      <c r="Q1345" s="15"/>
      <c r="R1345" s="15"/>
      <c r="S1345" s="15"/>
      <c r="T1345" s="15"/>
      <c r="U1345" s="15"/>
      <c r="V1345" s="15"/>
    </row>
    <row r="1346" ht="22.5" customHeight="1">
      <c r="A1346" s="7"/>
      <c r="B1346" s="8"/>
      <c r="C1346" s="8"/>
      <c r="D1346" s="8"/>
      <c r="E1346" s="16"/>
      <c r="F1346" s="10"/>
      <c r="G1346" s="19"/>
      <c r="H1346" s="18"/>
      <c r="I1346" s="13"/>
      <c r="J1346" s="14"/>
      <c r="K1346" s="8"/>
      <c r="L1346" s="15"/>
      <c r="M1346" s="15"/>
      <c r="N1346" s="15"/>
      <c r="O1346" s="15"/>
      <c r="P1346" s="15"/>
      <c r="Q1346" s="15"/>
      <c r="R1346" s="15"/>
      <c r="S1346" s="15"/>
      <c r="T1346" s="15"/>
      <c r="U1346" s="15"/>
      <c r="V1346" s="15"/>
    </row>
    <row r="1347" ht="22.5" customHeight="1">
      <c r="A1347" s="7"/>
      <c r="B1347" s="8"/>
      <c r="C1347" s="8"/>
      <c r="D1347" s="8"/>
      <c r="E1347" s="16"/>
      <c r="F1347" s="10"/>
      <c r="G1347" s="19"/>
      <c r="H1347" s="18"/>
      <c r="I1347" s="13"/>
      <c r="J1347" s="14"/>
      <c r="K1347" s="8"/>
      <c r="L1347" s="15"/>
      <c r="M1347" s="15"/>
      <c r="N1347" s="15"/>
      <c r="O1347" s="15"/>
      <c r="P1347" s="15"/>
      <c r="Q1347" s="15"/>
      <c r="R1347" s="15"/>
      <c r="S1347" s="15"/>
      <c r="T1347" s="15"/>
      <c r="U1347" s="15"/>
      <c r="V1347" s="15"/>
    </row>
    <row r="1348" ht="22.5" customHeight="1">
      <c r="A1348" s="7"/>
      <c r="B1348" s="8"/>
      <c r="C1348" s="8"/>
      <c r="D1348" s="8"/>
      <c r="E1348" s="16"/>
      <c r="F1348" s="10"/>
      <c r="G1348" s="19"/>
      <c r="H1348" s="18"/>
      <c r="I1348" s="13"/>
      <c r="J1348" s="14"/>
      <c r="K1348" s="8"/>
      <c r="L1348" s="15"/>
      <c r="M1348" s="15"/>
      <c r="N1348" s="15"/>
      <c r="O1348" s="15"/>
      <c r="P1348" s="15"/>
      <c r="Q1348" s="15"/>
      <c r="R1348" s="15"/>
      <c r="S1348" s="15"/>
      <c r="T1348" s="15"/>
      <c r="U1348" s="15"/>
      <c r="V1348" s="15"/>
    </row>
    <row r="1349" ht="22.5" customHeight="1">
      <c r="A1349" s="7"/>
      <c r="B1349" s="8"/>
      <c r="C1349" s="8"/>
      <c r="D1349" s="8"/>
      <c r="E1349" s="16"/>
      <c r="F1349" s="10"/>
      <c r="G1349" s="19"/>
      <c r="H1349" s="18"/>
      <c r="I1349" s="13"/>
      <c r="J1349" s="14"/>
      <c r="K1349" s="8"/>
      <c r="L1349" s="15"/>
      <c r="M1349" s="15"/>
      <c r="N1349" s="15"/>
      <c r="O1349" s="15"/>
      <c r="P1349" s="15"/>
      <c r="Q1349" s="15"/>
      <c r="R1349" s="15"/>
      <c r="S1349" s="15"/>
      <c r="T1349" s="15"/>
      <c r="U1349" s="15"/>
      <c r="V1349" s="15"/>
    </row>
    <row r="1350" ht="22.5" customHeight="1">
      <c r="A1350" s="7"/>
      <c r="B1350" s="8"/>
      <c r="C1350" s="8"/>
      <c r="D1350" s="8"/>
      <c r="E1350" s="16"/>
      <c r="F1350" s="10"/>
      <c r="G1350" s="19"/>
      <c r="H1350" s="18"/>
      <c r="I1350" s="13"/>
      <c r="J1350" s="14"/>
      <c r="K1350" s="8"/>
      <c r="L1350" s="15"/>
      <c r="M1350" s="15"/>
      <c r="N1350" s="15"/>
      <c r="O1350" s="15"/>
      <c r="P1350" s="15"/>
      <c r="Q1350" s="15"/>
      <c r="R1350" s="15"/>
      <c r="S1350" s="15"/>
      <c r="T1350" s="15"/>
      <c r="U1350" s="15"/>
      <c r="V1350" s="15"/>
    </row>
    <row r="1351" ht="22.5" customHeight="1">
      <c r="A1351" s="7"/>
      <c r="B1351" s="8"/>
      <c r="C1351" s="8"/>
      <c r="D1351" s="8"/>
      <c r="E1351" s="16"/>
      <c r="F1351" s="10"/>
      <c r="G1351" s="19"/>
      <c r="H1351" s="18"/>
      <c r="I1351" s="13"/>
      <c r="J1351" s="14"/>
      <c r="K1351" s="8"/>
      <c r="L1351" s="15"/>
      <c r="M1351" s="15"/>
      <c r="N1351" s="15"/>
      <c r="O1351" s="15"/>
      <c r="P1351" s="15"/>
      <c r="Q1351" s="15"/>
      <c r="R1351" s="15"/>
      <c r="S1351" s="15"/>
      <c r="T1351" s="15"/>
      <c r="U1351" s="15"/>
      <c r="V1351" s="15"/>
    </row>
    <row r="1352" ht="22.5" customHeight="1">
      <c r="A1352" s="7"/>
      <c r="B1352" s="8"/>
      <c r="C1352" s="8"/>
      <c r="D1352" s="8"/>
      <c r="E1352" s="16"/>
      <c r="F1352" s="10"/>
      <c r="G1352" s="19"/>
      <c r="H1352" s="18"/>
      <c r="I1352" s="13"/>
      <c r="J1352" s="14"/>
      <c r="K1352" s="8"/>
      <c r="L1352" s="15"/>
      <c r="M1352" s="15"/>
      <c r="N1352" s="15"/>
      <c r="O1352" s="15"/>
      <c r="P1352" s="15"/>
      <c r="Q1352" s="15"/>
      <c r="R1352" s="15"/>
      <c r="S1352" s="15"/>
      <c r="T1352" s="15"/>
      <c r="U1352" s="15"/>
      <c r="V1352" s="15"/>
    </row>
    <row r="1353" ht="22.5" customHeight="1">
      <c r="A1353" s="7"/>
      <c r="B1353" s="8"/>
      <c r="C1353" s="8"/>
      <c r="D1353" s="8"/>
      <c r="E1353" s="16"/>
      <c r="F1353" s="10"/>
      <c r="G1353" s="19"/>
      <c r="H1353" s="18"/>
      <c r="I1353" s="13"/>
      <c r="J1353" s="14"/>
      <c r="K1353" s="8"/>
      <c r="L1353" s="15"/>
      <c r="M1353" s="15"/>
      <c r="N1353" s="15"/>
      <c r="O1353" s="15"/>
      <c r="P1353" s="15"/>
      <c r="Q1353" s="15"/>
      <c r="R1353" s="15"/>
      <c r="S1353" s="15"/>
      <c r="T1353" s="15"/>
      <c r="U1353" s="15"/>
      <c r="V1353" s="15"/>
    </row>
    <row r="1354" ht="22.5" customHeight="1">
      <c r="A1354" s="7"/>
      <c r="B1354" s="8"/>
      <c r="C1354" s="8"/>
      <c r="D1354" s="8"/>
      <c r="E1354" s="16"/>
      <c r="F1354" s="10"/>
      <c r="G1354" s="19"/>
      <c r="H1354" s="18"/>
      <c r="I1354" s="13"/>
      <c r="J1354" s="14"/>
      <c r="K1354" s="8"/>
      <c r="L1354" s="15"/>
      <c r="M1354" s="15"/>
      <c r="N1354" s="15"/>
      <c r="O1354" s="15"/>
      <c r="P1354" s="15"/>
      <c r="Q1354" s="15"/>
      <c r="R1354" s="15"/>
      <c r="S1354" s="15"/>
      <c r="T1354" s="15"/>
      <c r="U1354" s="15"/>
      <c r="V1354" s="15"/>
    </row>
    <row r="1355" ht="22.5" customHeight="1">
      <c r="A1355" s="7"/>
      <c r="B1355" s="8"/>
      <c r="C1355" s="8"/>
      <c r="D1355" s="8"/>
      <c r="E1355" s="16"/>
      <c r="F1355" s="10"/>
      <c r="G1355" s="19"/>
      <c r="H1355" s="18"/>
      <c r="I1355" s="13"/>
      <c r="J1355" s="14"/>
      <c r="K1355" s="8"/>
      <c r="L1355" s="15"/>
      <c r="M1355" s="15"/>
      <c r="N1355" s="15"/>
      <c r="O1355" s="15"/>
      <c r="P1355" s="15"/>
      <c r="Q1355" s="15"/>
      <c r="R1355" s="15"/>
      <c r="S1355" s="15"/>
      <c r="T1355" s="15"/>
      <c r="U1355" s="15"/>
      <c r="V1355" s="15"/>
    </row>
    <row r="1356" ht="22.5" customHeight="1">
      <c r="A1356" s="7"/>
      <c r="B1356" s="8"/>
      <c r="C1356" s="8"/>
      <c r="D1356" s="8"/>
      <c r="E1356" s="16"/>
      <c r="F1356" s="10"/>
      <c r="G1356" s="19"/>
      <c r="H1356" s="18"/>
      <c r="I1356" s="13"/>
      <c r="J1356" s="14"/>
      <c r="K1356" s="8"/>
      <c r="L1356" s="15"/>
      <c r="M1356" s="15"/>
      <c r="N1356" s="15"/>
      <c r="O1356" s="15"/>
      <c r="P1356" s="15"/>
      <c r="Q1356" s="15"/>
      <c r="R1356" s="15"/>
      <c r="S1356" s="15"/>
      <c r="T1356" s="15"/>
      <c r="U1356" s="15"/>
      <c r="V1356" s="15"/>
    </row>
    <row r="1357" ht="22.5" customHeight="1">
      <c r="A1357" s="7"/>
      <c r="B1357" s="8"/>
      <c r="C1357" s="8"/>
      <c r="D1357" s="8"/>
      <c r="E1357" s="16"/>
      <c r="F1357" s="10"/>
      <c r="G1357" s="19"/>
      <c r="H1357" s="18"/>
      <c r="I1357" s="13"/>
      <c r="J1357" s="14"/>
      <c r="K1357" s="8"/>
      <c r="L1357" s="15"/>
      <c r="M1357" s="15"/>
      <c r="N1357" s="15"/>
      <c r="O1357" s="15"/>
      <c r="P1357" s="15"/>
      <c r="Q1357" s="15"/>
      <c r="R1357" s="15"/>
      <c r="S1357" s="15"/>
      <c r="T1357" s="15"/>
      <c r="U1357" s="15"/>
      <c r="V1357" s="15"/>
    </row>
    <row r="1358" ht="22.5" customHeight="1">
      <c r="A1358" s="7"/>
      <c r="B1358" s="8"/>
      <c r="C1358" s="8"/>
      <c r="D1358" s="8"/>
      <c r="E1358" s="16"/>
      <c r="F1358" s="10"/>
      <c r="G1358" s="19"/>
      <c r="H1358" s="18"/>
      <c r="I1358" s="13"/>
      <c r="J1358" s="14"/>
      <c r="K1358" s="8"/>
      <c r="L1358" s="15"/>
      <c r="M1358" s="15"/>
      <c r="N1358" s="15"/>
      <c r="O1358" s="15"/>
      <c r="P1358" s="15"/>
      <c r="Q1358" s="15"/>
      <c r="R1358" s="15"/>
      <c r="S1358" s="15"/>
      <c r="T1358" s="15"/>
      <c r="U1358" s="15"/>
      <c r="V1358" s="15"/>
    </row>
    <row r="1359" ht="22.5" customHeight="1">
      <c r="A1359" s="7"/>
      <c r="B1359" s="8"/>
      <c r="C1359" s="8"/>
      <c r="D1359" s="8"/>
      <c r="E1359" s="16"/>
      <c r="F1359" s="10"/>
      <c r="G1359" s="19"/>
      <c r="H1359" s="18"/>
      <c r="I1359" s="13"/>
      <c r="J1359" s="14"/>
      <c r="K1359" s="8"/>
      <c r="L1359" s="15"/>
      <c r="M1359" s="15"/>
      <c r="N1359" s="15"/>
      <c r="O1359" s="15"/>
      <c r="P1359" s="15"/>
      <c r="Q1359" s="15"/>
      <c r="R1359" s="15"/>
      <c r="S1359" s="15"/>
      <c r="T1359" s="15"/>
      <c r="U1359" s="15"/>
      <c r="V1359" s="15"/>
    </row>
    <row r="1360" ht="22.5" customHeight="1">
      <c r="A1360" s="7"/>
      <c r="B1360" s="8"/>
      <c r="C1360" s="8"/>
      <c r="D1360" s="8"/>
      <c r="E1360" s="16"/>
      <c r="F1360" s="10"/>
      <c r="G1360" s="19"/>
      <c r="H1360" s="18"/>
      <c r="I1360" s="13"/>
      <c r="J1360" s="14"/>
      <c r="K1360" s="8"/>
      <c r="L1360" s="15"/>
      <c r="M1360" s="15"/>
      <c r="N1360" s="15"/>
      <c r="O1360" s="15"/>
      <c r="P1360" s="15"/>
      <c r="Q1360" s="15"/>
      <c r="R1360" s="15"/>
      <c r="S1360" s="15"/>
      <c r="T1360" s="15"/>
      <c r="U1360" s="15"/>
      <c r="V1360" s="15"/>
    </row>
    <row r="1361" ht="22.5" customHeight="1">
      <c r="A1361" s="7"/>
      <c r="B1361" s="8"/>
      <c r="C1361" s="8"/>
      <c r="D1361" s="8"/>
      <c r="E1361" s="16"/>
      <c r="F1361" s="10"/>
      <c r="G1361" s="19"/>
      <c r="H1361" s="18"/>
      <c r="I1361" s="13"/>
      <c r="J1361" s="14"/>
      <c r="K1361" s="8"/>
      <c r="L1361" s="15"/>
      <c r="M1361" s="15"/>
      <c r="N1361" s="15"/>
      <c r="O1361" s="15"/>
      <c r="P1361" s="15"/>
      <c r="Q1361" s="15"/>
      <c r="R1361" s="15"/>
      <c r="S1361" s="15"/>
      <c r="T1361" s="15"/>
      <c r="U1361" s="15"/>
      <c r="V1361" s="15"/>
    </row>
    <row r="1362" ht="22.5" customHeight="1">
      <c r="A1362" s="7"/>
      <c r="B1362" s="8"/>
      <c r="C1362" s="8"/>
      <c r="D1362" s="8"/>
      <c r="E1362" s="16"/>
      <c r="F1362" s="10"/>
      <c r="G1362" s="19"/>
      <c r="H1362" s="18"/>
      <c r="I1362" s="13"/>
      <c r="J1362" s="14"/>
      <c r="K1362" s="8"/>
      <c r="L1362" s="15"/>
      <c r="M1362" s="15"/>
      <c r="N1362" s="15"/>
      <c r="O1362" s="15"/>
      <c r="P1362" s="15"/>
      <c r="Q1362" s="15"/>
      <c r="R1362" s="15"/>
      <c r="S1362" s="15"/>
      <c r="T1362" s="15"/>
      <c r="U1362" s="15"/>
      <c r="V1362" s="15"/>
    </row>
    <row r="1363" ht="22.5" customHeight="1">
      <c r="A1363" s="7"/>
      <c r="B1363" s="8"/>
      <c r="C1363" s="8"/>
      <c r="D1363" s="8"/>
      <c r="E1363" s="16"/>
      <c r="F1363" s="10"/>
      <c r="G1363" s="19"/>
      <c r="H1363" s="18"/>
      <c r="I1363" s="13"/>
      <c r="J1363" s="14"/>
      <c r="K1363" s="8"/>
      <c r="L1363" s="15"/>
      <c r="M1363" s="15"/>
      <c r="N1363" s="15"/>
      <c r="O1363" s="15"/>
      <c r="P1363" s="15"/>
      <c r="Q1363" s="15"/>
      <c r="R1363" s="15"/>
      <c r="S1363" s="15"/>
      <c r="T1363" s="15"/>
      <c r="U1363" s="15"/>
      <c r="V1363" s="15"/>
    </row>
    <row r="1364" ht="22.5" customHeight="1">
      <c r="A1364" s="7"/>
      <c r="B1364" s="8"/>
      <c r="C1364" s="8"/>
      <c r="D1364" s="8"/>
      <c r="E1364" s="16"/>
      <c r="F1364" s="10"/>
      <c r="G1364" s="19"/>
      <c r="H1364" s="18"/>
      <c r="I1364" s="13"/>
      <c r="J1364" s="14"/>
      <c r="K1364" s="8"/>
      <c r="L1364" s="15"/>
      <c r="M1364" s="15"/>
      <c r="N1364" s="15"/>
      <c r="O1364" s="15"/>
      <c r="P1364" s="15"/>
      <c r="Q1364" s="15"/>
      <c r="R1364" s="15"/>
      <c r="S1364" s="15"/>
      <c r="T1364" s="15"/>
      <c r="U1364" s="15"/>
      <c r="V1364" s="15"/>
    </row>
    <row r="1365" ht="22.5" customHeight="1">
      <c r="A1365" s="7"/>
      <c r="B1365" s="8"/>
      <c r="C1365" s="8"/>
      <c r="D1365" s="8"/>
      <c r="E1365" s="16"/>
      <c r="F1365" s="10"/>
      <c r="G1365" s="19"/>
      <c r="H1365" s="18"/>
      <c r="I1365" s="13"/>
      <c r="J1365" s="14"/>
      <c r="K1365" s="8"/>
      <c r="L1365" s="15"/>
      <c r="M1365" s="15"/>
      <c r="N1365" s="15"/>
      <c r="O1365" s="15"/>
      <c r="P1365" s="15"/>
      <c r="Q1365" s="15"/>
      <c r="R1365" s="15"/>
      <c r="S1365" s="15"/>
      <c r="T1365" s="15"/>
      <c r="U1365" s="15"/>
      <c r="V1365" s="15"/>
    </row>
    <row r="1366" ht="22.5" customHeight="1">
      <c r="A1366" s="7"/>
      <c r="B1366" s="8"/>
      <c r="C1366" s="8"/>
      <c r="D1366" s="8"/>
      <c r="E1366" s="16"/>
      <c r="F1366" s="10"/>
      <c r="G1366" s="19"/>
      <c r="H1366" s="18"/>
      <c r="I1366" s="13"/>
      <c r="J1366" s="14"/>
      <c r="K1366" s="8"/>
      <c r="L1366" s="15"/>
      <c r="M1366" s="15"/>
      <c r="N1366" s="15"/>
      <c r="O1366" s="15"/>
      <c r="P1366" s="15"/>
      <c r="Q1366" s="15"/>
      <c r="R1366" s="15"/>
      <c r="S1366" s="15"/>
      <c r="T1366" s="15"/>
      <c r="U1366" s="15"/>
      <c r="V1366" s="15"/>
    </row>
    <row r="1367" ht="22.5" customHeight="1">
      <c r="A1367" s="7"/>
      <c r="B1367" s="8"/>
      <c r="C1367" s="8"/>
      <c r="D1367" s="8"/>
      <c r="E1367" s="16"/>
      <c r="F1367" s="10"/>
      <c r="G1367" s="19"/>
      <c r="H1367" s="18"/>
      <c r="I1367" s="13"/>
      <c r="J1367" s="14"/>
      <c r="K1367" s="8"/>
      <c r="L1367" s="15"/>
      <c r="M1367" s="15"/>
      <c r="N1367" s="15"/>
      <c r="O1367" s="15"/>
      <c r="P1367" s="15"/>
      <c r="Q1367" s="15"/>
      <c r="R1367" s="15"/>
      <c r="S1367" s="15"/>
      <c r="T1367" s="15"/>
      <c r="U1367" s="15"/>
      <c r="V1367" s="15"/>
    </row>
    <row r="1368" ht="22.5" customHeight="1">
      <c r="A1368" s="7"/>
      <c r="B1368" s="8"/>
      <c r="C1368" s="8"/>
      <c r="D1368" s="8"/>
      <c r="E1368" s="16"/>
      <c r="F1368" s="10"/>
      <c r="G1368" s="19"/>
      <c r="H1368" s="18"/>
      <c r="I1368" s="13"/>
      <c r="J1368" s="14"/>
      <c r="K1368" s="8"/>
      <c r="L1368" s="15"/>
      <c r="M1368" s="15"/>
      <c r="N1368" s="15"/>
      <c r="O1368" s="15"/>
      <c r="P1368" s="15"/>
      <c r="Q1368" s="15"/>
      <c r="R1368" s="15"/>
      <c r="S1368" s="15"/>
      <c r="T1368" s="15"/>
      <c r="U1368" s="15"/>
      <c r="V1368" s="15"/>
    </row>
    <row r="1369" ht="22.5" customHeight="1">
      <c r="A1369" s="7"/>
      <c r="B1369" s="8"/>
      <c r="C1369" s="8"/>
      <c r="D1369" s="8"/>
      <c r="E1369" s="16"/>
      <c r="F1369" s="10"/>
      <c r="G1369" s="19"/>
      <c r="H1369" s="18"/>
      <c r="I1369" s="13"/>
      <c r="J1369" s="14"/>
      <c r="K1369" s="8"/>
      <c r="L1369" s="15"/>
      <c r="M1369" s="15"/>
      <c r="N1369" s="15"/>
      <c r="O1369" s="15"/>
      <c r="P1369" s="15"/>
      <c r="Q1369" s="15"/>
      <c r="R1369" s="15"/>
      <c r="S1369" s="15"/>
      <c r="T1369" s="15"/>
      <c r="U1369" s="15"/>
      <c r="V1369" s="15"/>
    </row>
    <row r="1370" ht="22.5" customHeight="1">
      <c r="A1370" s="7"/>
      <c r="B1370" s="8"/>
      <c r="C1370" s="8"/>
      <c r="D1370" s="8"/>
      <c r="E1370" s="16"/>
      <c r="F1370" s="10"/>
      <c r="G1370" s="19"/>
      <c r="H1370" s="18"/>
      <c r="I1370" s="13"/>
      <c r="J1370" s="14"/>
      <c r="K1370" s="8"/>
      <c r="L1370" s="15"/>
      <c r="M1370" s="15"/>
      <c r="N1370" s="15"/>
      <c r="O1370" s="15"/>
      <c r="P1370" s="15"/>
      <c r="Q1370" s="15"/>
      <c r="R1370" s="15"/>
      <c r="S1370" s="15"/>
      <c r="T1370" s="15"/>
      <c r="U1370" s="15"/>
      <c r="V1370" s="15"/>
    </row>
    <row r="1371" ht="22.5" customHeight="1">
      <c r="A1371" s="7"/>
      <c r="B1371" s="8"/>
      <c r="C1371" s="8"/>
      <c r="D1371" s="8"/>
      <c r="E1371" s="16"/>
      <c r="F1371" s="10"/>
      <c r="G1371" s="19"/>
      <c r="H1371" s="18"/>
      <c r="I1371" s="13"/>
      <c r="J1371" s="14"/>
      <c r="K1371" s="8"/>
      <c r="L1371" s="15"/>
      <c r="M1371" s="15"/>
      <c r="N1371" s="15"/>
      <c r="O1371" s="15"/>
      <c r="P1371" s="15"/>
      <c r="Q1371" s="15"/>
      <c r="R1371" s="15"/>
      <c r="S1371" s="15"/>
      <c r="T1371" s="15"/>
      <c r="U1371" s="15"/>
      <c r="V1371" s="15"/>
    </row>
    <row r="1372" ht="22.5" customHeight="1">
      <c r="A1372" s="7"/>
      <c r="B1372" s="8"/>
      <c r="C1372" s="8"/>
      <c r="D1372" s="8"/>
      <c r="E1372" s="16"/>
      <c r="F1372" s="10"/>
      <c r="G1372" s="19"/>
      <c r="H1372" s="18"/>
      <c r="I1372" s="13"/>
      <c r="J1372" s="14"/>
      <c r="K1372" s="8"/>
      <c r="L1372" s="15"/>
      <c r="M1372" s="15"/>
      <c r="N1372" s="15"/>
      <c r="O1372" s="15"/>
      <c r="P1372" s="15"/>
      <c r="Q1372" s="15"/>
      <c r="R1372" s="15"/>
      <c r="S1372" s="15"/>
      <c r="T1372" s="15"/>
      <c r="U1372" s="15"/>
      <c r="V1372" s="15"/>
    </row>
    <row r="1373" ht="22.5" customHeight="1">
      <c r="A1373" s="7"/>
      <c r="B1373" s="8"/>
      <c r="C1373" s="8"/>
      <c r="D1373" s="8"/>
      <c r="E1373" s="16"/>
      <c r="F1373" s="10"/>
      <c r="G1373" s="19"/>
      <c r="H1373" s="18"/>
      <c r="I1373" s="13"/>
      <c r="J1373" s="14"/>
      <c r="K1373" s="8"/>
      <c r="L1373" s="15"/>
      <c r="M1373" s="15"/>
      <c r="N1373" s="15"/>
      <c r="O1373" s="15"/>
      <c r="P1373" s="15"/>
      <c r="Q1373" s="15"/>
      <c r="R1373" s="15"/>
      <c r="S1373" s="15"/>
      <c r="T1373" s="15"/>
      <c r="U1373" s="15"/>
      <c r="V1373" s="15"/>
    </row>
    <row r="1374" ht="22.5" customHeight="1">
      <c r="A1374" s="7"/>
      <c r="B1374" s="8"/>
      <c r="C1374" s="8"/>
      <c r="D1374" s="8"/>
      <c r="E1374" s="16"/>
      <c r="F1374" s="10"/>
      <c r="G1374" s="19"/>
      <c r="H1374" s="18"/>
      <c r="I1374" s="13"/>
      <c r="J1374" s="14"/>
      <c r="K1374" s="8"/>
      <c r="L1374" s="15"/>
      <c r="M1374" s="15"/>
      <c r="N1374" s="15"/>
      <c r="O1374" s="15"/>
      <c r="P1374" s="15"/>
      <c r="Q1374" s="15"/>
      <c r="R1374" s="15"/>
      <c r="S1374" s="15"/>
      <c r="T1374" s="15"/>
      <c r="U1374" s="15"/>
      <c r="V1374" s="15"/>
    </row>
    <row r="1375" ht="22.5" customHeight="1">
      <c r="A1375" s="7"/>
      <c r="B1375" s="8"/>
      <c r="C1375" s="8"/>
      <c r="D1375" s="8"/>
      <c r="E1375" s="16"/>
      <c r="F1375" s="10"/>
      <c r="G1375" s="19"/>
      <c r="H1375" s="18"/>
      <c r="I1375" s="13"/>
      <c r="J1375" s="14"/>
      <c r="K1375" s="8"/>
      <c r="L1375" s="15"/>
      <c r="M1375" s="15"/>
      <c r="N1375" s="15"/>
      <c r="O1375" s="15"/>
      <c r="P1375" s="15"/>
      <c r="Q1375" s="15"/>
      <c r="R1375" s="15"/>
      <c r="S1375" s="15"/>
      <c r="T1375" s="15"/>
      <c r="U1375" s="15"/>
      <c r="V1375" s="15"/>
    </row>
    <row r="1376" ht="22.5" customHeight="1">
      <c r="A1376" s="7"/>
      <c r="B1376" s="8"/>
      <c r="C1376" s="8"/>
      <c r="D1376" s="8"/>
      <c r="E1376" s="16"/>
      <c r="F1376" s="10"/>
      <c r="G1376" s="19"/>
      <c r="H1376" s="18"/>
      <c r="I1376" s="13"/>
      <c r="J1376" s="14"/>
      <c r="K1376" s="8"/>
      <c r="L1376" s="15"/>
      <c r="M1376" s="15"/>
      <c r="N1376" s="15"/>
      <c r="O1376" s="15"/>
      <c r="P1376" s="15"/>
      <c r="Q1376" s="15"/>
      <c r="R1376" s="15"/>
      <c r="S1376" s="15"/>
      <c r="T1376" s="15"/>
      <c r="U1376" s="15"/>
      <c r="V1376" s="15"/>
    </row>
    <row r="1377" ht="22.5" customHeight="1">
      <c r="A1377" s="7"/>
      <c r="B1377" s="8"/>
      <c r="C1377" s="8"/>
      <c r="D1377" s="8"/>
      <c r="E1377" s="16"/>
      <c r="F1377" s="10"/>
      <c r="G1377" s="19"/>
      <c r="H1377" s="18"/>
      <c r="I1377" s="13"/>
      <c r="J1377" s="14"/>
      <c r="K1377" s="8"/>
      <c r="L1377" s="15"/>
      <c r="M1377" s="15"/>
      <c r="N1377" s="15"/>
      <c r="O1377" s="15"/>
      <c r="P1377" s="15"/>
      <c r="Q1377" s="15"/>
      <c r="R1377" s="15"/>
      <c r="S1377" s="15"/>
      <c r="T1377" s="15"/>
      <c r="U1377" s="15"/>
      <c r="V1377" s="15"/>
    </row>
    <row r="1378" ht="22.5" customHeight="1">
      <c r="A1378" s="7"/>
      <c r="B1378" s="8"/>
      <c r="C1378" s="8"/>
      <c r="D1378" s="8"/>
      <c r="E1378" s="16"/>
      <c r="F1378" s="10"/>
      <c r="G1378" s="19"/>
      <c r="H1378" s="18"/>
      <c r="I1378" s="13"/>
      <c r="J1378" s="14"/>
      <c r="K1378" s="8"/>
      <c r="L1378" s="15"/>
      <c r="M1378" s="15"/>
      <c r="N1378" s="15"/>
      <c r="O1378" s="15"/>
      <c r="P1378" s="15"/>
      <c r="Q1378" s="15"/>
      <c r="R1378" s="15"/>
      <c r="S1378" s="15"/>
      <c r="T1378" s="15"/>
      <c r="U1378" s="15"/>
      <c r="V1378" s="15"/>
    </row>
    <row r="1379" ht="22.5" customHeight="1">
      <c r="A1379" s="7"/>
      <c r="B1379" s="8"/>
      <c r="C1379" s="8"/>
      <c r="D1379" s="8"/>
      <c r="E1379" s="16"/>
      <c r="F1379" s="10"/>
      <c r="G1379" s="19"/>
      <c r="H1379" s="18"/>
      <c r="I1379" s="13"/>
      <c r="J1379" s="14"/>
      <c r="K1379" s="8"/>
      <c r="L1379" s="15"/>
      <c r="M1379" s="15"/>
      <c r="N1379" s="15"/>
      <c r="O1379" s="15"/>
      <c r="P1379" s="15"/>
      <c r="Q1379" s="15"/>
      <c r="R1379" s="15"/>
      <c r="S1379" s="15"/>
      <c r="T1379" s="15"/>
      <c r="U1379" s="15"/>
      <c r="V1379" s="15"/>
    </row>
    <row r="1380" ht="22.5" customHeight="1">
      <c r="A1380" s="7"/>
      <c r="B1380" s="8"/>
      <c r="C1380" s="8"/>
      <c r="D1380" s="8"/>
      <c r="E1380" s="16"/>
      <c r="F1380" s="10"/>
      <c r="G1380" s="19"/>
      <c r="H1380" s="18"/>
      <c r="I1380" s="13"/>
      <c r="J1380" s="14"/>
      <c r="K1380" s="8"/>
      <c r="L1380" s="15"/>
      <c r="M1380" s="15"/>
      <c r="N1380" s="15"/>
      <c r="O1380" s="15"/>
      <c r="P1380" s="15"/>
      <c r="Q1380" s="15"/>
      <c r="R1380" s="15"/>
      <c r="S1380" s="15"/>
      <c r="T1380" s="15"/>
      <c r="U1380" s="15"/>
      <c r="V1380" s="15"/>
    </row>
    <row r="1381" ht="22.5" customHeight="1">
      <c r="A1381" s="7"/>
      <c r="B1381" s="8"/>
      <c r="C1381" s="8"/>
      <c r="D1381" s="8"/>
      <c r="E1381" s="16"/>
      <c r="F1381" s="10"/>
      <c r="G1381" s="19"/>
      <c r="H1381" s="18"/>
      <c r="I1381" s="13"/>
      <c r="J1381" s="14"/>
      <c r="K1381" s="8"/>
      <c r="L1381" s="15"/>
      <c r="M1381" s="15"/>
      <c r="N1381" s="15"/>
      <c r="O1381" s="15"/>
      <c r="P1381" s="15"/>
      <c r="Q1381" s="15"/>
      <c r="R1381" s="15"/>
      <c r="S1381" s="15"/>
      <c r="T1381" s="15"/>
      <c r="U1381" s="15"/>
      <c r="V1381" s="15"/>
    </row>
    <row r="1382" ht="22.5" customHeight="1">
      <c r="A1382" s="7"/>
      <c r="B1382" s="8"/>
      <c r="C1382" s="8"/>
      <c r="D1382" s="8"/>
      <c r="E1382" s="16"/>
      <c r="F1382" s="10"/>
      <c r="G1382" s="19"/>
      <c r="H1382" s="18"/>
      <c r="I1382" s="13"/>
      <c r="J1382" s="14"/>
      <c r="K1382" s="8"/>
      <c r="L1382" s="15"/>
      <c r="M1382" s="15"/>
      <c r="N1382" s="15"/>
      <c r="O1382" s="15"/>
      <c r="P1382" s="15"/>
      <c r="Q1382" s="15"/>
      <c r="R1382" s="15"/>
      <c r="S1382" s="15"/>
      <c r="T1382" s="15"/>
      <c r="U1382" s="15"/>
      <c r="V1382" s="15"/>
    </row>
    <row r="1383" ht="22.5" customHeight="1">
      <c r="A1383" s="7"/>
      <c r="B1383" s="8"/>
      <c r="C1383" s="8"/>
      <c r="D1383" s="8"/>
      <c r="E1383" s="16"/>
      <c r="F1383" s="10"/>
      <c r="G1383" s="19"/>
      <c r="H1383" s="18"/>
      <c r="I1383" s="13"/>
      <c r="J1383" s="14"/>
      <c r="K1383" s="8"/>
      <c r="L1383" s="15"/>
      <c r="M1383" s="15"/>
      <c r="N1383" s="15"/>
      <c r="O1383" s="15"/>
      <c r="P1383" s="15"/>
      <c r="Q1383" s="15"/>
      <c r="R1383" s="15"/>
      <c r="S1383" s="15"/>
      <c r="T1383" s="15"/>
      <c r="U1383" s="15"/>
      <c r="V1383" s="15"/>
    </row>
    <row r="1384" ht="22.5" customHeight="1">
      <c r="A1384" s="7"/>
      <c r="B1384" s="8"/>
      <c r="C1384" s="8"/>
      <c r="D1384" s="8"/>
      <c r="E1384" s="16"/>
      <c r="F1384" s="10"/>
      <c r="G1384" s="19"/>
      <c r="H1384" s="18"/>
      <c r="I1384" s="13"/>
      <c r="J1384" s="14"/>
      <c r="K1384" s="8"/>
      <c r="L1384" s="15"/>
      <c r="M1384" s="15"/>
      <c r="N1384" s="15"/>
      <c r="O1384" s="15"/>
      <c r="P1384" s="15"/>
      <c r="Q1384" s="15"/>
      <c r="R1384" s="15"/>
      <c r="S1384" s="15"/>
      <c r="T1384" s="15"/>
      <c r="U1384" s="15"/>
      <c r="V1384" s="15"/>
    </row>
    <row r="1385" ht="22.5" customHeight="1">
      <c r="A1385" s="7"/>
      <c r="B1385" s="8"/>
      <c r="C1385" s="8"/>
      <c r="D1385" s="8"/>
      <c r="E1385" s="16"/>
      <c r="F1385" s="10"/>
      <c r="G1385" s="19"/>
      <c r="H1385" s="18"/>
      <c r="I1385" s="13"/>
      <c r="J1385" s="14"/>
      <c r="K1385" s="8"/>
      <c r="L1385" s="15"/>
      <c r="M1385" s="15"/>
      <c r="N1385" s="15"/>
      <c r="O1385" s="15"/>
      <c r="P1385" s="15"/>
      <c r="Q1385" s="15"/>
      <c r="R1385" s="15"/>
      <c r="S1385" s="15"/>
      <c r="T1385" s="15"/>
      <c r="U1385" s="15"/>
      <c r="V1385" s="15"/>
    </row>
    <row r="1386" ht="22.5" customHeight="1">
      <c r="A1386" s="7"/>
      <c r="B1386" s="8"/>
      <c r="C1386" s="8"/>
      <c r="D1386" s="8"/>
      <c r="E1386" s="16"/>
      <c r="F1386" s="10"/>
      <c r="G1386" s="19"/>
      <c r="H1386" s="18"/>
      <c r="I1386" s="13"/>
      <c r="J1386" s="14"/>
      <c r="K1386" s="8"/>
      <c r="L1386" s="15"/>
      <c r="M1386" s="15"/>
      <c r="N1386" s="15"/>
      <c r="O1386" s="15"/>
      <c r="P1386" s="15"/>
      <c r="Q1386" s="15"/>
      <c r="R1386" s="15"/>
      <c r="S1386" s="15"/>
      <c r="T1386" s="15"/>
      <c r="U1386" s="15"/>
      <c r="V1386" s="15"/>
    </row>
    <row r="1387" ht="22.5" customHeight="1">
      <c r="A1387" s="7"/>
      <c r="B1387" s="8"/>
      <c r="C1387" s="8"/>
      <c r="D1387" s="8"/>
      <c r="E1387" s="16"/>
      <c r="F1387" s="10"/>
      <c r="G1387" s="19"/>
      <c r="H1387" s="18"/>
      <c r="I1387" s="13"/>
      <c r="J1387" s="14"/>
      <c r="K1387" s="8"/>
      <c r="L1387" s="15"/>
      <c r="M1387" s="15"/>
      <c r="N1387" s="15"/>
      <c r="O1387" s="15"/>
      <c r="P1387" s="15"/>
      <c r="Q1387" s="15"/>
      <c r="R1387" s="15"/>
      <c r="S1387" s="15"/>
      <c r="T1387" s="15"/>
      <c r="U1387" s="15"/>
      <c r="V1387" s="15"/>
    </row>
    <row r="1388" ht="22.5" customHeight="1">
      <c r="A1388" s="7"/>
      <c r="B1388" s="8"/>
      <c r="C1388" s="8"/>
      <c r="D1388" s="8"/>
      <c r="E1388" s="16"/>
      <c r="F1388" s="10"/>
      <c r="G1388" s="19"/>
      <c r="H1388" s="18"/>
      <c r="I1388" s="13"/>
      <c r="J1388" s="14"/>
      <c r="K1388" s="8"/>
      <c r="L1388" s="15"/>
      <c r="M1388" s="15"/>
      <c r="N1388" s="15"/>
      <c r="O1388" s="15"/>
      <c r="P1388" s="15"/>
      <c r="Q1388" s="15"/>
      <c r="R1388" s="15"/>
      <c r="S1388" s="15"/>
      <c r="T1388" s="15"/>
      <c r="U1388" s="15"/>
      <c r="V1388" s="15"/>
    </row>
    <row r="1389" ht="22.5" customHeight="1">
      <c r="A1389" s="7"/>
      <c r="B1389" s="8"/>
      <c r="C1389" s="8"/>
      <c r="D1389" s="8"/>
      <c r="E1389" s="16"/>
      <c r="F1389" s="10"/>
      <c r="G1389" s="19"/>
      <c r="H1389" s="18"/>
      <c r="I1389" s="13"/>
      <c r="J1389" s="14"/>
      <c r="K1389" s="8"/>
      <c r="L1389" s="15"/>
      <c r="M1389" s="15"/>
      <c r="N1389" s="15"/>
      <c r="O1389" s="15"/>
      <c r="P1389" s="15"/>
      <c r="Q1389" s="15"/>
      <c r="R1389" s="15"/>
      <c r="S1389" s="15"/>
      <c r="T1389" s="15"/>
      <c r="U1389" s="15"/>
      <c r="V1389" s="15"/>
    </row>
    <row r="1390" ht="22.5" customHeight="1">
      <c r="A1390" s="7"/>
      <c r="B1390" s="8"/>
      <c r="C1390" s="8"/>
      <c r="D1390" s="8"/>
      <c r="E1390" s="16"/>
      <c r="F1390" s="10"/>
      <c r="G1390" s="19"/>
      <c r="H1390" s="18"/>
      <c r="I1390" s="13"/>
      <c r="J1390" s="14"/>
      <c r="K1390" s="8"/>
      <c r="L1390" s="15"/>
      <c r="M1390" s="15"/>
      <c r="N1390" s="15"/>
      <c r="O1390" s="15"/>
      <c r="P1390" s="15"/>
      <c r="Q1390" s="15"/>
      <c r="R1390" s="15"/>
      <c r="S1390" s="15"/>
      <c r="T1390" s="15"/>
      <c r="U1390" s="15"/>
      <c r="V1390" s="15"/>
    </row>
    <row r="1391" ht="22.5" customHeight="1">
      <c r="A1391" s="7"/>
      <c r="B1391" s="8"/>
      <c r="C1391" s="8"/>
      <c r="D1391" s="8"/>
      <c r="E1391" s="16"/>
      <c r="F1391" s="10"/>
      <c r="G1391" s="19"/>
      <c r="H1391" s="18"/>
      <c r="I1391" s="13"/>
      <c r="J1391" s="14"/>
      <c r="K1391" s="8"/>
      <c r="L1391" s="15"/>
      <c r="M1391" s="15"/>
      <c r="N1391" s="15"/>
      <c r="O1391" s="15"/>
      <c r="P1391" s="15"/>
      <c r="Q1391" s="15"/>
      <c r="R1391" s="15"/>
      <c r="S1391" s="15"/>
      <c r="T1391" s="15"/>
      <c r="U1391" s="15"/>
      <c r="V1391" s="15"/>
    </row>
    <row r="1392" ht="22.5" customHeight="1">
      <c r="A1392" s="7"/>
      <c r="B1392" s="8"/>
      <c r="C1392" s="8"/>
      <c r="D1392" s="8"/>
      <c r="E1392" s="16"/>
      <c r="F1392" s="10"/>
      <c r="G1392" s="19"/>
      <c r="H1392" s="18"/>
      <c r="I1392" s="13"/>
      <c r="J1392" s="14"/>
      <c r="K1392" s="8"/>
      <c r="L1392" s="15"/>
      <c r="M1392" s="15"/>
      <c r="N1392" s="15"/>
      <c r="O1392" s="15"/>
      <c r="P1392" s="15"/>
      <c r="Q1392" s="15"/>
      <c r="R1392" s="15"/>
      <c r="S1392" s="15"/>
      <c r="T1392" s="15"/>
      <c r="U1392" s="15"/>
      <c r="V1392" s="15"/>
    </row>
    <row r="1393" ht="22.5" customHeight="1">
      <c r="A1393" s="7"/>
      <c r="B1393" s="8"/>
      <c r="C1393" s="8"/>
      <c r="D1393" s="8"/>
      <c r="E1393" s="16"/>
      <c r="F1393" s="10"/>
      <c r="G1393" s="19"/>
      <c r="H1393" s="18"/>
      <c r="I1393" s="13"/>
      <c r="J1393" s="14"/>
      <c r="K1393" s="8"/>
      <c r="L1393" s="15"/>
      <c r="M1393" s="15"/>
      <c r="N1393" s="15"/>
      <c r="O1393" s="15"/>
      <c r="P1393" s="15"/>
      <c r="Q1393" s="15"/>
      <c r="R1393" s="15"/>
      <c r="S1393" s="15"/>
      <c r="T1393" s="15"/>
      <c r="U1393" s="15"/>
      <c r="V1393" s="15"/>
    </row>
    <row r="1394" ht="22.5" customHeight="1">
      <c r="A1394" s="7"/>
      <c r="B1394" s="8"/>
      <c r="C1394" s="8"/>
      <c r="D1394" s="8"/>
      <c r="E1394" s="16"/>
      <c r="F1394" s="10"/>
      <c r="G1394" s="19"/>
      <c r="H1394" s="18"/>
      <c r="I1394" s="13"/>
      <c r="J1394" s="14"/>
      <c r="K1394" s="8"/>
      <c r="L1394" s="15"/>
      <c r="M1394" s="15"/>
      <c r="N1394" s="15"/>
      <c r="O1394" s="15"/>
      <c r="P1394" s="15"/>
      <c r="Q1394" s="15"/>
      <c r="R1394" s="15"/>
      <c r="S1394" s="15"/>
      <c r="T1394" s="15"/>
      <c r="U1394" s="15"/>
      <c r="V1394" s="15"/>
    </row>
    <row r="1395" ht="22.5" customHeight="1">
      <c r="A1395" s="7"/>
      <c r="B1395" s="8"/>
      <c r="C1395" s="8"/>
      <c r="D1395" s="8"/>
      <c r="E1395" s="16"/>
      <c r="F1395" s="10"/>
      <c r="G1395" s="19"/>
      <c r="H1395" s="18"/>
      <c r="I1395" s="13"/>
      <c r="J1395" s="14"/>
      <c r="K1395" s="8"/>
      <c r="L1395" s="15"/>
      <c r="M1395" s="15"/>
      <c r="N1395" s="15"/>
      <c r="O1395" s="15"/>
      <c r="P1395" s="15"/>
      <c r="Q1395" s="15"/>
      <c r="R1395" s="15"/>
      <c r="S1395" s="15"/>
      <c r="T1395" s="15"/>
      <c r="U1395" s="15"/>
      <c r="V1395" s="15"/>
    </row>
    <row r="1396" ht="22.5" customHeight="1">
      <c r="A1396" s="7"/>
      <c r="B1396" s="8"/>
      <c r="C1396" s="8"/>
      <c r="D1396" s="8"/>
      <c r="E1396" s="16"/>
      <c r="F1396" s="10"/>
      <c r="G1396" s="19"/>
      <c r="H1396" s="18"/>
      <c r="I1396" s="13"/>
      <c r="J1396" s="14"/>
      <c r="K1396" s="8"/>
      <c r="L1396" s="15"/>
      <c r="M1396" s="15"/>
      <c r="N1396" s="15"/>
      <c r="O1396" s="15"/>
      <c r="P1396" s="15"/>
      <c r="Q1396" s="15"/>
      <c r="R1396" s="15"/>
      <c r="S1396" s="15"/>
      <c r="T1396" s="15"/>
      <c r="U1396" s="15"/>
      <c r="V1396" s="15"/>
    </row>
    <row r="1397" ht="22.5" customHeight="1">
      <c r="A1397" s="7"/>
      <c r="B1397" s="8"/>
      <c r="C1397" s="8"/>
      <c r="D1397" s="8"/>
      <c r="E1397" s="16"/>
      <c r="F1397" s="10"/>
      <c r="G1397" s="19"/>
      <c r="H1397" s="18"/>
      <c r="I1397" s="13"/>
      <c r="J1397" s="14"/>
      <c r="K1397" s="8"/>
      <c r="L1397" s="15"/>
      <c r="M1397" s="15"/>
      <c r="N1397" s="15"/>
      <c r="O1397" s="15"/>
      <c r="P1397" s="15"/>
      <c r="Q1397" s="15"/>
      <c r="R1397" s="15"/>
      <c r="S1397" s="15"/>
      <c r="T1397" s="15"/>
      <c r="U1397" s="15"/>
      <c r="V1397" s="15"/>
    </row>
    <row r="1398" ht="22.5" customHeight="1">
      <c r="A1398" s="7"/>
      <c r="B1398" s="8"/>
      <c r="C1398" s="8"/>
      <c r="D1398" s="8"/>
      <c r="E1398" s="16"/>
      <c r="F1398" s="10"/>
      <c r="G1398" s="19"/>
      <c r="H1398" s="18"/>
      <c r="I1398" s="13"/>
      <c r="J1398" s="14"/>
      <c r="K1398" s="8"/>
      <c r="L1398" s="15"/>
      <c r="M1398" s="15"/>
      <c r="N1398" s="15"/>
      <c r="O1398" s="15"/>
      <c r="P1398" s="15"/>
      <c r="Q1398" s="15"/>
      <c r="R1398" s="15"/>
      <c r="S1398" s="15"/>
      <c r="T1398" s="15"/>
      <c r="U1398" s="15"/>
      <c r="V1398" s="15"/>
    </row>
    <row r="1399" ht="22.5" customHeight="1">
      <c r="A1399" s="7"/>
      <c r="B1399" s="8"/>
      <c r="C1399" s="8"/>
      <c r="D1399" s="8"/>
      <c r="E1399" s="16"/>
      <c r="F1399" s="10"/>
      <c r="G1399" s="19"/>
      <c r="H1399" s="18"/>
      <c r="I1399" s="13"/>
      <c r="J1399" s="14"/>
      <c r="K1399" s="8"/>
      <c r="L1399" s="15"/>
      <c r="M1399" s="15"/>
      <c r="N1399" s="15"/>
      <c r="O1399" s="15"/>
      <c r="P1399" s="15"/>
      <c r="Q1399" s="15"/>
      <c r="R1399" s="15"/>
      <c r="S1399" s="15"/>
      <c r="T1399" s="15"/>
      <c r="U1399" s="15"/>
      <c r="V1399" s="15"/>
    </row>
    <row r="1400" ht="22.5" customHeight="1">
      <c r="A1400" s="7"/>
      <c r="B1400" s="8"/>
      <c r="C1400" s="8"/>
      <c r="D1400" s="8"/>
      <c r="E1400" s="16"/>
      <c r="F1400" s="10"/>
      <c r="G1400" s="19"/>
      <c r="H1400" s="18"/>
      <c r="I1400" s="13"/>
      <c r="J1400" s="14"/>
      <c r="K1400" s="8"/>
      <c r="L1400" s="15"/>
      <c r="M1400" s="15"/>
      <c r="N1400" s="15"/>
      <c r="O1400" s="15"/>
      <c r="P1400" s="15"/>
      <c r="Q1400" s="15"/>
      <c r="R1400" s="15"/>
      <c r="S1400" s="15"/>
      <c r="T1400" s="15"/>
      <c r="U1400" s="15"/>
      <c r="V1400" s="15"/>
    </row>
    <row r="1401" ht="22.5" customHeight="1">
      <c r="A1401" s="7"/>
      <c r="B1401" s="8"/>
      <c r="C1401" s="8"/>
      <c r="D1401" s="8"/>
      <c r="E1401" s="16"/>
      <c r="F1401" s="10"/>
      <c r="G1401" s="19"/>
      <c r="H1401" s="18"/>
      <c r="I1401" s="13"/>
      <c r="J1401" s="14"/>
      <c r="K1401" s="8"/>
      <c r="L1401" s="15"/>
      <c r="M1401" s="15"/>
      <c r="N1401" s="15"/>
      <c r="O1401" s="15"/>
      <c r="P1401" s="15"/>
      <c r="Q1401" s="15"/>
      <c r="R1401" s="15"/>
      <c r="S1401" s="15"/>
      <c r="T1401" s="15"/>
      <c r="U1401" s="15"/>
      <c r="V1401" s="15"/>
    </row>
    <row r="1402" ht="22.5" customHeight="1">
      <c r="A1402" s="7"/>
      <c r="B1402" s="8"/>
      <c r="C1402" s="8"/>
      <c r="D1402" s="8"/>
      <c r="E1402" s="16"/>
      <c r="F1402" s="10"/>
      <c r="G1402" s="19"/>
      <c r="H1402" s="18"/>
      <c r="I1402" s="13"/>
      <c r="J1402" s="14"/>
      <c r="K1402" s="8"/>
      <c r="L1402" s="15"/>
      <c r="M1402" s="15"/>
      <c r="N1402" s="15"/>
      <c r="O1402" s="15"/>
      <c r="P1402" s="15"/>
      <c r="Q1402" s="15"/>
      <c r="R1402" s="15"/>
      <c r="S1402" s="15"/>
      <c r="T1402" s="15"/>
      <c r="U1402" s="15"/>
      <c r="V1402" s="15"/>
    </row>
    <row r="1403" ht="22.5" customHeight="1">
      <c r="A1403" s="7"/>
      <c r="B1403" s="8"/>
      <c r="C1403" s="8"/>
      <c r="D1403" s="8"/>
      <c r="E1403" s="16"/>
      <c r="F1403" s="10"/>
      <c r="G1403" s="19"/>
      <c r="H1403" s="18"/>
      <c r="I1403" s="13"/>
      <c r="J1403" s="14"/>
      <c r="K1403" s="8"/>
      <c r="L1403" s="15"/>
      <c r="M1403" s="15"/>
      <c r="N1403" s="15"/>
      <c r="O1403" s="15"/>
      <c r="P1403" s="15"/>
      <c r="Q1403" s="15"/>
      <c r="R1403" s="15"/>
      <c r="S1403" s="15"/>
      <c r="T1403" s="15"/>
      <c r="U1403" s="15"/>
      <c r="V1403" s="15"/>
    </row>
    <row r="1404" ht="22.5" customHeight="1">
      <c r="A1404" s="7"/>
      <c r="B1404" s="8"/>
      <c r="C1404" s="8"/>
      <c r="D1404" s="8"/>
      <c r="E1404" s="16"/>
      <c r="F1404" s="10"/>
      <c r="G1404" s="19"/>
      <c r="H1404" s="18"/>
      <c r="I1404" s="13"/>
      <c r="J1404" s="14"/>
      <c r="K1404" s="8"/>
      <c r="L1404" s="15"/>
      <c r="M1404" s="15"/>
      <c r="N1404" s="15"/>
      <c r="O1404" s="15"/>
      <c r="P1404" s="15"/>
      <c r="Q1404" s="15"/>
      <c r="R1404" s="15"/>
      <c r="S1404" s="15"/>
      <c r="T1404" s="15"/>
      <c r="U1404" s="15"/>
      <c r="V1404" s="15"/>
    </row>
    <row r="1405" ht="22.5" customHeight="1">
      <c r="A1405" s="7"/>
      <c r="B1405" s="8"/>
      <c r="C1405" s="8"/>
      <c r="D1405" s="8"/>
      <c r="E1405" s="16"/>
      <c r="F1405" s="10"/>
      <c r="G1405" s="19"/>
      <c r="H1405" s="18"/>
      <c r="I1405" s="13"/>
      <c r="J1405" s="14"/>
      <c r="K1405" s="8"/>
      <c r="L1405" s="15"/>
      <c r="M1405" s="15"/>
      <c r="N1405" s="15"/>
      <c r="O1405" s="15"/>
      <c r="P1405" s="15"/>
      <c r="Q1405" s="15"/>
      <c r="R1405" s="15"/>
      <c r="S1405" s="15"/>
      <c r="T1405" s="15"/>
      <c r="U1405" s="15"/>
      <c r="V1405" s="15"/>
    </row>
    <row r="1406" ht="22.5" customHeight="1">
      <c r="A1406" s="7"/>
      <c r="B1406" s="8"/>
      <c r="C1406" s="8"/>
      <c r="D1406" s="8"/>
      <c r="E1406" s="16"/>
      <c r="F1406" s="10"/>
      <c r="G1406" s="19"/>
      <c r="H1406" s="18"/>
      <c r="I1406" s="13"/>
      <c r="J1406" s="14"/>
      <c r="K1406" s="8"/>
      <c r="L1406" s="15"/>
      <c r="M1406" s="15"/>
      <c r="N1406" s="15"/>
      <c r="O1406" s="15"/>
      <c r="P1406" s="15"/>
      <c r="Q1406" s="15"/>
      <c r="R1406" s="15"/>
      <c r="S1406" s="15"/>
      <c r="T1406" s="15"/>
      <c r="U1406" s="15"/>
      <c r="V1406" s="15"/>
    </row>
    <row r="1407" ht="22.5" customHeight="1">
      <c r="A1407" s="7"/>
      <c r="B1407" s="8"/>
      <c r="C1407" s="8"/>
      <c r="D1407" s="8"/>
      <c r="E1407" s="16"/>
      <c r="F1407" s="10"/>
      <c r="G1407" s="19"/>
      <c r="H1407" s="18"/>
      <c r="I1407" s="13"/>
      <c r="J1407" s="14"/>
      <c r="K1407" s="8"/>
      <c r="L1407" s="15"/>
      <c r="M1407" s="15"/>
      <c r="N1407" s="15"/>
      <c r="O1407" s="15"/>
      <c r="P1407" s="15"/>
      <c r="Q1407" s="15"/>
      <c r="R1407" s="15"/>
      <c r="S1407" s="15"/>
      <c r="T1407" s="15"/>
      <c r="U1407" s="15"/>
      <c r="V1407" s="15"/>
    </row>
    <row r="1408" ht="22.5" customHeight="1">
      <c r="A1408" s="7"/>
      <c r="B1408" s="8"/>
      <c r="C1408" s="8"/>
      <c r="D1408" s="8"/>
      <c r="E1408" s="16"/>
      <c r="F1408" s="10"/>
      <c r="G1408" s="19"/>
      <c r="H1408" s="18"/>
      <c r="I1408" s="13"/>
      <c r="J1408" s="14"/>
      <c r="K1408" s="8"/>
      <c r="L1408" s="15"/>
      <c r="M1408" s="15"/>
      <c r="N1408" s="15"/>
      <c r="O1408" s="15"/>
      <c r="P1408" s="15"/>
      <c r="Q1408" s="15"/>
      <c r="R1408" s="15"/>
      <c r="S1408" s="15"/>
      <c r="T1408" s="15"/>
      <c r="U1408" s="15"/>
      <c r="V1408" s="15"/>
    </row>
    <row r="1409" ht="22.5" customHeight="1">
      <c r="A1409" s="7"/>
      <c r="B1409" s="8"/>
      <c r="C1409" s="8"/>
      <c r="D1409" s="8"/>
      <c r="E1409" s="16"/>
      <c r="F1409" s="10"/>
      <c r="G1409" s="19"/>
      <c r="H1409" s="18"/>
      <c r="I1409" s="13"/>
      <c r="J1409" s="14"/>
      <c r="K1409" s="8"/>
      <c r="L1409" s="15"/>
      <c r="M1409" s="15"/>
      <c r="N1409" s="15"/>
      <c r="O1409" s="15"/>
      <c r="P1409" s="15"/>
      <c r="Q1409" s="15"/>
      <c r="R1409" s="15"/>
      <c r="S1409" s="15"/>
      <c r="T1409" s="15"/>
      <c r="U1409" s="15"/>
      <c r="V1409" s="15"/>
    </row>
    <row r="1410" ht="22.5" customHeight="1">
      <c r="A1410" s="7"/>
      <c r="B1410" s="8"/>
      <c r="C1410" s="8"/>
      <c r="D1410" s="8"/>
      <c r="E1410" s="16"/>
      <c r="F1410" s="10"/>
      <c r="G1410" s="19"/>
      <c r="H1410" s="18"/>
      <c r="I1410" s="13"/>
      <c r="J1410" s="14"/>
      <c r="K1410" s="8"/>
      <c r="L1410" s="15"/>
      <c r="M1410" s="15"/>
      <c r="N1410" s="15"/>
      <c r="O1410" s="15"/>
      <c r="P1410" s="15"/>
      <c r="Q1410" s="15"/>
      <c r="R1410" s="15"/>
      <c r="S1410" s="15"/>
      <c r="T1410" s="15"/>
      <c r="U1410" s="15"/>
      <c r="V1410" s="15"/>
    </row>
    <row r="1411" ht="22.5" customHeight="1">
      <c r="A1411" s="7"/>
      <c r="B1411" s="8"/>
      <c r="C1411" s="8"/>
      <c r="D1411" s="8"/>
      <c r="E1411" s="16"/>
      <c r="F1411" s="10"/>
      <c r="G1411" s="19"/>
      <c r="H1411" s="18"/>
      <c r="I1411" s="13"/>
      <c r="J1411" s="14"/>
      <c r="K1411" s="8"/>
      <c r="L1411" s="15"/>
      <c r="M1411" s="15"/>
      <c r="N1411" s="15"/>
      <c r="O1411" s="15"/>
      <c r="P1411" s="15"/>
      <c r="Q1411" s="15"/>
      <c r="R1411" s="15"/>
      <c r="S1411" s="15"/>
      <c r="T1411" s="15"/>
      <c r="U1411" s="15"/>
      <c r="V1411" s="15"/>
    </row>
    <row r="1412" ht="22.5" customHeight="1">
      <c r="A1412" s="7"/>
      <c r="B1412" s="8"/>
      <c r="C1412" s="8"/>
      <c r="D1412" s="8"/>
      <c r="E1412" s="16"/>
      <c r="F1412" s="10"/>
      <c r="G1412" s="19"/>
      <c r="H1412" s="18"/>
      <c r="I1412" s="13"/>
      <c r="J1412" s="14"/>
      <c r="K1412" s="8"/>
      <c r="L1412" s="15"/>
      <c r="M1412" s="15"/>
      <c r="N1412" s="15"/>
      <c r="O1412" s="15"/>
      <c r="P1412" s="15"/>
      <c r="Q1412" s="15"/>
      <c r="R1412" s="15"/>
      <c r="S1412" s="15"/>
      <c r="T1412" s="15"/>
      <c r="U1412" s="15"/>
      <c r="V1412" s="15"/>
    </row>
    <row r="1413" ht="22.5" customHeight="1">
      <c r="A1413" s="7"/>
      <c r="B1413" s="8"/>
      <c r="C1413" s="8"/>
      <c r="D1413" s="8"/>
      <c r="E1413" s="16"/>
      <c r="F1413" s="10"/>
      <c r="G1413" s="19"/>
      <c r="H1413" s="18"/>
      <c r="I1413" s="13"/>
      <c r="J1413" s="14"/>
      <c r="K1413" s="8"/>
      <c r="L1413" s="15"/>
      <c r="M1413" s="15"/>
      <c r="N1413" s="15"/>
      <c r="O1413" s="15"/>
      <c r="P1413" s="15"/>
      <c r="Q1413" s="15"/>
      <c r="R1413" s="15"/>
      <c r="S1413" s="15"/>
      <c r="T1413" s="15"/>
      <c r="U1413" s="15"/>
      <c r="V1413" s="15"/>
    </row>
    <row r="1414" ht="22.5" customHeight="1">
      <c r="A1414" s="7"/>
      <c r="B1414" s="8"/>
      <c r="C1414" s="8"/>
      <c r="D1414" s="8"/>
      <c r="E1414" s="16"/>
      <c r="F1414" s="10"/>
      <c r="G1414" s="19"/>
      <c r="H1414" s="18"/>
      <c r="I1414" s="13"/>
      <c r="J1414" s="14"/>
      <c r="K1414" s="8"/>
      <c r="L1414" s="15"/>
      <c r="M1414" s="15"/>
      <c r="N1414" s="15"/>
      <c r="O1414" s="15"/>
      <c r="P1414" s="15"/>
      <c r="Q1414" s="15"/>
      <c r="R1414" s="15"/>
      <c r="S1414" s="15"/>
      <c r="T1414" s="15"/>
      <c r="U1414" s="15"/>
      <c r="V1414" s="15"/>
    </row>
    <row r="1415" ht="22.5" customHeight="1">
      <c r="A1415" s="7"/>
      <c r="B1415" s="8"/>
      <c r="C1415" s="8"/>
      <c r="D1415" s="8"/>
      <c r="E1415" s="16"/>
      <c r="F1415" s="10"/>
      <c r="G1415" s="19"/>
      <c r="H1415" s="18"/>
      <c r="I1415" s="13"/>
      <c r="J1415" s="14"/>
      <c r="K1415" s="8"/>
      <c r="L1415" s="15"/>
      <c r="M1415" s="15"/>
      <c r="N1415" s="15"/>
      <c r="O1415" s="15"/>
      <c r="P1415" s="15"/>
      <c r="Q1415" s="15"/>
      <c r="R1415" s="15"/>
      <c r="S1415" s="15"/>
      <c r="T1415" s="15"/>
      <c r="U1415" s="15"/>
      <c r="V1415" s="15"/>
    </row>
    <row r="1416" ht="22.5" customHeight="1">
      <c r="A1416" s="7"/>
      <c r="B1416" s="8"/>
      <c r="C1416" s="8"/>
      <c r="D1416" s="8"/>
      <c r="E1416" s="16"/>
      <c r="F1416" s="10"/>
      <c r="G1416" s="19"/>
      <c r="H1416" s="18"/>
      <c r="I1416" s="13"/>
      <c r="J1416" s="14"/>
      <c r="K1416" s="8"/>
      <c r="L1416" s="15"/>
      <c r="M1416" s="15"/>
      <c r="N1416" s="15"/>
      <c r="O1416" s="15"/>
      <c r="P1416" s="15"/>
      <c r="Q1416" s="15"/>
      <c r="R1416" s="15"/>
      <c r="S1416" s="15"/>
      <c r="T1416" s="15"/>
      <c r="U1416" s="15"/>
      <c r="V1416" s="15"/>
    </row>
    <row r="1417" ht="22.5" customHeight="1">
      <c r="A1417" s="7"/>
      <c r="B1417" s="8"/>
      <c r="C1417" s="8"/>
      <c r="D1417" s="8"/>
      <c r="E1417" s="16"/>
      <c r="F1417" s="10"/>
      <c r="G1417" s="19"/>
      <c r="H1417" s="18"/>
      <c r="I1417" s="13"/>
      <c r="J1417" s="14"/>
      <c r="K1417" s="8"/>
      <c r="L1417" s="15"/>
      <c r="M1417" s="15"/>
      <c r="N1417" s="15"/>
      <c r="O1417" s="15"/>
      <c r="P1417" s="15"/>
      <c r="Q1417" s="15"/>
      <c r="R1417" s="15"/>
      <c r="S1417" s="15"/>
      <c r="T1417" s="15"/>
      <c r="U1417" s="15"/>
      <c r="V1417" s="15"/>
    </row>
    <row r="1418" ht="22.5" customHeight="1">
      <c r="A1418" s="7"/>
      <c r="B1418" s="8"/>
      <c r="C1418" s="8"/>
      <c r="D1418" s="8"/>
      <c r="E1418" s="16"/>
      <c r="F1418" s="10"/>
      <c r="G1418" s="19"/>
      <c r="H1418" s="18"/>
      <c r="I1418" s="13"/>
      <c r="J1418" s="14"/>
      <c r="K1418" s="8"/>
      <c r="L1418" s="15"/>
      <c r="M1418" s="15"/>
      <c r="N1418" s="15"/>
      <c r="O1418" s="15"/>
      <c r="P1418" s="15"/>
      <c r="Q1418" s="15"/>
      <c r="R1418" s="15"/>
      <c r="S1418" s="15"/>
      <c r="T1418" s="15"/>
      <c r="U1418" s="15"/>
      <c r="V1418" s="15"/>
    </row>
    <row r="1419" ht="22.5" customHeight="1">
      <c r="A1419" s="7"/>
      <c r="B1419" s="8"/>
      <c r="C1419" s="8"/>
      <c r="D1419" s="8"/>
      <c r="E1419" s="16"/>
      <c r="F1419" s="10"/>
      <c r="G1419" s="19"/>
      <c r="H1419" s="18"/>
      <c r="I1419" s="13"/>
      <c r="J1419" s="14"/>
      <c r="K1419" s="8"/>
      <c r="L1419" s="15"/>
      <c r="M1419" s="15"/>
      <c r="N1419" s="15"/>
      <c r="O1419" s="15"/>
      <c r="P1419" s="15"/>
      <c r="Q1419" s="15"/>
      <c r="R1419" s="15"/>
      <c r="S1419" s="15"/>
      <c r="T1419" s="15"/>
      <c r="U1419" s="15"/>
      <c r="V1419" s="15"/>
    </row>
    <row r="1420" ht="22.5" customHeight="1">
      <c r="A1420" s="7"/>
      <c r="B1420" s="8"/>
      <c r="C1420" s="8"/>
      <c r="D1420" s="8"/>
      <c r="E1420" s="16"/>
      <c r="F1420" s="10"/>
      <c r="G1420" s="19"/>
      <c r="H1420" s="18"/>
      <c r="I1420" s="13"/>
      <c r="J1420" s="14"/>
      <c r="K1420" s="8"/>
      <c r="L1420" s="15"/>
      <c r="M1420" s="15"/>
      <c r="N1420" s="15"/>
      <c r="O1420" s="15"/>
      <c r="P1420" s="15"/>
      <c r="Q1420" s="15"/>
      <c r="R1420" s="15"/>
      <c r="S1420" s="15"/>
      <c r="T1420" s="15"/>
      <c r="U1420" s="15"/>
      <c r="V1420" s="15"/>
    </row>
    <row r="1421" ht="22.5" customHeight="1">
      <c r="A1421" s="7"/>
      <c r="B1421" s="8"/>
      <c r="C1421" s="8"/>
      <c r="D1421" s="8"/>
      <c r="E1421" s="16"/>
      <c r="F1421" s="10"/>
      <c r="G1421" s="19"/>
      <c r="H1421" s="18"/>
      <c r="I1421" s="13"/>
      <c r="J1421" s="14"/>
      <c r="K1421" s="8"/>
      <c r="L1421" s="15"/>
      <c r="M1421" s="15"/>
      <c r="N1421" s="15"/>
      <c r="O1421" s="15"/>
      <c r="P1421" s="15"/>
      <c r="Q1421" s="15"/>
      <c r="R1421" s="15"/>
      <c r="S1421" s="15"/>
      <c r="T1421" s="15"/>
      <c r="U1421" s="15"/>
      <c r="V1421" s="15"/>
    </row>
    <row r="1422" ht="22.5" customHeight="1">
      <c r="A1422" s="7"/>
      <c r="B1422" s="8"/>
      <c r="C1422" s="8"/>
      <c r="D1422" s="8"/>
      <c r="E1422" s="16"/>
      <c r="F1422" s="10"/>
      <c r="G1422" s="19"/>
      <c r="H1422" s="18"/>
      <c r="I1422" s="13"/>
      <c r="J1422" s="14"/>
      <c r="K1422" s="8"/>
      <c r="L1422" s="15"/>
      <c r="M1422" s="15"/>
      <c r="N1422" s="15"/>
      <c r="O1422" s="15"/>
      <c r="P1422" s="15"/>
      <c r="Q1422" s="15"/>
      <c r="R1422" s="15"/>
      <c r="S1422" s="15"/>
      <c r="T1422" s="15"/>
      <c r="U1422" s="15"/>
      <c r="V1422" s="15"/>
    </row>
    <row r="1423" ht="22.5" customHeight="1">
      <c r="A1423" s="7"/>
      <c r="B1423" s="8"/>
      <c r="C1423" s="8"/>
      <c r="D1423" s="8"/>
      <c r="E1423" s="16"/>
      <c r="F1423" s="10"/>
      <c r="G1423" s="19"/>
      <c r="H1423" s="18"/>
      <c r="I1423" s="13"/>
      <c r="J1423" s="14"/>
      <c r="K1423" s="8"/>
      <c r="L1423" s="15"/>
      <c r="M1423" s="15"/>
      <c r="N1423" s="15"/>
      <c r="O1423" s="15"/>
      <c r="P1423" s="15"/>
      <c r="Q1423" s="15"/>
      <c r="R1423" s="15"/>
      <c r="S1423" s="15"/>
      <c r="T1423" s="15"/>
      <c r="U1423" s="15"/>
      <c r="V1423" s="15"/>
    </row>
    <row r="1424" ht="22.5" customHeight="1">
      <c r="A1424" s="7"/>
      <c r="B1424" s="8"/>
      <c r="C1424" s="8"/>
      <c r="D1424" s="8"/>
      <c r="E1424" s="16"/>
      <c r="F1424" s="10"/>
      <c r="G1424" s="19"/>
      <c r="H1424" s="18"/>
      <c r="I1424" s="13"/>
      <c r="J1424" s="14"/>
      <c r="K1424" s="8"/>
      <c r="L1424" s="15"/>
      <c r="M1424" s="15"/>
      <c r="N1424" s="15"/>
      <c r="O1424" s="15"/>
      <c r="P1424" s="15"/>
      <c r="Q1424" s="15"/>
      <c r="R1424" s="15"/>
      <c r="S1424" s="15"/>
      <c r="T1424" s="15"/>
      <c r="U1424" s="15"/>
      <c r="V1424" s="15"/>
    </row>
    <row r="1425" ht="22.5" customHeight="1">
      <c r="A1425" s="7"/>
      <c r="B1425" s="8"/>
      <c r="C1425" s="8"/>
      <c r="D1425" s="8"/>
      <c r="E1425" s="16"/>
      <c r="F1425" s="10"/>
      <c r="G1425" s="19"/>
      <c r="H1425" s="18"/>
      <c r="I1425" s="13"/>
      <c r="J1425" s="14"/>
      <c r="K1425" s="8"/>
      <c r="L1425" s="15"/>
      <c r="M1425" s="15"/>
      <c r="N1425" s="15"/>
      <c r="O1425" s="15"/>
      <c r="P1425" s="15"/>
      <c r="Q1425" s="15"/>
      <c r="R1425" s="15"/>
      <c r="S1425" s="15"/>
      <c r="T1425" s="15"/>
      <c r="U1425" s="15"/>
      <c r="V1425" s="15"/>
    </row>
    <row r="1426" ht="22.5" customHeight="1">
      <c r="A1426" s="7"/>
      <c r="B1426" s="8"/>
      <c r="C1426" s="8"/>
      <c r="D1426" s="8"/>
      <c r="E1426" s="16"/>
      <c r="F1426" s="10"/>
      <c r="G1426" s="19"/>
      <c r="H1426" s="18"/>
      <c r="I1426" s="13"/>
      <c r="J1426" s="14"/>
      <c r="K1426" s="8"/>
      <c r="L1426" s="15"/>
      <c r="M1426" s="15"/>
      <c r="N1426" s="15"/>
      <c r="O1426" s="15"/>
      <c r="P1426" s="15"/>
      <c r="Q1426" s="15"/>
      <c r="R1426" s="15"/>
      <c r="S1426" s="15"/>
      <c r="T1426" s="15"/>
      <c r="U1426" s="15"/>
      <c r="V1426" s="15"/>
    </row>
    <row r="1427" ht="22.5" customHeight="1">
      <c r="A1427" s="7"/>
      <c r="B1427" s="8"/>
      <c r="C1427" s="8"/>
      <c r="D1427" s="8"/>
      <c r="E1427" s="16"/>
      <c r="F1427" s="10"/>
      <c r="G1427" s="19"/>
      <c r="H1427" s="18"/>
      <c r="I1427" s="13"/>
      <c r="J1427" s="14"/>
      <c r="K1427" s="8"/>
      <c r="L1427" s="15"/>
      <c r="M1427" s="15"/>
      <c r="N1427" s="15"/>
      <c r="O1427" s="15"/>
      <c r="P1427" s="15"/>
      <c r="Q1427" s="15"/>
      <c r="R1427" s="15"/>
      <c r="S1427" s="15"/>
      <c r="T1427" s="15"/>
      <c r="U1427" s="15"/>
      <c r="V1427" s="15"/>
    </row>
    <row r="1428" ht="22.5" customHeight="1">
      <c r="A1428" s="7"/>
      <c r="B1428" s="8"/>
      <c r="C1428" s="8"/>
      <c r="D1428" s="8"/>
      <c r="E1428" s="16"/>
      <c r="F1428" s="10"/>
      <c r="G1428" s="19"/>
      <c r="H1428" s="18"/>
      <c r="I1428" s="13"/>
      <c r="J1428" s="14"/>
      <c r="K1428" s="8"/>
      <c r="L1428" s="15"/>
      <c r="M1428" s="15"/>
      <c r="N1428" s="15"/>
      <c r="O1428" s="15"/>
      <c r="P1428" s="15"/>
      <c r="Q1428" s="15"/>
      <c r="R1428" s="15"/>
      <c r="S1428" s="15"/>
      <c r="T1428" s="15"/>
      <c r="U1428" s="15"/>
      <c r="V1428" s="15"/>
    </row>
    <row r="1429" ht="22.5" customHeight="1">
      <c r="A1429" s="7"/>
      <c r="B1429" s="8"/>
      <c r="C1429" s="8"/>
      <c r="D1429" s="8"/>
      <c r="E1429" s="16"/>
      <c r="F1429" s="10"/>
      <c r="G1429" s="19"/>
      <c r="H1429" s="18"/>
      <c r="I1429" s="13"/>
      <c r="J1429" s="14"/>
      <c r="K1429" s="8"/>
      <c r="L1429" s="15"/>
      <c r="M1429" s="15"/>
      <c r="N1429" s="15"/>
      <c r="O1429" s="15"/>
      <c r="P1429" s="15"/>
      <c r="Q1429" s="15"/>
      <c r="R1429" s="15"/>
      <c r="S1429" s="15"/>
      <c r="T1429" s="15"/>
      <c r="U1429" s="15"/>
      <c r="V1429" s="15"/>
    </row>
    <row r="1430" ht="22.5" customHeight="1">
      <c r="A1430" s="7"/>
      <c r="B1430" s="8"/>
      <c r="C1430" s="8"/>
      <c r="D1430" s="8"/>
      <c r="E1430" s="16"/>
      <c r="F1430" s="10"/>
      <c r="G1430" s="19"/>
      <c r="H1430" s="18"/>
      <c r="I1430" s="13"/>
      <c r="J1430" s="14"/>
      <c r="K1430" s="8"/>
      <c r="L1430" s="15"/>
      <c r="M1430" s="15"/>
      <c r="N1430" s="15"/>
      <c r="O1430" s="15"/>
      <c r="P1430" s="15"/>
      <c r="Q1430" s="15"/>
      <c r="R1430" s="15"/>
      <c r="S1430" s="15"/>
      <c r="T1430" s="15"/>
      <c r="U1430" s="15"/>
      <c r="V1430" s="15"/>
    </row>
    <row r="1431" ht="22.5" customHeight="1">
      <c r="A1431" s="7"/>
      <c r="B1431" s="8"/>
      <c r="C1431" s="8"/>
      <c r="D1431" s="8"/>
      <c r="E1431" s="16"/>
      <c r="F1431" s="10"/>
      <c r="G1431" s="19"/>
      <c r="H1431" s="18"/>
      <c r="I1431" s="13"/>
      <c r="J1431" s="14"/>
      <c r="K1431" s="8"/>
      <c r="L1431" s="15"/>
      <c r="M1431" s="15"/>
      <c r="N1431" s="15"/>
      <c r="O1431" s="15"/>
      <c r="P1431" s="15"/>
      <c r="Q1431" s="15"/>
      <c r="R1431" s="15"/>
      <c r="S1431" s="15"/>
      <c r="T1431" s="15"/>
      <c r="U1431" s="15"/>
      <c r="V1431" s="15"/>
    </row>
    <row r="1432" ht="22.5" customHeight="1">
      <c r="A1432" s="7"/>
      <c r="B1432" s="8"/>
      <c r="C1432" s="8"/>
      <c r="D1432" s="8"/>
      <c r="E1432" s="16"/>
      <c r="F1432" s="10"/>
      <c r="G1432" s="19"/>
      <c r="H1432" s="18"/>
      <c r="I1432" s="13"/>
      <c r="J1432" s="14"/>
      <c r="K1432" s="8"/>
      <c r="L1432" s="15"/>
      <c r="M1432" s="15"/>
      <c r="N1432" s="15"/>
      <c r="O1432" s="15"/>
      <c r="P1432" s="15"/>
      <c r="Q1432" s="15"/>
      <c r="R1432" s="15"/>
      <c r="S1432" s="15"/>
      <c r="T1432" s="15"/>
      <c r="U1432" s="15"/>
      <c r="V1432" s="15"/>
    </row>
    <row r="1433" ht="22.5" customHeight="1">
      <c r="A1433" s="7"/>
      <c r="B1433" s="8"/>
      <c r="C1433" s="8"/>
      <c r="D1433" s="8"/>
      <c r="E1433" s="16"/>
      <c r="F1433" s="10"/>
      <c r="G1433" s="19"/>
      <c r="H1433" s="18"/>
      <c r="I1433" s="13"/>
      <c r="J1433" s="14"/>
      <c r="K1433" s="8"/>
      <c r="L1433" s="15"/>
      <c r="M1433" s="15"/>
      <c r="N1433" s="15"/>
      <c r="O1433" s="15"/>
      <c r="P1433" s="15"/>
      <c r="Q1433" s="15"/>
      <c r="R1433" s="15"/>
      <c r="S1433" s="15"/>
      <c r="T1433" s="15"/>
      <c r="U1433" s="15"/>
      <c r="V1433" s="15"/>
    </row>
    <row r="1434" ht="22.5" customHeight="1">
      <c r="A1434" s="7"/>
      <c r="B1434" s="8"/>
      <c r="C1434" s="8"/>
      <c r="D1434" s="8"/>
      <c r="E1434" s="16"/>
      <c r="F1434" s="10"/>
      <c r="G1434" s="19"/>
      <c r="H1434" s="18"/>
      <c r="I1434" s="13"/>
      <c r="J1434" s="14"/>
      <c r="K1434" s="8"/>
      <c r="L1434" s="15"/>
      <c r="M1434" s="15"/>
      <c r="N1434" s="15"/>
      <c r="O1434" s="15"/>
      <c r="P1434" s="15"/>
      <c r="Q1434" s="15"/>
      <c r="R1434" s="15"/>
      <c r="S1434" s="15"/>
      <c r="T1434" s="15"/>
      <c r="U1434" s="15"/>
      <c r="V1434" s="15"/>
    </row>
    <row r="1435" ht="22.5" customHeight="1">
      <c r="A1435" s="7"/>
      <c r="B1435" s="8"/>
      <c r="C1435" s="8"/>
      <c r="D1435" s="8"/>
      <c r="E1435" s="16"/>
      <c r="F1435" s="10"/>
      <c r="G1435" s="19"/>
      <c r="H1435" s="18"/>
      <c r="I1435" s="13"/>
      <c r="J1435" s="14"/>
      <c r="K1435" s="8"/>
      <c r="L1435" s="15"/>
      <c r="M1435" s="15"/>
      <c r="N1435" s="15"/>
      <c r="O1435" s="15"/>
      <c r="P1435" s="15"/>
      <c r="Q1435" s="15"/>
      <c r="R1435" s="15"/>
      <c r="S1435" s="15"/>
      <c r="T1435" s="15"/>
      <c r="U1435" s="15"/>
      <c r="V1435" s="15"/>
    </row>
    <row r="1436" ht="22.5" customHeight="1">
      <c r="A1436" s="7"/>
      <c r="B1436" s="8"/>
      <c r="C1436" s="8"/>
      <c r="D1436" s="8"/>
      <c r="E1436" s="16"/>
      <c r="F1436" s="10"/>
      <c r="G1436" s="19"/>
      <c r="H1436" s="18"/>
      <c r="I1436" s="13"/>
      <c r="J1436" s="14"/>
      <c r="K1436" s="8"/>
      <c r="L1436" s="15"/>
      <c r="M1436" s="15"/>
      <c r="N1436" s="15"/>
      <c r="O1436" s="15"/>
      <c r="P1436" s="15"/>
      <c r="Q1436" s="15"/>
      <c r="R1436" s="15"/>
      <c r="S1436" s="15"/>
      <c r="T1436" s="15"/>
      <c r="U1436" s="15"/>
      <c r="V1436" s="15"/>
    </row>
    <row r="1437" ht="22.5" customHeight="1">
      <c r="A1437" s="7"/>
      <c r="B1437" s="8"/>
      <c r="C1437" s="8"/>
      <c r="D1437" s="8"/>
      <c r="E1437" s="16"/>
      <c r="F1437" s="10"/>
      <c r="G1437" s="19"/>
      <c r="H1437" s="18"/>
      <c r="I1437" s="13"/>
      <c r="J1437" s="14"/>
      <c r="K1437" s="8"/>
      <c r="L1437" s="15"/>
      <c r="M1437" s="15"/>
      <c r="N1437" s="15"/>
      <c r="O1437" s="15"/>
      <c r="P1437" s="15"/>
      <c r="Q1437" s="15"/>
      <c r="R1437" s="15"/>
      <c r="S1437" s="15"/>
      <c r="T1437" s="15"/>
      <c r="U1437" s="15"/>
      <c r="V1437" s="15"/>
    </row>
    <row r="1438" ht="22.5" customHeight="1">
      <c r="A1438" s="7"/>
      <c r="B1438" s="8"/>
      <c r="C1438" s="8"/>
      <c r="D1438" s="8"/>
      <c r="E1438" s="16"/>
      <c r="F1438" s="10"/>
      <c r="G1438" s="19"/>
      <c r="H1438" s="18"/>
      <c r="I1438" s="13"/>
      <c r="J1438" s="14"/>
      <c r="K1438" s="8"/>
      <c r="L1438" s="15"/>
      <c r="M1438" s="15"/>
      <c r="N1438" s="15"/>
      <c r="O1438" s="15"/>
      <c r="P1438" s="15"/>
      <c r="Q1438" s="15"/>
      <c r="R1438" s="15"/>
      <c r="S1438" s="15"/>
      <c r="T1438" s="15"/>
      <c r="U1438" s="15"/>
      <c r="V1438" s="15"/>
    </row>
    <row r="1439" ht="22.5" customHeight="1">
      <c r="A1439" s="7"/>
      <c r="B1439" s="8"/>
      <c r="C1439" s="8"/>
      <c r="D1439" s="8"/>
      <c r="E1439" s="16"/>
      <c r="F1439" s="10"/>
      <c r="G1439" s="19"/>
      <c r="H1439" s="18"/>
      <c r="I1439" s="13"/>
      <c r="J1439" s="14"/>
      <c r="K1439" s="8"/>
      <c r="L1439" s="15"/>
      <c r="M1439" s="15"/>
      <c r="N1439" s="15"/>
      <c r="O1439" s="15"/>
      <c r="P1439" s="15"/>
      <c r="Q1439" s="15"/>
      <c r="R1439" s="15"/>
      <c r="S1439" s="15"/>
      <c r="T1439" s="15"/>
      <c r="U1439" s="15"/>
      <c r="V1439" s="15"/>
    </row>
    <row r="1440" ht="22.5" customHeight="1">
      <c r="A1440" s="7"/>
      <c r="B1440" s="8"/>
      <c r="C1440" s="8"/>
      <c r="D1440" s="8"/>
      <c r="E1440" s="16"/>
      <c r="F1440" s="10"/>
      <c r="G1440" s="19"/>
      <c r="H1440" s="18"/>
      <c r="I1440" s="13"/>
      <c r="J1440" s="14"/>
      <c r="K1440" s="8"/>
      <c r="L1440" s="15"/>
      <c r="M1440" s="15"/>
      <c r="N1440" s="15"/>
      <c r="O1440" s="15"/>
      <c r="P1440" s="15"/>
      <c r="Q1440" s="15"/>
      <c r="R1440" s="15"/>
      <c r="S1440" s="15"/>
      <c r="T1440" s="15"/>
      <c r="U1440" s="15"/>
      <c r="V1440" s="15"/>
    </row>
    <row r="1441" ht="22.5" customHeight="1">
      <c r="A1441" s="7"/>
      <c r="B1441" s="8"/>
      <c r="C1441" s="8"/>
      <c r="D1441" s="8"/>
      <c r="E1441" s="16"/>
      <c r="F1441" s="10"/>
      <c r="G1441" s="19"/>
      <c r="H1441" s="18"/>
      <c r="I1441" s="13"/>
      <c r="J1441" s="14"/>
      <c r="K1441" s="8"/>
      <c r="L1441" s="15"/>
      <c r="M1441" s="15"/>
      <c r="N1441" s="15"/>
      <c r="O1441" s="15"/>
      <c r="P1441" s="15"/>
      <c r="Q1441" s="15"/>
      <c r="R1441" s="15"/>
      <c r="S1441" s="15"/>
      <c r="T1441" s="15"/>
      <c r="U1441" s="15"/>
      <c r="V1441" s="15"/>
    </row>
    <row r="1442" ht="22.5" customHeight="1">
      <c r="A1442" s="7"/>
      <c r="B1442" s="8"/>
      <c r="C1442" s="8"/>
      <c r="D1442" s="8"/>
      <c r="E1442" s="16"/>
      <c r="F1442" s="10"/>
      <c r="G1442" s="19"/>
      <c r="H1442" s="18"/>
      <c r="I1442" s="13"/>
      <c r="J1442" s="14"/>
      <c r="K1442" s="8"/>
      <c r="L1442" s="15"/>
      <c r="M1442" s="15"/>
      <c r="N1442" s="15"/>
      <c r="O1442" s="15"/>
      <c r="P1442" s="15"/>
      <c r="Q1442" s="15"/>
      <c r="R1442" s="15"/>
      <c r="S1442" s="15"/>
      <c r="T1442" s="15"/>
      <c r="U1442" s="15"/>
      <c r="V1442" s="15"/>
    </row>
    <row r="1443" ht="22.5" customHeight="1">
      <c r="A1443" s="7"/>
      <c r="B1443" s="8"/>
      <c r="C1443" s="8"/>
      <c r="D1443" s="8"/>
      <c r="E1443" s="16"/>
      <c r="F1443" s="10"/>
      <c r="G1443" s="19"/>
      <c r="H1443" s="18"/>
      <c r="I1443" s="13"/>
      <c r="J1443" s="14"/>
      <c r="K1443" s="8"/>
      <c r="L1443" s="15"/>
      <c r="M1443" s="15"/>
      <c r="N1443" s="15"/>
      <c r="O1443" s="15"/>
      <c r="P1443" s="15"/>
      <c r="Q1443" s="15"/>
      <c r="R1443" s="15"/>
      <c r="S1443" s="15"/>
      <c r="T1443" s="15"/>
      <c r="U1443" s="15"/>
      <c r="V1443" s="15"/>
    </row>
    <row r="1444" ht="22.5" customHeight="1">
      <c r="A1444" s="7"/>
      <c r="B1444" s="8"/>
      <c r="C1444" s="8"/>
      <c r="D1444" s="8"/>
      <c r="E1444" s="16"/>
      <c r="F1444" s="10"/>
      <c r="G1444" s="19"/>
      <c r="H1444" s="18"/>
      <c r="I1444" s="13"/>
      <c r="J1444" s="14"/>
      <c r="K1444" s="8"/>
      <c r="L1444" s="15"/>
      <c r="M1444" s="15"/>
      <c r="N1444" s="15"/>
      <c r="O1444" s="15"/>
      <c r="P1444" s="15"/>
      <c r="Q1444" s="15"/>
      <c r="R1444" s="15"/>
      <c r="S1444" s="15"/>
      <c r="T1444" s="15"/>
      <c r="U1444" s="15"/>
      <c r="V1444" s="15"/>
    </row>
    <row r="1445" ht="22.5" customHeight="1">
      <c r="A1445" s="7"/>
      <c r="B1445" s="8"/>
      <c r="C1445" s="8"/>
      <c r="D1445" s="8"/>
      <c r="E1445" s="16"/>
      <c r="F1445" s="10"/>
      <c r="G1445" s="19"/>
      <c r="H1445" s="18"/>
      <c r="I1445" s="13"/>
      <c r="J1445" s="14"/>
      <c r="K1445" s="8"/>
      <c r="L1445" s="15"/>
      <c r="M1445" s="15"/>
      <c r="N1445" s="15"/>
      <c r="O1445" s="15"/>
      <c r="P1445" s="15"/>
      <c r="Q1445" s="15"/>
      <c r="R1445" s="15"/>
      <c r="S1445" s="15"/>
      <c r="T1445" s="15"/>
      <c r="U1445" s="15"/>
      <c r="V1445" s="15"/>
    </row>
    <row r="1446" ht="22.5" customHeight="1">
      <c r="A1446" s="7"/>
      <c r="B1446" s="8"/>
      <c r="C1446" s="8"/>
      <c r="D1446" s="8"/>
      <c r="E1446" s="16"/>
      <c r="F1446" s="10"/>
      <c r="G1446" s="19"/>
      <c r="H1446" s="18"/>
      <c r="I1446" s="13"/>
      <c r="J1446" s="14"/>
      <c r="K1446" s="8"/>
      <c r="L1446" s="15"/>
      <c r="M1446" s="15"/>
      <c r="N1446" s="15"/>
      <c r="O1446" s="15"/>
      <c r="P1446" s="15"/>
      <c r="Q1446" s="15"/>
      <c r="R1446" s="15"/>
      <c r="S1446" s="15"/>
      <c r="T1446" s="15"/>
      <c r="U1446" s="15"/>
      <c r="V1446" s="15"/>
    </row>
    <row r="1447" ht="22.5" customHeight="1">
      <c r="A1447" s="7"/>
      <c r="B1447" s="8"/>
      <c r="C1447" s="8"/>
      <c r="D1447" s="8"/>
      <c r="E1447" s="16"/>
      <c r="F1447" s="10"/>
      <c r="G1447" s="19"/>
      <c r="H1447" s="18"/>
      <c r="I1447" s="13"/>
      <c r="J1447" s="14"/>
      <c r="K1447" s="8"/>
      <c r="L1447" s="15"/>
      <c r="M1447" s="15"/>
      <c r="N1447" s="15"/>
      <c r="O1447" s="15"/>
      <c r="P1447" s="15"/>
      <c r="Q1447" s="15"/>
      <c r="R1447" s="15"/>
      <c r="S1447" s="15"/>
      <c r="T1447" s="15"/>
      <c r="U1447" s="15"/>
      <c r="V1447" s="15"/>
    </row>
    <row r="1448" ht="22.5" customHeight="1">
      <c r="A1448" s="7"/>
      <c r="B1448" s="8"/>
      <c r="C1448" s="8"/>
      <c r="D1448" s="8"/>
      <c r="E1448" s="16"/>
      <c r="F1448" s="10"/>
      <c r="G1448" s="19"/>
      <c r="H1448" s="18"/>
      <c r="I1448" s="13"/>
      <c r="J1448" s="14"/>
      <c r="K1448" s="8"/>
      <c r="L1448" s="15"/>
      <c r="M1448" s="15"/>
      <c r="N1448" s="15"/>
      <c r="O1448" s="15"/>
      <c r="P1448" s="15"/>
      <c r="Q1448" s="15"/>
      <c r="R1448" s="15"/>
      <c r="S1448" s="15"/>
      <c r="T1448" s="15"/>
      <c r="U1448" s="15"/>
      <c r="V1448" s="15"/>
    </row>
    <row r="1449" ht="22.5" customHeight="1">
      <c r="A1449" s="7"/>
      <c r="B1449" s="8"/>
      <c r="C1449" s="8"/>
      <c r="D1449" s="8"/>
      <c r="E1449" s="16"/>
      <c r="F1449" s="10"/>
      <c r="G1449" s="19"/>
      <c r="H1449" s="18"/>
      <c r="I1449" s="13"/>
      <c r="J1449" s="14"/>
      <c r="K1449" s="8"/>
      <c r="L1449" s="15"/>
      <c r="M1449" s="15"/>
      <c r="N1449" s="15"/>
      <c r="O1449" s="15"/>
      <c r="P1449" s="15"/>
      <c r="Q1449" s="15"/>
      <c r="R1449" s="15"/>
      <c r="S1449" s="15"/>
      <c r="T1449" s="15"/>
      <c r="U1449" s="15"/>
      <c r="V1449" s="15"/>
    </row>
    <row r="1450" ht="22.5" customHeight="1">
      <c r="A1450" s="7"/>
      <c r="B1450" s="8"/>
      <c r="C1450" s="8"/>
      <c r="D1450" s="8"/>
      <c r="E1450" s="16"/>
      <c r="F1450" s="10"/>
      <c r="G1450" s="19"/>
      <c r="H1450" s="18"/>
      <c r="I1450" s="13"/>
      <c r="J1450" s="14"/>
      <c r="K1450" s="8"/>
      <c r="L1450" s="15"/>
      <c r="M1450" s="15"/>
      <c r="N1450" s="15"/>
      <c r="O1450" s="15"/>
      <c r="P1450" s="15"/>
      <c r="Q1450" s="15"/>
      <c r="R1450" s="15"/>
      <c r="S1450" s="15"/>
      <c r="T1450" s="15"/>
      <c r="U1450" s="15"/>
      <c r="V1450" s="15"/>
    </row>
    <row r="1451" ht="22.5" customHeight="1">
      <c r="A1451" s="7"/>
      <c r="B1451" s="8"/>
      <c r="C1451" s="8"/>
      <c r="D1451" s="8"/>
      <c r="E1451" s="16"/>
      <c r="F1451" s="10"/>
      <c r="G1451" s="19"/>
      <c r="H1451" s="18"/>
      <c r="I1451" s="13"/>
      <c r="J1451" s="14"/>
      <c r="K1451" s="8"/>
      <c r="L1451" s="15"/>
      <c r="M1451" s="15"/>
      <c r="N1451" s="15"/>
      <c r="O1451" s="15"/>
      <c r="P1451" s="15"/>
      <c r="Q1451" s="15"/>
      <c r="R1451" s="15"/>
      <c r="S1451" s="15"/>
      <c r="T1451" s="15"/>
      <c r="U1451" s="15"/>
      <c r="V1451" s="15"/>
    </row>
    <row r="1452" ht="22.5" customHeight="1">
      <c r="A1452" s="7"/>
      <c r="B1452" s="8"/>
      <c r="C1452" s="8"/>
      <c r="D1452" s="8"/>
      <c r="E1452" s="16"/>
      <c r="F1452" s="10"/>
      <c r="G1452" s="19"/>
      <c r="H1452" s="18"/>
      <c r="I1452" s="13"/>
      <c r="J1452" s="14"/>
      <c r="K1452" s="8"/>
      <c r="L1452" s="15"/>
      <c r="M1452" s="15"/>
      <c r="N1452" s="15"/>
      <c r="O1452" s="15"/>
      <c r="P1452" s="15"/>
      <c r="Q1452" s="15"/>
      <c r="R1452" s="15"/>
      <c r="S1452" s="15"/>
      <c r="T1452" s="15"/>
      <c r="U1452" s="15"/>
      <c r="V1452" s="15"/>
    </row>
    <row r="1453" ht="22.5" customHeight="1">
      <c r="A1453" s="7"/>
      <c r="B1453" s="8"/>
      <c r="C1453" s="8"/>
      <c r="D1453" s="8"/>
      <c r="E1453" s="16"/>
      <c r="F1453" s="10"/>
      <c r="G1453" s="19"/>
      <c r="H1453" s="18"/>
      <c r="I1453" s="13"/>
      <c r="J1453" s="14"/>
      <c r="K1453" s="8"/>
      <c r="L1453" s="15"/>
      <c r="M1453" s="15"/>
      <c r="N1453" s="15"/>
      <c r="O1453" s="15"/>
      <c r="P1453" s="15"/>
      <c r="Q1453" s="15"/>
      <c r="R1453" s="15"/>
      <c r="S1453" s="15"/>
      <c r="T1453" s="15"/>
      <c r="U1453" s="15"/>
      <c r="V1453" s="15"/>
    </row>
    <row r="1454" ht="22.5" customHeight="1">
      <c r="A1454" s="7"/>
      <c r="B1454" s="8"/>
      <c r="C1454" s="8"/>
      <c r="D1454" s="8"/>
      <c r="E1454" s="16"/>
      <c r="F1454" s="10"/>
      <c r="G1454" s="19"/>
      <c r="H1454" s="18"/>
      <c r="I1454" s="13"/>
      <c r="J1454" s="14"/>
      <c r="K1454" s="8"/>
      <c r="L1454" s="15"/>
      <c r="M1454" s="15"/>
      <c r="N1454" s="15"/>
      <c r="O1454" s="15"/>
      <c r="P1454" s="15"/>
      <c r="Q1454" s="15"/>
      <c r="R1454" s="15"/>
      <c r="S1454" s="15"/>
      <c r="T1454" s="15"/>
      <c r="U1454" s="15"/>
      <c r="V1454" s="15"/>
    </row>
    <row r="1455" ht="22.5" customHeight="1">
      <c r="A1455" s="7"/>
      <c r="B1455" s="8"/>
      <c r="C1455" s="8"/>
      <c r="D1455" s="8"/>
      <c r="E1455" s="16"/>
      <c r="F1455" s="10"/>
      <c r="G1455" s="19"/>
      <c r="H1455" s="18"/>
      <c r="I1455" s="13"/>
      <c r="J1455" s="14"/>
      <c r="K1455" s="8"/>
      <c r="L1455" s="15"/>
      <c r="M1455" s="15"/>
      <c r="N1455" s="15"/>
      <c r="O1455" s="15"/>
      <c r="P1455" s="15"/>
      <c r="Q1455" s="15"/>
      <c r="R1455" s="15"/>
      <c r="S1455" s="15"/>
      <c r="T1455" s="15"/>
      <c r="U1455" s="15"/>
      <c r="V1455" s="15"/>
    </row>
    <row r="1456" ht="22.5" customHeight="1">
      <c r="A1456" s="7"/>
      <c r="B1456" s="8"/>
      <c r="C1456" s="8"/>
      <c r="D1456" s="8"/>
      <c r="E1456" s="16"/>
      <c r="F1456" s="10"/>
      <c r="G1456" s="19"/>
      <c r="H1456" s="18"/>
      <c r="I1456" s="13"/>
      <c r="J1456" s="14"/>
      <c r="K1456" s="8"/>
      <c r="L1456" s="15"/>
      <c r="M1456" s="15"/>
      <c r="N1456" s="15"/>
      <c r="O1456" s="15"/>
      <c r="P1456" s="15"/>
      <c r="Q1456" s="15"/>
      <c r="R1456" s="15"/>
      <c r="S1456" s="15"/>
      <c r="T1456" s="15"/>
      <c r="U1456" s="15"/>
      <c r="V1456" s="15"/>
    </row>
    <row r="1457" ht="22.5" customHeight="1">
      <c r="A1457" s="7"/>
      <c r="B1457" s="8"/>
      <c r="C1457" s="8"/>
      <c r="D1457" s="8"/>
      <c r="E1457" s="16"/>
      <c r="F1457" s="10"/>
      <c r="G1457" s="19"/>
      <c r="H1457" s="18"/>
      <c r="I1457" s="13"/>
      <c r="J1457" s="14"/>
      <c r="K1457" s="8"/>
      <c r="L1457" s="15"/>
      <c r="M1457" s="15"/>
      <c r="N1457" s="15"/>
      <c r="O1457" s="15"/>
      <c r="P1457" s="15"/>
      <c r="Q1457" s="15"/>
      <c r="R1457" s="15"/>
      <c r="S1457" s="15"/>
      <c r="T1457" s="15"/>
      <c r="U1457" s="15"/>
      <c r="V1457" s="15"/>
    </row>
    <row r="1458" ht="22.5" customHeight="1">
      <c r="A1458" s="7"/>
      <c r="B1458" s="8"/>
      <c r="C1458" s="8"/>
      <c r="D1458" s="8"/>
      <c r="E1458" s="16"/>
      <c r="F1458" s="10"/>
      <c r="G1458" s="19"/>
      <c r="H1458" s="18"/>
      <c r="I1458" s="13"/>
      <c r="J1458" s="14"/>
      <c r="K1458" s="8"/>
      <c r="L1458" s="15"/>
      <c r="M1458" s="15"/>
      <c r="N1458" s="15"/>
      <c r="O1458" s="15"/>
      <c r="P1458" s="15"/>
      <c r="Q1458" s="15"/>
      <c r="R1458" s="15"/>
      <c r="S1458" s="15"/>
      <c r="T1458" s="15"/>
      <c r="U1458" s="15"/>
      <c r="V1458" s="15"/>
    </row>
    <row r="1459" ht="22.5" customHeight="1">
      <c r="A1459" s="7"/>
      <c r="B1459" s="8"/>
      <c r="C1459" s="8"/>
      <c r="D1459" s="8"/>
      <c r="E1459" s="16"/>
      <c r="F1459" s="10"/>
      <c r="G1459" s="19"/>
      <c r="H1459" s="18"/>
      <c r="I1459" s="13"/>
      <c r="J1459" s="14"/>
      <c r="K1459" s="8"/>
      <c r="L1459" s="15"/>
      <c r="M1459" s="15"/>
      <c r="N1459" s="15"/>
      <c r="O1459" s="15"/>
      <c r="P1459" s="15"/>
      <c r="Q1459" s="15"/>
      <c r="R1459" s="15"/>
      <c r="S1459" s="15"/>
      <c r="T1459" s="15"/>
      <c r="U1459" s="15"/>
      <c r="V1459" s="15"/>
    </row>
    <row r="1460" ht="22.5" customHeight="1">
      <c r="A1460" s="7"/>
      <c r="B1460" s="8"/>
      <c r="C1460" s="8"/>
      <c r="D1460" s="8"/>
      <c r="E1460" s="16"/>
      <c r="F1460" s="10"/>
      <c r="G1460" s="19"/>
      <c r="H1460" s="18"/>
      <c r="I1460" s="13"/>
      <c r="J1460" s="14"/>
      <c r="K1460" s="8"/>
      <c r="L1460" s="15"/>
      <c r="M1460" s="15"/>
      <c r="N1460" s="15"/>
      <c r="O1460" s="15"/>
      <c r="P1460" s="15"/>
      <c r="Q1460" s="15"/>
      <c r="R1460" s="15"/>
      <c r="S1460" s="15"/>
      <c r="T1460" s="15"/>
      <c r="U1460" s="15"/>
      <c r="V1460" s="15"/>
    </row>
    <row r="1461" ht="22.5" customHeight="1">
      <c r="A1461" s="7"/>
      <c r="B1461" s="8"/>
      <c r="C1461" s="8"/>
      <c r="D1461" s="8"/>
      <c r="E1461" s="16"/>
      <c r="F1461" s="10"/>
      <c r="G1461" s="19"/>
      <c r="H1461" s="18"/>
      <c r="I1461" s="13"/>
      <c r="J1461" s="14"/>
      <c r="K1461" s="8"/>
      <c r="L1461" s="15"/>
      <c r="M1461" s="15"/>
      <c r="N1461" s="15"/>
      <c r="O1461" s="15"/>
      <c r="P1461" s="15"/>
      <c r="Q1461" s="15"/>
      <c r="R1461" s="15"/>
      <c r="S1461" s="15"/>
      <c r="T1461" s="15"/>
      <c r="U1461" s="15"/>
      <c r="V1461" s="15"/>
    </row>
    <row r="1462" ht="22.5" customHeight="1">
      <c r="A1462" s="7"/>
      <c r="B1462" s="8"/>
      <c r="C1462" s="8"/>
      <c r="D1462" s="8"/>
      <c r="E1462" s="16"/>
      <c r="F1462" s="10"/>
      <c r="G1462" s="19"/>
      <c r="H1462" s="18"/>
      <c r="I1462" s="13"/>
      <c r="J1462" s="14"/>
      <c r="K1462" s="8"/>
      <c r="L1462" s="15"/>
      <c r="M1462" s="15"/>
      <c r="N1462" s="15"/>
      <c r="O1462" s="15"/>
      <c r="P1462" s="15"/>
      <c r="Q1462" s="15"/>
      <c r="R1462" s="15"/>
      <c r="S1462" s="15"/>
      <c r="T1462" s="15"/>
      <c r="U1462" s="15"/>
      <c r="V1462" s="15"/>
    </row>
    <row r="1463" ht="22.5" customHeight="1">
      <c r="A1463" s="7"/>
      <c r="B1463" s="8"/>
      <c r="C1463" s="8"/>
      <c r="D1463" s="8"/>
      <c r="E1463" s="16"/>
      <c r="F1463" s="10"/>
      <c r="G1463" s="19"/>
      <c r="H1463" s="18"/>
      <c r="I1463" s="13"/>
      <c r="J1463" s="14"/>
      <c r="K1463" s="8"/>
      <c r="L1463" s="15"/>
      <c r="M1463" s="15"/>
      <c r="N1463" s="15"/>
      <c r="O1463" s="15"/>
      <c r="P1463" s="15"/>
      <c r="Q1463" s="15"/>
      <c r="R1463" s="15"/>
      <c r="S1463" s="15"/>
      <c r="T1463" s="15"/>
      <c r="U1463" s="15"/>
      <c r="V1463" s="15"/>
    </row>
    <row r="1464" ht="22.5" customHeight="1">
      <c r="A1464" s="7"/>
      <c r="B1464" s="8"/>
      <c r="C1464" s="8"/>
      <c r="D1464" s="8"/>
      <c r="E1464" s="16"/>
      <c r="F1464" s="10"/>
      <c r="G1464" s="19"/>
      <c r="H1464" s="18"/>
      <c r="I1464" s="13"/>
      <c r="J1464" s="14"/>
      <c r="K1464" s="8"/>
      <c r="L1464" s="15"/>
      <c r="M1464" s="15"/>
      <c r="N1464" s="15"/>
      <c r="O1464" s="15"/>
      <c r="P1464" s="15"/>
      <c r="Q1464" s="15"/>
      <c r="R1464" s="15"/>
      <c r="S1464" s="15"/>
      <c r="T1464" s="15"/>
      <c r="U1464" s="15"/>
      <c r="V1464" s="15"/>
    </row>
    <row r="1465" ht="22.5" customHeight="1">
      <c r="A1465" s="7"/>
      <c r="B1465" s="8"/>
      <c r="C1465" s="8"/>
      <c r="D1465" s="8"/>
      <c r="E1465" s="16"/>
      <c r="F1465" s="10"/>
      <c r="G1465" s="19"/>
      <c r="H1465" s="18"/>
      <c r="I1465" s="13"/>
      <c r="J1465" s="14"/>
      <c r="K1465" s="8"/>
      <c r="L1465" s="15"/>
      <c r="M1465" s="15"/>
      <c r="N1465" s="15"/>
      <c r="O1465" s="15"/>
      <c r="P1465" s="15"/>
      <c r="Q1465" s="15"/>
      <c r="R1465" s="15"/>
      <c r="S1465" s="15"/>
      <c r="T1465" s="15"/>
      <c r="U1465" s="15"/>
      <c r="V1465" s="15"/>
    </row>
    <row r="1466" ht="22.5" customHeight="1">
      <c r="A1466" s="7"/>
      <c r="B1466" s="8"/>
      <c r="C1466" s="8"/>
      <c r="D1466" s="8"/>
      <c r="E1466" s="16"/>
      <c r="F1466" s="10"/>
      <c r="G1466" s="19"/>
      <c r="H1466" s="18"/>
      <c r="I1466" s="13"/>
      <c r="J1466" s="14"/>
      <c r="K1466" s="8"/>
      <c r="L1466" s="15"/>
      <c r="M1466" s="15"/>
      <c r="N1466" s="15"/>
      <c r="O1466" s="15"/>
      <c r="P1466" s="15"/>
      <c r="Q1466" s="15"/>
      <c r="R1466" s="15"/>
      <c r="S1466" s="15"/>
      <c r="T1466" s="15"/>
      <c r="U1466" s="15"/>
      <c r="V1466" s="15"/>
    </row>
    <row r="1467" ht="22.5" customHeight="1">
      <c r="A1467" s="7"/>
      <c r="B1467" s="8"/>
      <c r="C1467" s="8"/>
      <c r="D1467" s="8"/>
      <c r="E1467" s="16"/>
      <c r="F1467" s="10"/>
      <c r="G1467" s="19"/>
      <c r="H1467" s="18"/>
      <c r="I1467" s="13"/>
      <c r="J1467" s="14"/>
      <c r="K1467" s="8"/>
      <c r="L1467" s="15"/>
      <c r="M1467" s="15"/>
      <c r="N1467" s="15"/>
      <c r="O1467" s="15"/>
      <c r="P1467" s="15"/>
      <c r="Q1467" s="15"/>
      <c r="R1467" s="15"/>
      <c r="S1467" s="15"/>
      <c r="T1467" s="15"/>
      <c r="U1467" s="15"/>
      <c r="V1467" s="15"/>
    </row>
    <row r="1468" ht="22.5" customHeight="1">
      <c r="A1468" s="7"/>
      <c r="B1468" s="8"/>
      <c r="C1468" s="8"/>
      <c r="D1468" s="8"/>
      <c r="E1468" s="16"/>
      <c r="F1468" s="10"/>
      <c r="G1468" s="19"/>
      <c r="H1468" s="18"/>
      <c r="I1468" s="13"/>
      <c r="J1468" s="14"/>
      <c r="K1468" s="8"/>
      <c r="L1468" s="15"/>
      <c r="M1468" s="15"/>
      <c r="N1468" s="15"/>
      <c r="O1468" s="15"/>
      <c r="P1468" s="15"/>
      <c r="Q1468" s="15"/>
      <c r="R1468" s="15"/>
      <c r="S1468" s="15"/>
      <c r="T1468" s="15"/>
      <c r="U1468" s="15"/>
      <c r="V1468" s="15"/>
    </row>
    <row r="1469" ht="22.5" customHeight="1">
      <c r="A1469" s="7"/>
      <c r="B1469" s="8"/>
      <c r="C1469" s="8"/>
      <c r="D1469" s="8"/>
      <c r="E1469" s="16"/>
      <c r="F1469" s="10"/>
      <c r="G1469" s="19"/>
      <c r="H1469" s="18"/>
      <c r="I1469" s="13"/>
      <c r="J1469" s="14"/>
      <c r="K1469" s="8"/>
      <c r="L1469" s="15"/>
      <c r="M1469" s="15"/>
      <c r="N1469" s="15"/>
      <c r="O1469" s="15"/>
      <c r="P1469" s="15"/>
      <c r="Q1469" s="15"/>
      <c r="R1469" s="15"/>
      <c r="S1469" s="15"/>
      <c r="T1469" s="15"/>
      <c r="U1469" s="15"/>
      <c r="V1469" s="15"/>
    </row>
    <row r="1470" ht="22.5" customHeight="1">
      <c r="A1470" s="7"/>
      <c r="B1470" s="8"/>
      <c r="C1470" s="8"/>
      <c r="D1470" s="8"/>
      <c r="E1470" s="16"/>
      <c r="F1470" s="10"/>
      <c r="G1470" s="19"/>
      <c r="H1470" s="18"/>
      <c r="I1470" s="13"/>
      <c r="J1470" s="14"/>
      <c r="K1470" s="8"/>
      <c r="L1470" s="15"/>
      <c r="M1470" s="15"/>
      <c r="N1470" s="15"/>
      <c r="O1470" s="15"/>
      <c r="P1470" s="15"/>
      <c r="Q1470" s="15"/>
      <c r="R1470" s="15"/>
      <c r="S1470" s="15"/>
      <c r="T1470" s="15"/>
      <c r="U1470" s="15"/>
      <c r="V1470" s="15"/>
    </row>
    <row r="1471" ht="22.5" customHeight="1">
      <c r="A1471" s="7"/>
      <c r="B1471" s="8"/>
      <c r="C1471" s="8"/>
      <c r="D1471" s="8"/>
      <c r="E1471" s="16"/>
      <c r="F1471" s="10"/>
      <c r="G1471" s="19"/>
      <c r="H1471" s="18"/>
      <c r="I1471" s="13"/>
      <c r="J1471" s="14"/>
      <c r="K1471" s="8"/>
      <c r="L1471" s="15"/>
      <c r="M1471" s="15"/>
      <c r="N1471" s="15"/>
      <c r="O1471" s="15"/>
      <c r="P1471" s="15"/>
      <c r="Q1471" s="15"/>
      <c r="R1471" s="15"/>
      <c r="S1471" s="15"/>
      <c r="T1471" s="15"/>
      <c r="U1471" s="15"/>
      <c r="V1471" s="15"/>
    </row>
    <row r="1472" ht="22.5" customHeight="1">
      <c r="A1472" s="7"/>
      <c r="B1472" s="8"/>
      <c r="C1472" s="8"/>
      <c r="D1472" s="8"/>
      <c r="E1472" s="16"/>
      <c r="F1472" s="10"/>
      <c r="G1472" s="19"/>
      <c r="H1472" s="18"/>
      <c r="I1472" s="13"/>
      <c r="J1472" s="14"/>
      <c r="K1472" s="8"/>
      <c r="L1472" s="15"/>
      <c r="M1472" s="15"/>
      <c r="N1472" s="15"/>
      <c r="O1472" s="15"/>
      <c r="P1472" s="15"/>
      <c r="Q1472" s="15"/>
      <c r="R1472" s="15"/>
      <c r="S1472" s="15"/>
      <c r="T1472" s="15"/>
      <c r="U1472" s="15"/>
      <c r="V1472" s="15"/>
    </row>
    <row r="1473" ht="22.5" customHeight="1">
      <c r="A1473" s="7"/>
      <c r="B1473" s="8"/>
      <c r="C1473" s="8"/>
      <c r="D1473" s="8"/>
      <c r="E1473" s="16"/>
      <c r="F1473" s="10"/>
      <c r="G1473" s="19"/>
      <c r="H1473" s="18"/>
      <c r="I1473" s="13"/>
      <c r="J1473" s="14"/>
      <c r="K1473" s="8"/>
      <c r="L1473" s="15"/>
      <c r="M1473" s="15"/>
      <c r="N1473" s="15"/>
      <c r="O1473" s="15"/>
      <c r="P1473" s="15"/>
      <c r="Q1473" s="15"/>
      <c r="R1473" s="15"/>
      <c r="S1473" s="15"/>
      <c r="T1473" s="15"/>
      <c r="U1473" s="15"/>
      <c r="V1473" s="15"/>
    </row>
    <row r="1474" ht="22.5" customHeight="1">
      <c r="A1474" s="7"/>
      <c r="B1474" s="8"/>
      <c r="C1474" s="8"/>
      <c r="D1474" s="8"/>
      <c r="E1474" s="16"/>
      <c r="F1474" s="10"/>
      <c r="G1474" s="19"/>
      <c r="H1474" s="18"/>
      <c r="I1474" s="13"/>
      <c r="J1474" s="14"/>
      <c r="K1474" s="8"/>
      <c r="L1474" s="15"/>
      <c r="M1474" s="15"/>
      <c r="N1474" s="15"/>
      <c r="O1474" s="15"/>
      <c r="P1474" s="15"/>
      <c r="Q1474" s="15"/>
      <c r="R1474" s="15"/>
      <c r="S1474" s="15"/>
      <c r="T1474" s="15"/>
      <c r="U1474" s="15"/>
      <c r="V1474" s="15"/>
    </row>
    <row r="1475" ht="22.5" customHeight="1">
      <c r="A1475" s="7"/>
      <c r="B1475" s="8"/>
      <c r="C1475" s="8"/>
      <c r="D1475" s="8"/>
      <c r="E1475" s="16"/>
      <c r="F1475" s="10"/>
      <c r="G1475" s="19"/>
      <c r="H1475" s="18"/>
      <c r="I1475" s="13"/>
      <c r="J1475" s="14"/>
      <c r="K1475" s="8"/>
      <c r="L1475" s="15"/>
      <c r="M1475" s="15"/>
      <c r="N1475" s="15"/>
      <c r="O1475" s="15"/>
      <c r="P1475" s="15"/>
      <c r="Q1475" s="15"/>
      <c r="R1475" s="15"/>
      <c r="S1475" s="15"/>
      <c r="T1475" s="15"/>
      <c r="U1475" s="15"/>
      <c r="V1475" s="15"/>
    </row>
    <row r="1476" ht="22.5" customHeight="1">
      <c r="A1476" s="7"/>
      <c r="B1476" s="8"/>
      <c r="C1476" s="8"/>
      <c r="D1476" s="8"/>
      <c r="E1476" s="16"/>
      <c r="F1476" s="10"/>
      <c r="G1476" s="19"/>
      <c r="H1476" s="18"/>
      <c r="I1476" s="13"/>
      <c r="J1476" s="14"/>
      <c r="K1476" s="8"/>
      <c r="L1476" s="15"/>
      <c r="M1476" s="15"/>
      <c r="N1476" s="15"/>
      <c r="O1476" s="15"/>
      <c r="P1476" s="15"/>
      <c r="Q1476" s="15"/>
      <c r="R1476" s="15"/>
      <c r="S1476" s="15"/>
      <c r="T1476" s="15"/>
      <c r="U1476" s="15"/>
      <c r="V1476" s="15"/>
    </row>
    <row r="1477" ht="22.5" customHeight="1">
      <c r="A1477" s="7"/>
      <c r="B1477" s="8"/>
      <c r="C1477" s="8"/>
      <c r="D1477" s="8"/>
      <c r="E1477" s="16"/>
      <c r="F1477" s="10"/>
      <c r="G1477" s="19"/>
      <c r="H1477" s="18"/>
      <c r="I1477" s="13"/>
      <c r="J1477" s="14"/>
      <c r="K1477" s="8"/>
      <c r="L1477" s="15"/>
      <c r="M1477" s="15"/>
      <c r="N1477" s="15"/>
      <c r="O1477" s="15"/>
      <c r="P1477" s="15"/>
      <c r="Q1477" s="15"/>
      <c r="R1477" s="15"/>
      <c r="S1477" s="15"/>
      <c r="T1477" s="15"/>
      <c r="U1477" s="15"/>
      <c r="V1477" s="15"/>
    </row>
    <row r="1478" ht="22.5" customHeight="1">
      <c r="A1478" s="7"/>
      <c r="B1478" s="8"/>
      <c r="C1478" s="8"/>
      <c r="D1478" s="8"/>
      <c r="E1478" s="16"/>
      <c r="F1478" s="10"/>
      <c r="G1478" s="19"/>
      <c r="H1478" s="18"/>
      <c r="I1478" s="13"/>
      <c r="J1478" s="14"/>
      <c r="K1478" s="8"/>
      <c r="L1478" s="15"/>
      <c r="M1478" s="15"/>
      <c r="N1478" s="15"/>
      <c r="O1478" s="15"/>
      <c r="P1478" s="15"/>
      <c r="Q1478" s="15"/>
      <c r="R1478" s="15"/>
      <c r="S1478" s="15"/>
      <c r="T1478" s="15"/>
      <c r="U1478" s="15"/>
      <c r="V1478" s="15"/>
    </row>
    <row r="1479" ht="22.5" customHeight="1">
      <c r="A1479" s="7"/>
      <c r="B1479" s="8"/>
      <c r="C1479" s="8"/>
      <c r="D1479" s="8"/>
      <c r="E1479" s="16"/>
      <c r="F1479" s="10"/>
      <c r="G1479" s="19"/>
      <c r="H1479" s="18"/>
      <c r="I1479" s="13"/>
      <c r="J1479" s="14"/>
      <c r="K1479" s="8"/>
      <c r="L1479" s="15"/>
      <c r="M1479" s="15"/>
      <c r="N1479" s="15"/>
      <c r="O1479" s="15"/>
      <c r="P1479" s="15"/>
      <c r="Q1479" s="15"/>
      <c r="R1479" s="15"/>
      <c r="S1479" s="15"/>
      <c r="T1479" s="15"/>
      <c r="U1479" s="15"/>
      <c r="V1479" s="15"/>
    </row>
    <row r="1480" ht="22.5" customHeight="1">
      <c r="A1480" s="7"/>
      <c r="B1480" s="8"/>
      <c r="C1480" s="8"/>
      <c r="D1480" s="8"/>
      <c r="E1480" s="16"/>
      <c r="F1480" s="10"/>
      <c r="G1480" s="19"/>
      <c r="H1480" s="18"/>
      <c r="I1480" s="13"/>
      <c r="J1480" s="14"/>
      <c r="K1480" s="8"/>
      <c r="L1480" s="15"/>
      <c r="M1480" s="15"/>
      <c r="N1480" s="15"/>
      <c r="O1480" s="15"/>
      <c r="P1480" s="15"/>
      <c r="Q1480" s="15"/>
      <c r="R1480" s="15"/>
      <c r="S1480" s="15"/>
      <c r="T1480" s="15"/>
      <c r="U1480" s="15"/>
      <c r="V1480" s="15"/>
    </row>
    <row r="1481" ht="22.5" customHeight="1">
      <c r="A1481" s="7"/>
      <c r="B1481" s="8"/>
      <c r="C1481" s="8"/>
      <c r="D1481" s="8"/>
      <c r="E1481" s="16"/>
      <c r="F1481" s="10"/>
      <c r="G1481" s="19"/>
      <c r="H1481" s="18"/>
      <c r="I1481" s="13"/>
      <c r="J1481" s="14"/>
      <c r="K1481" s="8"/>
      <c r="L1481" s="15"/>
      <c r="M1481" s="15"/>
      <c r="N1481" s="15"/>
      <c r="O1481" s="15"/>
      <c r="P1481" s="15"/>
      <c r="Q1481" s="15"/>
      <c r="R1481" s="15"/>
      <c r="S1481" s="15"/>
      <c r="T1481" s="15"/>
      <c r="U1481" s="15"/>
      <c r="V1481" s="15"/>
    </row>
    <row r="1482" ht="22.5" customHeight="1">
      <c r="A1482" s="7"/>
      <c r="B1482" s="8"/>
      <c r="C1482" s="8"/>
      <c r="D1482" s="8"/>
      <c r="E1482" s="16"/>
      <c r="F1482" s="10"/>
      <c r="G1482" s="19"/>
      <c r="H1482" s="18"/>
      <c r="I1482" s="13"/>
      <c r="J1482" s="14"/>
      <c r="K1482" s="8"/>
      <c r="L1482" s="15"/>
      <c r="M1482" s="15"/>
      <c r="N1482" s="15"/>
      <c r="O1482" s="15"/>
      <c r="P1482" s="15"/>
      <c r="Q1482" s="15"/>
      <c r="R1482" s="15"/>
      <c r="S1482" s="15"/>
      <c r="T1482" s="15"/>
      <c r="U1482" s="15"/>
      <c r="V1482" s="15"/>
    </row>
    <row r="1483" ht="22.5" customHeight="1">
      <c r="A1483" s="7"/>
      <c r="B1483" s="8"/>
      <c r="C1483" s="8"/>
      <c r="D1483" s="8"/>
      <c r="E1483" s="16"/>
      <c r="F1483" s="10"/>
      <c r="G1483" s="19"/>
      <c r="H1483" s="18"/>
      <c r="I1483" s="13"/>
      <c r="J1483" s="14"/>
      <c r="K1483" s="8"/>
      <c r="L1483" s="15"/>
      <c r="M1483" s="15"/>
      <c r="N1483" s="15"/>
      <c r="O1483" s="15"/>
      <c r="P1483" s="15"/>
      <c r="Q1483" s="15"/>
      <c r="R1483" s="15"/>
      <c r="S1483" s="15"/>
      <c r="T1483" s="15"/>
      <c r="U1483" s="15"/>
      <c r="V1483" s="15"/>
    </row>
    <row r="1484" ht="22.5" customHeight="1">
      <c r="A1484" s="7"/>
      <c r="B1484" s="8"/>
      <c r="C1484" s="8"/>
      <c r="D1484" s="8"/>
      <c r="E1484" s="16"/>
      <c r="F1484" s="10"/>
      <c r="G1484" s="19"/>
      <c r="H1484" s="18"/>
      <c r="I1484" s="13"/>
      <c r="J1484" s="14"/>
      <c r="K1484" s="8"/>
      <c r="L1484" s="15"/>
      <c r="M1484" s="15"/>
      <c r="N1484" s="15"/>
      <c r="O1484" s="15"/>
      <c r="P1484" s="15"/>
      <c r="Q1484" s="15"/>
      <c r="R1484" s="15"/>
      <c r="S1484" s="15"/>
      <c r="T1484" s="15"/>
      <c r="U1484" s="15"/>
      <c r="V1484" s="15"/>
    </row>
    <row r="1485" ht="22.5" customHeight="1">
      <c r="A1485" s="7"/>
      <c r="B1485" s="8"/>
      <c r="C1485" s="8"/>
      <c r="D1485" s="8"/>
      <c r="E1485" s="16"/>
      <c r="F1485" s="10"/>
      <c r="G1485" s="19"/>
      <c r="H1485" s="18"/>
      <c r="I1485" s="13"/>
      <c r="J1485" s="14"/>
      <c r="K1485" s="8"/>
      <c r="L1485" s="15"/>
      <c r="M1485" s="15"/>
      <c r="N1485" s="15"/>
      <c r="O1485" s="15"/>
      <c r="P1485" s="15"/>
      <c r="Q1485" s="15"/>
      <c r="R1485" s="15"/>
      <c r="S1485" s="15"/>
      <c r="T1485" s="15"/>
      <c r="U1485" s="15"/>
      <c r="V1485" s="15"/>
    </row>
    <row r="1486" ht="22.5" customHeight="1">
      <c r="A1486" s="7"/>
      <c r="B1486" s="8"/>
      <c r="C1486" s="8"/>
      <c r="D1486" s="8"/>
      <c r="E1486" s="16"/>
      <c r="F1486" s="10"/>
      <c r="G1486" s="19"/>
      <c r="H1486" s="18"/>
      <c r="I1486" s="13"/>
      <c r="J1486" s="14"/>
      <c r="K1486" s="8"/>
      <c r="L1486" s="15"/>
      <c r="M1486" s="15"/>
      <c r="N1486" s="15"/>
      <c r="O1486" s="15"/>
      <c r="P1486" s="15"/>
      <c r="Q1486" s="15"/>
      <c r="R1486" s="15"/>
      <c r="S1486" s="15"/>
      <c r="T1486" s="15"/>
      <c r="U1486" s="15"/>
      <c r="V1486" s="15"/>
    </row>
    <row r="1487" ht="22.5" customHeight="1">
      <c r="A1487" s="7"/>
      <c r="B1487" s="8"/>
      <c r="C1487" s="8"/>
      <c r="D1487" s="8"/>
      <c r="E1487" s="16"/>
      <c r="F1487" s="10"/>
      <c r="G1487" s="19"/>
      <c r="H1487" s="18"/>
      <c r="I1487" s="13"/>
      <c r="J1487" s="14"/>
      <c r="K1487" s="8"/>
      <c r="L1487" s="15"/>
      <c r="M1487" s="15"/>
      <c r="N1487" s="15"/>
      <c r="O1487" s="15"/>
      <c r="P1487" s="15"/>
      <c r="Q1487" s="15"/>
      <c r="R1487" s="15"/>
      <c r="S1487" s="15"/>
      <c r="T1487" s="15"/>
      <c r="U1487" s="15"/>
      <c r="V1487" s="15"/>
    </row>
    <row r="1488" ht="22.5" customHeight="1">
      <c r="A1488" s="7"/>
      <c r="B1488" s="8"/>
      <c r="C1488" s="8"/>
      <c r="D1488" s="8"/>
      <c r="E1488" s="16"/>
      <c r="F1488" s="10"/>
      <c r="G1488" s="19"/>
      <c r="H1488" s="18"/>
      <c r="I1488" s="13"/>
      <c r="J1488" s="14"/>
      <c r="K1488" s="8"/>
      <c r="L1488" s="15"/>
      <c r="M1488" s="15"/>
      <c r="N1488" s="15"/>
      <c r="O1488" s="15"/>
      <c r="P1488" s="15"/>
      <c r="Q1488" s="15"/>
      <c r="R1488" s="15"/>
      <c r="S1488" s="15"/>
      <c r="T1488" s="15"/>
      <c r="U1488" s="15"/>
      <c r="V1488" s="15"/>
    </row>
    <row r="1489" ht="22.5" customHeight="1">
      <c r="A1489" s="7"/>
      <c r="B1489" s="8"/>
      <c r="C1489" s="8"/>
      <c r="D1489" s="8"/>
      <c r="E1489" s="16"/>
      <c r="F1489" s="10"/>
      <c r="G1489" s="19"/>
      <c r="H1489" s="18"/>
      <c r="I1489" s="13"/>
      <c r="J1489" s="14"/>
      <c r="K1489" s="8"/>
      <c r="L1489" s="15"/>
      <c r="M1489" s="15"/>
      <c r="N1489" s="15"/>
      <c r="O1489" s="15"/>
      <c r="P1489" s="15"/>
      <c r="Q1489" s="15"/>
      <c r="R1489" s="15"/>
      <c r="S1489" s="15"/>
      <c r="T1489" s="15"/>
      <c r="U1489" s="15"/>
      <c r="V1489" s="15"/>
    </row>
    <row r="1490" ht="22.5" customHeight="1">
      <c r="A1490" s="7"/>
      <c r="B1490" s="8"/>
      <c r="C1490" s="8"/>
      <c r="D1490" s="8"/>
      <c r="E1490" s="16"/>
      <c r="F1490" s="10"/>
      <c r="G1490" s="19"/>
      <c r="H1490" s="18"/>
      <c r="I1490" s="13"/>
      <c r="J1490" s="14"/>
      <c r="K1490" s="8"/>
      <c r="L1490" s="15"/>
      <c r="M1490" s="15"/>
      <c r="N1490" s="15"/>
      <c r="O1490" s="15"/>
      <c r="P1490" s="15"/>
      <c r="Q1490" s="15"/>
      <c r="R1490" s="15"/>
      <c r="S1490" s="15"/>
      <c r="T1490" s="15"/>
      <c r="U1490" s="15"/>
      <c r="V1490" s="15"/>
    </row>
    <row r="1491" ht="22.5" customHeight="1">
      <c r="A1491" s="7"/>
      <c r="B1491" s="8"/>
      <c r="C1491" s="8"/>
      <c r="D1491" s="8"/>
      <c r="E1491" s="16"/>
      <c r="F1491" s="10"/>
      <c r="G1491" s="19"/>
      <c r="H1491" s="18"/>
      <c r="I1491" s="13"/>
      <c r="J1491" s="14"/>
      <c r="K1491" s="8"/>
      <c r="L1491" s="15"/>
      <c r="M1491" s="15"/>
      <c r="N1491" s="15"/>
      <c r="O1491" s="15"/>
      <c r="P1491" s="15"/>
      <c r="Q1491" s="15"/>
      <c r="R1491" s="15"/>
      <c r="S1491" s="15"/>
      <c r="T1491" s="15"/>
      <c r="U1491" s="15"/>
      <c r="V1491" s="15"/>
    </row>
    <row r="1492" ht="22.5" customHeight="1">
      <c r="A1492" s="7"/>
      <c r="B1492" s="8"/>
      <c r="C1492" s="8"/>
      <c r="D1492" s="8"/>
      <c r="E1492" s="16"/>
      <c r="F1492" s="10"/>
      <c r="G1492" s="19"/>
      <c r="H1492" s="18"/>
      <c r="I1492" s="13"/>
      <c r="J1492" s="14"/>
      <c r="K1492" s="8"/>
      <c r="L1492" s="15"/>
      <c r="M1492" s="15"/>
      <c r="N1492" s="15"/>
      <c r="O1492" s="15"/>
      <c r="P1492" s="15"/>
      <c r="Q1492" s="15"/>
      <c r="R1492" s="15"/>
      <c r="S1492" s="15"/>
      <c r="T1492" s="15"/>
      <c r="U1492" s="15"/>
      <c r="V1492" s="15"/>
    </row>
    <row r="1493" ht="22.5" customHeight="1">
      <c r="A1493" s="7"/>
      <c r="B1493" s="8"/>
      <c r="C1493" s="8"/>
      <c r="D1493" s="8"/>
      <c r="E1493" s="16"/>
      <c r="F1493" s="10"/>
      <c r="G1493" s="19"/>
      <c r="H1493" s="18"/>
      <c r="I1493" s="13"/>
      <c r="J1493" s="14"/>
      <c r="K1493" s="8"/>
      <c r="L1493" s="15"/>
      <c r="M1493" s="15"/>
      <c r="N1493" s="15"/>
      <c r="O1493" s="15"/>
      <c r="P1493" s="15"/>
      <c r="Q1493" s="15"/>
      <c r="R1493" s="15"/>
      <c r="S1493" s="15"/>
      <c r="T1493" s="15"/>
      <c r="U1493" s="15"/>
      <c r="V1493" s="15"/>
    </row>
    <row r="1494" ht="22.5" customHeight="1">
      <c r="A1494" s="7"/>
      <c r="B1494" s="8"/>
      <c r="C1494" s="8"/>
      <c r="D1494" s="8"/>
      <c r="E1494" s="16"/>
      <c r="F1494" s="10"/>
      <c r="G1494" s="19"/>
      <c r="H1494" s="18"/>
      <c r="I1494" s="13"/>
      <c r="J1494" s="14"/>
      <c r="K1494" s="8"/>
      <c r="L1494" s="15"/>
      <c r="M1494" s="15"/>
      <c r="N1494" s="15"/>
      <c r="O1494" s="15"/>
      <c r="P1494" s="15"/>
      <c r="Q1494" s="15"/>
      <c r="R1494" s="15"/>
      <c r="S1494" s="15"/>
      <c r="T1494" s="15"/>
      <c r="U1494" s="15"/>
      <c r="V1494" s="15"/>
    </row>
  </sheetData>
  <conditionalFormatting sqref="H2:H279">
    <cfRule type="cellIs" dxfId="5" priority="1" stopIfTrue="1" operator="equal">
      <formula>"↗️"</formula>
    </cfRule>
  </conditionalFormatting>
  <conditionalFormatting sqref="H2:H279">
    <cfRule type="cellIs" dxfId="6" priority="2" stopIfTrue="1" operator="equal">
      <formula>"❌"</formula>
    </cfRule>
  </conditionalFormatting>
  <dataValidations>
    <dataValidation type="list" allowBlank="1" showErrorMessage="1" sqref="J2:J1494">
      <formula1>"Manhattan,The Bronx,Brooklyn,Queens,Staten Island"</formula1>
    </dataValidation>
    <dataValidation type="custom" allowBlank="1" showDropDown="1" sqref="I2:I1494">
      <formula1>OR(NOT(ISERROR(DATEVALUE(I2))), AND(ISNUMBER(I2), LEFT(CELL("format", I2))="D"))</formula1>
    </dataValidation>
    <dataValidation type="custom" allowBlank="1" showDropDown="1" sqref="L2:M1494">
      <formula1>AND(ISNUMBER(L2),(NOT(OR(NOT(ISERROR(DATEVALUE(L2))), AND(ISNUMBER(L2), LEFT(CELL("format", L2))="D")))))</formula1>
    </dataValidation>
    <dataValidation allowBlank="1" showDropDown="1" sqref="G2:G1494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755</v>
      </c>
      <c r="B1" s="14" t="s">
        <v>756</v>
      </c>
      <c r="C1" s="14" t="s">
        <v>757</v>
      </c>
      <c r="D1" s="14" t="s">
        <v>758</v>
      </c>
      <c r="E1" s="14" t="s">
        <v>759</v>
      </c>
      <c r="F1" s="14" t="s">
        <v>760</v>
      </c>
      <c r="G1" s="14" t="s">
        <v>761</v>
      </c>
      <c r="H1" s="14" t="s">
        <v>9</v>
      </c>
      <c r="I1" s="14" t="s">
        <v>741</v>
      </c>
      <c r="J1" s="14" t="s">
        <v>742</v>
      </c>
      <c r="K1" s="14" t="s">
        <v>762</v>
      </c>
      <c r="L1" s="14" t="s">
        <v>763</v>
      </c>
      <c r="M1" s="14" t="s">
        <v>743</v>
      </c>
      <c r="N1" s="14" t="s">
        <v>744</v>
      </c>
      <c r="O1" s="14" t="s">
        <v>745</v>
      </c>
      <c r="P1" s="14" t="s">
        <v>746</v>
      </c>
      <c r="Q1" s="14" t="s">
        <v>747</v>
      </c>
      <c r="R1" s="14" t="s">
        <v>764</v>
      </c>
      <c r="S1" s="14" t="s">
        <v>748</v>
      </c>
      <c r="T1" s="14" t="s">
        <v>749</v>
      </c>
      <c r="U1" s="14" t="s">
        <v>750</v>
      </c>
      <c r="V1" s="14" t="s">
        <v>765</v>
      </c>
      <c r="W1" s="14" t="s">
        <v>766</v>
      </c>
      <c r="X1" s="14" t="s">
        <v>767</v>
      </c>
      <c r="Y1" s="14" t="s">
        <v>768</v>
      </c>
      <c r="Z1" s="14" t="s">
        <v>751</v>
      </c>
      <c r="AA1" s="14" t="s">
        <v>752</v>
      </c>
      <c r="AB1" s="14" t="s">
        <v>769</v>
      </c>
      <c r="AC1" s="14" t="s">
        <v>770</v>
      </c>
      <c r="AD1" s="14" t="s">
        <v>771</v>
      </c>
      <c r="AE1" s="14" t="s">
        <v>772</v>
      </c>
      <c r="AF1" s="14" t="s">
        <v>773</v>
      </c>
      <c r="AG1" s="14" t="s">
        <v>753</v>
      </c>
      <c r="AH1" s="14" t="s">
        <v>774</v>
      </c>
      <c r="AI1" s="14" t="s">
        <v>775</v>
      </c>
      <c r="AJ1" s="14" t="s">
        <v>776</v>
      </c>
      <c r="AK1" s="14" t="s">
        <v>777</v>
      </c>
      <c r="AL1" s="14" t="s">
        <v>778</v>
      </c>
      <c r="AM1" s="14" t="s">
        <v>779</v>
      </c>
      <c r="AN1" s="14" t="s">
        <v>754</v>
      </c>
    </row>
    <row r="2">
      <c r="A2" s="14" t="s">
        <v>780</v>
      </c>
      <c r="B2" s="14" t="s">
        <v>781</v>
      </c>
      <c r="C2" s="14" t="s">
        <v>782</v>
      </c>
      <c r="D2" s="14" t="s">
        <v>783</v>
      </c>
      <c r="E2" s="36">
        <v>612.0</v>
      </c>
      <c r="F2" s="14" t="s">
        <v>784</v>
      </c>
      <c r="G2" s="14" t="s">
        <v>785</v>
      </c>
      <c r="H2" s="14" t="s">
        <v>20</v>
      </c>
      <c r="I2" s="37"/>
      <c r="J2" s="38">
        <v>3.0</v>
      </c>
      <c r="K2" s="14" t="s">
        <v>786</v>
      </c>
      <c r="L2" s="14" t="s">
        <v>787</v>
      </c>
      <c r="M2" s="36">
        <v>22.0</v>
      </c>
      <c r="N2" s="14" t="s">
        <v>788</v>
      </c>
      <c r="O2" s="14" t="s">
        <v>789</v>
      </c>
      <c r="P2" s="14" t="s">
        <v>790</v>
      </c>
      <c r="Q2" s="14" t="s">
        <v>791</v>
      </c>
      <c r="R2" s="37"/>
      <c r="S2" s="14" t="s">
        <v>788</v>
      </c>
      <c r="T2" s="14" t="s">
        <v>788</v>
      </c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14" t="s">
        <v>792</v>
      </c>
      <c r="AL2" s="37"/>
      <c r="AM2" s="37"/>
      <c r="AN2" s="14" t="s">
        <v>793</v>
      </c>
    </row>
    <row r="3">
      <c r="A3" s="14" t="s">
        <v>794</v>
      </c>
      <c r="B3" s="14" t="s">
        <v>781</v>
      </c>
      <c r="C3" s="14" t="s">
        <v>795</v>
      </c>
      <c r="D3" s="14" t="s">
        <v>796</v>
      </c>
      <c r="E3" s="36">
        <v>471.0</v>
      </c>
      <c r="F3" s="37"/>
      <c r="G3" s="14" t="s">
        <v>797</v>
      </c>
      <c r="H3" s="14" t="s">
        <v>20</v>
      </c>
      <c r="I3" s="38">
        <v>42260.0</v>
      </c>
      <c r="J3" s="38">
        <v>42260.0</v>
      </c>
      <c r="K3" s="14" t="s">
        <v>786</v>
      </c>
      <c r="L3" s="14" t="s">
        <v>787</v>
      </c>
      <c r="M3" s="36">
        <v>22.0</v>
      </c>
      <c r="N3" s="14" t="s">
        <v>791</v>
      </c>
      <c r="O3" s="14" t="s">
        <v>798</v>
      </c>
      <c r="P3" s="14" t="s">
        <v>799</v>
      </c>
      <c r="Q3" s="14" t="s">
        <v>791</v>
      </c>
      <c r="R3" s="37"/>
      <c r="S3" s="14" t="s">
        <v>791</v>
      </c>
      <c r="T3" s="14" t="s">
        <v>791</v>
      </c>
      <c r="U3" s="14" t="s">
        <v>800</v>
      </c>
      <c r="V3" s="37"/>
      <c r="W3" s="37"/>
      <c r="X3" s="37"/>
      <c r="Y3" s="37"/>
      <c r="Z3" s="36">
        <v>110.0</v>
      </c>
      <c r="AA3" s="36">
        <v>24.0</v>
      </c>
      <c r="AB3" s="37"/>
      <c r="AC3" s="37"/>
      <c r="AD3" s="37"/>
      <c r="AE3" s="37"/>
      <c r="AF3" s="37"/>
      <c r="AG3" s="14" t="s">
        <v>801</v>
      </c>
      <c r="AL3" s="37"/>
      <c r="AM3" s="37"/>
      <c r="AN3" s="14" t="s">
        <v>802</v>
      </c>
    </row>
    <row r="4">
      <c r="A4" s="14" t="s">
        <v>803</v>
      </c>
      <c r="B4" s="14" t="s">
        <v>781</v>
      </c>
      <c r="C4" s="14" t="s">
        <v>804</v>
      </c>
      <c r="D4" s="14" t="s">
        <v>805</v>
      </c>
      <c r="E4" s="36">
        <v>628.0</v>
      </c>
      <c r="F4" s="14" t="s">
        <v>806</v>
      </c>
      <c r="G4" s="14" t="s">
        <v>807</v>
      </c>
      <c r="H4" s="14" t="s">
        <v>20</v>
      </c>
      <c r="I4" s="37"/>
      <c r="J4" s="38">
        <v>41110.0</v>
      </c>
      <c r="K4" s="14" t="s">
        <v>786</v>
      </c>
      <c r="L4" s="14" t="s">
        <v>787</v>
      </c>
      <c r="M4" s="36">
        <v>22.0</v>
      </c>
      <c r="N4" s="14" t="s">
        <v>788</v>
      </c>
      <c r="O4" s="14" t="s">
        <v>789</v>
      </c>
      <c r="P4" s="14" t="s">
        <v>808</v>
      </c>
      <c r="Q4" s="14" t="s">
        <v>791</v>
      </c>
      <c r="R4" s="37"/>
      <c r="S4" s="14" t="s">
        <v>788</v>
      </c>
      <c r="T4" s="14" t="s">
        <v>788</v>
      </c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14" t="s">
        <v>809</v>
      </c>
      <c r="AM4" s="37"/>
      <c r="AN4" s="14" t="s">
        <v>810</v>
      </c>
    </row>
    <row r="5">
      <c r="A5" s="14" t="s">
        <v>811</v>
      </c>
      <c r="B5" s="14" t="s">
        <v>781</v>
      </c>
      <c r="C5" s="14" t="s">
        <v>812</v>
      </c>
      <c r="D5" s="14" t="s">
        <v>813</v>
      </c>
      <c r="E5" s="36">
        <v>475.0</v>
      </c>
      <c r="F5" s="37"/>
      <c r="G5" s="14" t="s">
        <v>814</v>
      </c>
      <c r="H5" s="14" t="s">
        <v>20</v>
      </c>
      <c r="I5" s="38">
        <v>42736.0</v>
      </c>
      <c r="J5" s="38">
        <v>42736.0</v>
      </c>
      <c r="K5" s="14" t="s">
        <v>786</v>
      </c>
      <c r="L5" s="14" t="s">
        <v>787</v>
      </c>
      <c r="M5" s="36">
        <v>22.0</v>
      </c>
      <c r="N5" s="14" t="s">
        <v>791</v>
      </c>
      <c r="O5" s="14" t="s">
        <v>798</v>
      </c>
      <c r="P5" s="14" t="s">
        <v>799</v>
      </c>
      <c r="Q5" s="14" t="s">
        <v>791</v>
      </c>
      <c r="R5" s="37"/>
      <c r="S5" s="14" t="s">
        <v>788</v>
      </c>
      <c r="T5" s="14" t="s">
        <v>788</v>
      </c>
      <c r="U5" s="14" t="s">
        <v>815</v>
      </c>
      <c r="W5" s="37"/>
      <c r="X5" s="37"/>
      <c r="Y5" s="37"/>
      <c r="Z5" s="36">
        <v>76.0</v>
      </c>
      <c r="AA5" s="14" t="s">
        <v>816</v>
      </c>
      <c r="AC5" s="37"/>
      <c r="AD5" s="37"/>
      <c r="AE5" s="37"/>
      <c r="AF5" s="37"/>
      <c r="AG5" s="14" t="s">
        <v>817</v>
      </c>
      <c r="AI5" s="37"/>
      <c r="AJ5" s="37"/>
      <c r="AK5" s="37"/>
      <c r="AL5" s="37"/>
      <c r="AM5" s="37"/>
      <c r="AN5" s="14" t="s">
        <v>818</v>
      </c>
    </row>
    <row r="6">
      <c r="A6" s="14" t="s">
        <v>819</v>
      </c>
      <c r="B6" s="14" t="s">
        <v>781</v>
      </c>
      <c r="C6" s="14" t="s">
        <v>820</v>
      </c>
      <c r="D6" s="14" t="s">
        <v>821</v>
      </c>
      <c r="E6" s="36">
        <v>222.0</v>
      </c>
      <c r="F6" s="37"/>
      <c r="G6" s="14" t="s">
        <v>822</v>
      </c>
      <c r="H6" s="14" t="s">
        <v>20</v>
      </c>
      <c r="I6" s="38">
        <v>32782.0</v>
      </c>
      <c r="J6" s="38">
        <v>39405.0</v>
      </c>
      <c r="K6" s="14" t="s">
        <v>786</v>
      </c>
      <c r="L6" s="14" t="s">
        <v>787</v>
      </c>
      <c r="M6" s="36">
        <v>22.0</v>
      </c>
      <c r="N6" s="14" t="s">
        <v>791</v>
      </c>
      <c r="O6" s="14" t="s">
        <v>798</v>
      </c>
      <c r="P6" s="14" t="s">
        <v>799</v>
      </c>
      <c r="Q6" s="14" t="s">
        <v>791</v>
      </c>
      <c r="R6" s="37"/>
      <c r="S6" s="14" t="s">
        <v>788</v>
      </c>
      <c r="T6" s="14" t="s">
        <v>788</v>
      </c>
      <c r="U6" s="14" t="s">
        <v>823</v>
      </c>
      <c r="V6" s="37"/>
      <c r="W6" s="37"/>
      <c r="X6" s="37"/>
      <c r="Y6" s="37"/>
      <c r="Z6" s="36">
        <v>129.0</v>
      </c>
      <c r="AA6" s="36">
        <v>40.0</v>
      </c>
      <c r="AB6" s="37"/>
      <c r="AC6" s="37"/>
      <c r="AD6" s="37"/>
      <c r="AE6" s="37"/>
      <c r="AF6" s="37"/>
      <c r="AG6" s="14" t="s">
        <v>824</v>
      </c>
      <c r="AK6" s="37"/>
      <c r="AL6" s="37"/>
      <c r="AM6" s="37"/>
      <c r="AN6" s="14" t="s">
        <v>825</v>
      </c>
    </row>
    <row r="7">
      <c r="A7" s="14" t="s">
        <v>826</v>
      </c>
      <c r="B7" s="14" t="s">
        <v>781</v>
      </c>
      <c r="C7" s="14" t="s">
        <v>827</v>
      </c>
      <c r="D7" s="14" t="s">
        <v>828</v>
      </c>
      <c r="E7" s="36">
        <v>414.0</v>
      </c>
      <c r="F7" s="37"/>
      <c r="G7" s="14" t="s">
        <v>829</v>
      </c>
      <c r="H7" s="14" t="s">
        <v>20</v>
      </c>
      <c r="I7" s="38">
        <v>28216.0</v>
      </c>
      <c r="J7" s="38">
        <v>38062.0</v>
      </c>
      <c r="K7" s="14" t="s">
        <v>786</v>
      </c>
      <c r="L7" s="14" t="s">
        <v>787</v>
      </c>
      <c r="M7" s="36">
        <v>22.0</v>
      </c>
      <c r="N7" s="14" t="s">
        <v>791</v>
      </c>
      <c r="O7" s="14" t="s">
        <v>798</v>
      </c>
      <c r="P7" s="14" t="s">
        <v>830</v>
      </c>
      <c r="Q7" s="14" t="s">
        <v>791</v>
      </c>
      <c r="R7" s="37"/>
      <c r="S7" s="14" t="s">
        <v>788</v>
      </c>
      <c r="T7" s="14" t="s">
        <v>788</v>
      </c>
      <c r="U7" s="14" t="s">
        <v>831</v>
      </c>
      <c r="V7" s="37"/>
      <c r="W7" s="37"/>
      <c r="X7" s="37"/>
      <c r="Y7" s="37"/>
      <c r="Z7" s="36">
        <v>80.0</v>
      </c>
      <c r="AA7" s="36">
        <v>40.0</v>
      </c>
      <c r="AB7" s="37"/>
      <c r="AC7" s="37"/>
      <c r="AD7" s="37"/>
      <c r="AE7" s="37"/>
      <c r="AF7" s="37"/>
      <c r="AG7" s="14" t="s">
        <v>832</v>
      </c>
      <c r="AM7" s="37"/>
      <c r="AN7" s="14" t="s">
        <v>833</v>
      </c>
    </row>
    <row r="8">
      <c r="A8" s="14" t="s">
        <v>834</v>
      </c>
      <c r="B8" s="14" t="s">
        <v>781</v>
      </c>
      <c r="C8" s="14" t="s">
        <v>835</v>
      </c>
      <c r="D8" s="14" t="s">
        <v>836</v>
      </c>
      <c r="E8" s="36">
        <v>611.0</v>
      </c>
      <c r="F8" s="14" t="s">
        <v>837</v>
      </c>
      <c r="G8" s="14" t="s">
        <v>838</v>
      </c>
      <c r="H8" s="14" t="s">
        <v>20</v>
      </c>
      <c r="I8" s="38">
        <v>9935.0</v>
      </c>
      <c r="J8" s="38">
        <v>38934.0</v>
      </c>
      <c r="K8" s="14" t="s">
        <v>786</v>
      </c>
      <c r="L8" s="14" t="s">
        <v>787</v>
      </c>
      <c r="M8" s="36">
        <v>22.0</v>
      </c>
      <c r="N8" s="14" t="s">
        <v>791</v>
      </c>
      <c r="O8" s="14" t="s">
        <v>798</v>
      </c>
      <c r="P8" s="14" t="s">
        <v>799</v>
      </c>
      <c r="Q8" s="14" t="s">
        <v>791</v>
      </c>
      <c r="R8" s="37"/>
      <c r="S8" s="14" t="s">
        <v>788</v>
      </c>
      <c r="T8" s="14" t="s">
        <v>788</v>
      </c>
      <c r="U8" s="14" t="s">
        <v>839</v>
      </c>
      <c r="V8" s="37"/>
      <c r="W8" s="37"/>
      <c r="X8" s="37"/>
      <c r="Y8" s="37"/>
      <c r="Z8" s="36">
        <v>134.0</v>
      </c>
      <c r="AA8" s="36">
        <v>40.0</v>
      </c>
      <c r="AB8" s="37"/>
      <c r="AC8" s="37"/>
      <c r="AD8" s="37"/>
      <c r="AE8" s="37"/>
      <c r="AF8" s="37"/>
      <c r="AG8" s="14" t="s">
        <v>840</v>
      </c>
      <c r="AM8" s="37"/>
      <c r="AN8" s="14" t="s">
        <v>841</v>
      </c>
    </row>
    <row r="9">
      <c r="A9" s="14" t="s">
        <v>842</v>
      </c>
      <c r="B9" s="14" t="s">
        <v>781</v>
      </c>
      <c r="C9" s="14" t="s">
        <v>843</v>
      </c>
      <c r="D9" s="14" t="s">
        <v>844</v>
      </c>
      <c r="E9" s="36">
        <v>607.0</v>
      </c>
      <c r="F9" s="14" t="s">
        <v>845</v>
      </c>
      <c r="G9" s="14" t="s">
        <v>846</v>
      </c>
      <c r="H9" s="14" t="s">
        <v>20</v>
      </c>
      <c r="I9" s="38">
        <v>14960.0</v>
      </c>
      <c r="J9" s="38">
        <v>39044.0</v>
      </c>
      <c r="K9" s="14" t="s">
        <v>786</v>
      </c>
      <c r="L9" s="14" t="s">
        <v>787</v>
      </c>
      <c r="M9" s="36">
        <v>22.0</v>
      </c>
      <c r="N9" s="14" t="s">
        <v>791</v>
      </c>
      <c r="O9" s="14" t="s">
        <v>798</v>
      </c>
      <c r="P9" s="14" t="s">
        <v>830</v>
      </c>
      <c r="Q9" s="14" t="s">
        <v>791</v>
      </c>
      <c r="R9" s="37"/>
      <c r="S9" s="14" t="s">
        <v>788</v>
      </c>
      <c r="T9" s="14" t="s">
        <v>788</v>
      </c>
      <c r="U9" s="14" t="s">
        <v>800</v>
      </c>
      <c r="V9" s="37"/>
      <c r="W9" s="37"/>
      <c r="X9" s="37"/>
      <c r="Y9" s="37"/>
      <c r="Z9" s="36">
        <v>110.0</v>
      </c>
      <c r="AA9" s="36">
        <v>24.0</v>
      </c>
      <c r="AB9" s="37"/>
      <c r="AC9" s="37"/>
      <c r="AD9" s="37"/>
      <c r="AE9" s="37"/>
      <c r="AF9" s="37"/>
      <c r="AG9" s="14" t="s">
        <v>847</v>
      </c>
      <c r="AK9" s="37"/>
      <c r="AL9" s="37"/>
      <c r="AM9" s="37"/>
      <c r="AN9" s="14" t="s">
        <v>848</v>
      </c>
    </row>
    <row r="10">
      <c r="A10" s="14" t="s">
        <v>849</v>
      </c>
      <c r="B10" s="14" t="s">
        <v>781</v>
      </c>
      <c r="C10" s="14" t="s">
        <v>850</v>
      </c>
      <c r="D10" s="14" t="s">
        <v>851</v>
      </c>
      <c r="E10" s="36">
        <v>621.0</v>
      </c>
      <c r="F10" s="14" t="s">
        <v>852</v>
      </c>
      <c r="G10" s="14" t="s">
        <v>807</v>
      </c>
      <c r="H10" s="14" t="s">
        <v>103</v>
      </c>
      <c r="I10" s="38">
        <v>17715.0</v>
      </c>
      <c r="J10" s="38">
        <v>35384.0</v>
      </c>
      <c r="K10" s="14" t="s">
        <v>786</v>
      </c>
      <c r="L10" s="14" t="s">
        <v>787</v>
      </c>
      <c r="M10" s="36">
        <v>22.0</v>
      </c>
      <c r="N10" s="14" t="s">
        <v>791</v>
      </c>
      <c r="O10" s="14" t="s">
        <v>798</v>
      </c>
      <c r="P10" s="14" t="s">
        <v>853</v>
      </c>
      <c r="Q10" s="14" t="s">
        <v>791</v>
      </c>
      <c r="R10" s="37"/>
      <c r="S10" s="14" t="s">
        <v>791</v>
      </c>
      <c r="T10" s="14" t="s">
        <v>788</v>
      </c>
      <c r="U10" s="14" t="s">
        <v>854</v>
      </c>
      <c r="V10" s="37"/>
      <c r="W10" s="37"/>
      <c r="X10" s="37"/>
      <c r="Y10" s="37"/>
      <c r="Z10" s="36">
        <v>153.0</v>
      </c>
      <c r="AA10" s="36">
        <v>32.0</v>
      </c>
      <c r="AB10" s="37"/>
      <c r="AC10" s="37"/>
      <c r="AD10" s="37"/>
      <c r="AE10" s="37"/>
      <c r="AF10" s="37"/>
      <c r="AG10" s="14" t="s">
        <v>855</v>
      </c>
      <c r="AM10" s="37"/>
      <c r="AN10" s="14" t="s">
        <v>856</v>
      </c>
    </row>
    <row r="11">
      <c r="A11" s="14" t="s">
        <v>857</v>
      </c>
      <c r="B11" s="14" t="s">
        <v>781</v>
      </c>
      <c r="C11" s="14" t="s">
        <v>858</v>
      </c>
      <c r="D11" s="14" t="s">
        <v>859</v>
      </c>
      <c r="E11" s="36">
        <v>280.0</v>
      </c>
      <c r="F11" s="37"/>
      <c r="G11" s="14" t="s">
        <v>860</v>
      </c>
      <c r="H11" s="14" t="s">
        <v>68</v>
      </c>
      <c r="I11" s="38">
        <v>32478.0</v>
      </c>
      <c r="J11" s="38">
        <v>39584.0</v>
      </c>
      <c r="K11" s="14" t="s">
        <v>786</v>
      </c>
      <c r="L11" s="14" t="s">
        <v>787</v>
      </c>
      <c r="M11" s="36">
        <v>22.0</v>
      </c>
      <c r="N11" s="14" t="s">
        <v>791</v>
      </c>
      <c r="O11" s="14" t="s">
        <v>798</v>
      </c>
      <c r="P11" s="14" t="s">
        <v>799</v>
      </c>
      <c r="Q11" s="14" t="s">
        <v>791</v>
      </c>
      <c r="R11" s="37"/>
      <c r="S11" s="14" t="s">
        <v>791</v>
      </c>
      <c r="T11" s="14" t="s">
        <v>791</v>
      </c>
      <c r="U11" s="14" t="s">
        <v>861</v>
      </c>
      <c r="V11" s="37"/>
      <c r="W11" s="37"/>
      <c r="X11" s="37"/>
      <c r="Y11" s="37"/>
      <c r="Z11" s="36">
        <v>106.0</v>
      </c>
      <c r="AA11" s="14" t="s">
        <v>862</v>
      </c>
      <c r="AB11" s="37"/>
      <c r="AC11" s="37"/>
      <c r="AD11" s="37"/>
      <c r="AE11" s="37"/>
      <c r="AF11" s="37"/>
      <c r="AG11" s="14" t="s">
        <v>863</v>
      </c>
      <c r="AL11" s="37"/>
      <c r="AM11" s="37"/>
      <c r="AN11" s="14" t="s">
        <v>864</v>
      </c>
    </row>
    <row r="12">
      <c r="A12" s="14" t="s">
        <v>865</v>
      </c>
      <c r="B12" s="14" t="s">
        <v>781</v>
      </c>
      <c r="C12" s="14" t="s">
        <v>866</v>
      </c>
      <c r="D12" s="14" t="s">
        <v>867</v>
      </c>
      <c r="E12" s="36">
        <v>477.0</v>
      </c>
      <c r="F12" s="37"/>
      <c r="G12" s="14" t="s">
        <v>814</v>
      </c>
      <c r="H12" s="14" t="s">
        <v>20</v>
      </c>
      <c r="I12" s="38">
        <v>42736.0</v>
      </c>
      <c r="J12" s="38">
        <v>42736.0</v>
      </c>
      <c r="K12" s="14" t="s">
        <v>786</v>
      </c>
      <c r="L12" s="14" t="s">
        <v>787</v>
      </c>
      <c r="M12" s="36">
        <v>22.0</v>
      </c>
      <c r="N12" s="14" t="s">
        <v>791</v>
      </c>
      <c r="O12" s="14" t="s">
        <v>798</v>
      </c>
      <c r="P12" s="14" t="s">
        <v>868</v>
      </c>
      <c r="Q12" s="14" t="s">
        <v>791</v>
      </c>
      <c r="R12" s="37"/>
      <c r="S12" s="14" t="s">
        <v>788</v>
      </c>
      <c r="T12" s="14" t="s">
        <v>788</v>
      </c>
      <c r="U12" s="14" t="s">
        <v>869</v>
      </c>
      <c r="W12" s="37"/>
      <c r="X12" s="37"/>
      <c r="Y12" s="37"/>
      <c r="Z12" s="36">
        <v>0.0</v>
      </c>
      <c r="AA12" s="37"/>
      <c r="AB12" s="37"/>
      <c r="AC12" s="37"/>
      <c r="AD12" s="37"/>
      <c r="AE12" s="37"/>
      <c r="AF12" s="37"/>
      <c r="AG12" s="14" t="s">
        <v>870</v>
      </c>
      <c r="AK12" s="37"/>
      <c r="AL12" s="37"/>
      <c r="AM12" s="37"/>
      <c r="AN12" s="14" t="s">
        <v>871</v>
      </c>
    </row>
    <row r="13">
      <c r="A13" s="14" t="s">
        <v>872</v>
      </c>
      <c r="B13" s="14" t="s">
        <v>781</v>
      </c>
      <c r="C13" s="14" t="s">
        <v>873</v>
      </c>
      <c r="D13" s="14" t="s">
        <v>874</v>
      </c>
      <c r="E13" s="36">
        <v>279.0</v>
      </c>
      <c r="F13" s="37"/>
      <c r="G13" s="14" t="s">
        <v>860</v>
      </c>
      <c r="H13" s="14" t="s">
        <v>68</v>
      </c>
      <c r="I13" s="37"/>
      <c r="J13" s="38">
        <v>40760.0</v>
      </c>
      <c r="K13" s="14" t="s">
        <v>786</v>
      </c>
      <c r="L13" s="14" t="s">
        <v>787</v>
      </c>
      <c r="M13" s="36">
        <v>22.0</v>
      </c>
      <c r="N13" s="14" t="s">
        <v>788</v>
      </c>
      <c r="O13" s="14" t="s">
        <v>789</v>
      </c>
      <c r="P13" s="14" t="s">
        <v>799</v>
      </c>
      <c r="Q13" s="14" t="s">
        <v>791</v>
      </c>
      <c r="R13" s="37"/>
      <c r="S13" s="14" t="s">
        <v>788</v>
      </c>
      <c r="T13" s="14" t="s">
        <v>788</v>
      </c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14" t="s">
        <v>875</v>
      </c>
      <c r="AN13" s="14" t="s">
        <v>876</v>
      </c>
    </row>
    <row r="14">
      <c r="A14" s="14" t="s">
        <v>877</v>
      </c>
      <c r="B14" s="14" t="s">
        <v>781</v>
      </c>
      <c r="C14" s="14" t="s">
        <v>878</v>
      </c>
      <c r="D14" s="14" t="s">
        <v>879</v>
      </c>
      <c r="E14" s="36">
        <v>276.0</v>
      </c>
      <c r="F14" s="37"/>
      <c r="G14" s="14" t="s">
        <v>785</v>
      </c>
      <c r="H14" s="14" t="s">
        <v>20</v>
      </c>
      <c r="I14" s="38">
        <v>22087.0</v>
      </c>
      <c r="J14" s="38">
        <v>46000.0</v>
      </c>
      <c r="K14" s="14" t="s">
        <v>786</v>
      </c>
      <c r="L14" s="14" t="s">
        <v>787</v>
      </c>
      <c r="M14" s="36">
        <v>22.0</v>
      </c>
      <c r="N14" s="14" t="s">
        <v>791</v>
      </c>
      <c r="O14" s="14" t="s">
        <v>798</v>
      </c>
      <c r="P14" s="14" t="s">
        <v>799</v>
      </c>
      <c r="Q14" s="14" t="s">
        <v>791</v>
      </c>
      <c r="R14" s="37"/>
      <c r="S14" s="14" t="s">
        <v>788</v>
      </c>
      <c r="T14" s="14" t="s">
        <v>788</v>
      </c>
      <c r="U14" s="14" t="s">
        <v>880</v>
      </c>
      <c r="V14" s="37"/>
      <c r="W14" s="37"/>
      <c r="X14" s="37"/>
      <c r="Y14" s="37"/>
      <c r="Z14" s="36">
        <v>166.0</v>
      </c>
      <c r="AA14" s="36">
        <v>40.0</v>
      </c>
      <c r="AB14" s="37"/>
      <c r="AC14" s="37"/>
      <c r="AD14" s="37"/>
      <c r="AE14" s="37"/>
      <c r="AF14" s="37"/>
      <c r="AG14" s="14" t="s">
        <v>881</v>
      </c>
      <c r="AL14" s="37"/>
      <c r="AM14" s="37"/>
      <c r="AN14" s="14" t="s">
        <v>882</v>
      </c>
    </row>
    <row r="15">
      <c r="A15" s="14" t="s">
        <v>883</v>
      </c>
      <c r="B15" s="14" t="s">
        <v>781</v>
      </c>
      <c r="C15" s="14" t="s">
        <v>782</v>
      </c>
      <c r="D15" s="14" t="s">
        <v>783</v>
      </c>
      <c r="E15" s="36">
        <v>612.0</v>
      </c>
      <c r="F15" s="14" t="s">
        <v>784</v>
      </c>
      <c r="G15" s="14" t="s">
        <v>785</v>
      </c>
      <c r="H15" s="14" t="s">
        <v>20</v>
      </c>
      <c r="I15" s="38">
        <v>3.0</v>
      </c>
      <c r="J15" s="38">
        <v>40700.0</v>
      </c>
      <c r="K15" s="14" t="s">
        <v>786</v>
      </c>
      <c r="L15" s="14" t="s">
        <v>787</v>
      </c>
      <c r="M15" s="36">
        <v>22.0</v>
      </c>
      <c r="N15" s="14" t="s">
        <v>788</v>
      </c>
      <c r="O15" s="14" t="s">
        <v>789</v>
      </c>
      <c r="P15" s="14" t="s">
        <v>790</v>
      </c>
      <c r="Q15" s="14" t="s">
        <v>791</v>
      </c>
      <c r="R15" s="37"/>
      <c r="S15" s="14" t="s">
        <v>788</v>
      </c>
      <c r="T15" s="14" t="s">
        <v>788</v>
      </c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14" t="s">
        <v>884</v>
      </c>
      <c r="AN15" s="14" t="s">
        <v>885</v>
      </c>
    </row>
    <row r="16">
      <c r="A16" s="14" t="s">
        <v>886</v>
      </c>
      <c r="B16" s="14" t="s">
        <v>781</v>
      </c>
      <c r="C16" s="14" t="s">
        <v>887</v>
      </c>
      <c r="D16" s="14" t="s">
        <v>888</v>
      </c>
      <c r="E16" s="36">
        <v>424.0</v>
      </c>
      <c r="F16" s="37"/>
      <c r="G16" s="14" t="s">
        <v>889</v>
      </c>
      <c r="H16" s="14" t="s">
        <v>890</v>
      </c>
      <c r="I16" s="38">
        <v>35405.0</v>
      </c>
      <c r="J16" s="38">
        <v>44987.0</v>
      </c>
      <c r="K16" s="14" t="s">
        <v>786</v>
      </c>
      <c r="L16" s="14" t="s">
        <v>787</v>
      </c>
      <c r="M16" s="36">
        <v>22.0</v>
      </c>
      <c r="N16" s="14" t="s">
        <v>791</v>
      </c>
      <c r="O16" s="14" t="s">
        <v>798</v>
      </c>
      <c r="P16" s="14" t="s">
        <v>799</v>
      </c>
      <c r="Q16" s="14" t="s">
        <v>791</v>
      </c>
      <c r="R16" s="37"/>
      <c r="S16" s="14" t="s">
        <v>788</v>
      </c>
      <c r="T16" s="14" t="s">
        <v>791</v>
      </c>
      <c r="U16" s="14" t="s">
        <v>891</v>
      </c>
      <c r="W16" s="37"/>
      <c r="X16" s="37"/>
      <c r="Y16" s="37"/>
      <c r="Z16" s="36">
        <v>74.0</v>
      </c>
      <c r="AA16" s="14" t="s">
        <v>892</v>
      </c>
      <c r="AC16" s="37"/>
      <c r="AD16" s="37"/>
      <c r="AE16" s="37"/>
      <c r="AF16" s="37"/>
      <c r="AG16" s="14" t="s">
        <v>893</v>
      </c>
      <c r="AK16" s="37"/>
      <c r="AL16" s="37"/>
      <c r="AM16" s="37"/>
      <c r="AN16" s="14" t="s">
        <v>894</v>
      </c>
    </row>
    <row r="17">
      <c r="A17" s="14" t="s">
        <v>895</v>
      </c>
      <c r="B17" s="14" t="s">
        <v>781</v>
      </c>
      <c r="C17" s="14" t="s">
        <v>896</v>
      </c>
      <c r="D17" s="14" t="s">
        <v>897</v>
      </c>
      <c r="E17" s="36">
        <v>614.0</v>
      </c>
      <c r="F17" s="14" t="s">
        <v>898</v>
      </c>
      <c r="G17" s="14" t="s">
        <v>807</v>
      </c>
      <c r="H17" s="14" t="s">
        <v>20</v>
      </c>
      <c r="I17" s="38">
        <v>3.0</v>
      </c>
      <c r="J17" s="38">
        <v>40664.0</v>
      </c>
      <c r="K17" s="14" t="s">
        <v>786</v>
      </c>
      <c r="L17" s="14" t="s">
        <v>787</v>
      </c>
      <c r="M17" s="36">
        <v>22.0</v>
      </c>
      <c r="N17" s="14" t="s">
        <v>788</v>
      </c>
      <c r="O17" s="14" t="s">
        <v>789</v>
      </c>
      <c r="P17" s="14" t="s">
        <v>853</v>
      </c>
      <c r="Q17" s="14" t="s">
        <v>791</v>
      </c>
      <c r="R17" s="37"/>
      <c r="S17" s="14" t="s">
        <v>788</v>
      </c>
      <c r="T17" s="14" t="s">
        <v>788</v>
      </c>
      <c r="U17" s="37"/>
      <c r="V17" s="37"/>
      <c r="W17" s="37"/>
      <c r="X17" s="37"/>
      <c r="Y17" s="37"/>
      <c r="Z17" s="36">
        <v>0.0</v>
      </c>
      <c r="AA17" s="37"/>
      <c r="AB17" s="37"/>
      <c r="AC17" s="37"/>
      <c r="AD17" s="37"/>
      <c r="AE17" s="37"/>
      <c r="AF17" s="37"/>
      <c r="AG17" s="14" t="s">
        <v>899</v>
      </c>
      <c r="AK17" s="37"/>
      <c r="AL17" s="37"/>
      <c r="AM17" s="37"/>
      <c r="AN17" s="14" t="s">
        <v>900</v>
      </c>
    </row>
    <row r="18">
      <c r="A18" s="14" t="s">
        <v>901</v>
      </c>
      <c r="B18" s="14" t="s">
        <v>781</v>
      </c>
      <c r="C18" s="14" t="s">
        <v>820</v>
      </c>
      <c r="D18" s="14" t="s">
        <v>821</v>
      </c>
      <c r="E18" s="36">
        <v>222.0</v>
      </c>
      <c r="F18" s="37"/>
      <c r="G18" s="14" t="s">
        <v>822</v>
      </c>
      <c r="H18" s="14" t="s">
        <v>20</v>
      </c>
      <c r="I18" s="38">
        <v>32782.0</v>
      </c>
      <c r="J18" s="38">
        <v>39647.0</v>
      </c>
      <c r="K18" s="14" t="s">
        <v>786</v>
      </c>
      <c r="L18" s="14" t="s">
        <v>787</v>
      </c>
      <c r="M18" s="36">
        <v>22.0</v>
      </c>
      <c r="N18" s="14" t="s">
        <v>791</v>
      </c>
      <c r="O18" s="14" t="s">
        <v>798</v>
      </c>
      <c r="P18" s="14" t="s">
        <v>799</v>
      </c>
      <c r="Q18" s="14" t="s">
        <v>791</v>
      </c>
      <c r="R18" s="37"/>
      <c r="S18" s="14" t="s">
        <v>788</v>
      </c>
      <c r="T18" s="14" t="s">
        <v>788</v>
      </c>
      <c r="U18" s="14" t="s">
        <v>902</v>
      </c>
      <c r="V18" s="37"/>
      <c r="W18" s="37"/>
      <c r="X18" s="37"/>
      <c r="Y18" s="37"/>
      <c r="Z18" s="36">
        <v>56.0</v>
      </c>
      <c r="AA18" s="36">
        <v>40.0</v>
      </c>
      <c r="AB18" s="37"/>
      <c r="AC18" s="37"/>
      <c r="AD18" s="37"/>
      <c r="AE18" s="37"/>
      <c r="AF18" s="37"/>
      <c r="AG18" s="14" t="s">
        <v>903</v>
      </c>
      <c r="AK18" s="37"/>
      <c r="AL18" s="37"/>
      <c r="AM18" s="37"/>
      <c r="AN18" s="14" t="s">
        <v>904</v>
      </c>
    </row>
    <row r="19">
      <c r="A19" s="14" t="s">
        <v>905</v>
      </c>
      <c r="B19" s="14" t="s">
        <v>781</v>
      </c>
      <c r="C19" s="14" t="s">
        <v>827</v>
      </c>
      <c r="D19" s="14" t="s">
        <v>828</v>
      </c>
      <c r="E19" s="36">
        <v>414.0</v>
      </c>
      <c r="F19" s="37"/>
      <c r="G19" s="14" t="s">
        <v>829</v>
      </c>
      <c r="H19" s="14" t="s">
        <v>20</v>
      </c>
      <c r="I19" s="38">
        <v>28216.0</v>
      </c>
      <c r="J19" s="38">
        <v>38430.0</v>
      </c>
      <c r="K19" s="14" t="s">
        <v>786</v>
      </c>
      <c r="L19" s="14" t="s">
        <v>787</v>
      </c>
      <c r="M19" s="36">
        <v>22.0</v>
      </c>
      <c r="N19" s="14" t="s">
        <v>791</v>
      </c>
      <c r="O19" s="14" t="s">
        <v>798</v>
      </c>
      <c r="P19" s="14" t="s">
        <v>830</v>
      </c>
      <c r="Q19" s="14" t="s">
        <v>791</v>
      </c>
      <c r="R19" s="37"/>
      <c r="S19" s="14" t="s">
        <v>788</v>
      </c>
      <c r="T19" s="14" t="s">
        <v>788</v>
      </c>
      <c r="U19" s="14" t="s">
        <v>906</v>
      </c>
      <c r="V19" s="37"/>
      <c r="W19" s="37"/>
      <c r="X19" s="37"/>
      <c r="Y19" s="37"/>
      <c r="Z19" s="36">
        <v>92.0</v>
      </c>
      <c r="AA19" s="36">
        <v>40.0</v>
      </c>
      <c r="AB19" s="37"/>
      <c r="AC19" s="37"/>
      <c r="AD19" s="37"/>
      <c r="AE19" s="37"/>
      <c r="AF19" s="37"/>
      <c r="AG19" s="14" t="s">
        <v>907</v>
      </c>
      <c r="AK19" s="37"/>
      <c r="AL19" s="37"/>
      <c r="AM19" s="37"/>
      <c r="AN19" s="14" t="s">
        <v>908</v>
      </c>
    </row>
    <row r="20">
      <c r="A20" s="14" t="s">
        <v>909</v>
      </c>
      <c r="B20" s="14" t="s">
        <v>781</v>
      </c>
      <c r="C20" s="14" t="s">
        <v>866</v>
      </c>
      <c r="D20" s="14" t="s">
        <v>867</v>
      </c>
      <c r="E20" s="36">
        <v>477.0</v>
      </c>
      <c r="F20" s="37"/>
      <c r="G20" s="14" t="s">
        <v>814</v>
      </c>
      <c r="H20" s="14" t="s">
        <v>20</v>
      </c>
      <c r="I20" s="38">
        <v>42736.0</v>
      </c>
      <c r="J20" s="38">
        <v>42736.0</v>
      </c>
      <c r="K20" s="14" t="s">
        <v>786</v>
      </c>
      <c r="L20" s="14" t="s">
        <v>787</v>
      </c>
      <c r="M20" s="36">
        <v>22.0</v>
      </c>
      <c r="N20" s="14" t="s">
        <v>791</v>
      </c>
      <c r="O20" s="14" t="s">
        <v>798</v>
      </c>
      <c r="P20" s="14" t="s">
        <v>868</v>
      </c>
      <c r="Q20" s="14" t="s">
        <v>791</v>
      </c>
      <c r="R20" s="37"/>
      <c r="S20" s="14" t="s">
        <v>791</v>
      </c>
      <c r="T20" s="14" t="s">
        <v>791</v>
      </c>
      <c r="U20" s="14" t="s">
        <v>910</v>
      </c>
      <c r="W20" s="37"/>
      <c r="X20" s="37"/>
      <c r="Y20" s="37"/>
      <c r="Z20" s="36">
        <v>0.0</v>
      </c>
      <c r="AA20" s="37"/>
      <c r="AB20" s="37"/>
      <c r="AC20" s="37"/>
      <c r="AD20" s="37"/>
      <c r="AE20" s="37"/>
      <c r="AF20" s="37"/>
      <c r="AG20" s="14" t="s">
        <v>911</v>
      </c>
      <c r="AK20" s="37"/>
      <c r="AL20" s="37"/>
      <c r="AM20" s="37"/>
      <c r="AN20" s="14" t="s">
        <v>912</v>
      </c>
    </row>
    <row r="21">
      <c r="A21" s="14" t="s">
        <v>913</v>
      </c>
      <c r="B21" s="14" t="s">
        <v>781</v>
      </c>
      <c r="C21" s="14" t="s">
        <v>914</v>
      </c>
      <c r="D21" s="14" t="s">
        <v>915</v>
      </c>
      <c r="E21" s="36">
        <v>146.0</v>
      </c>
      <c r="F21" s="37"/>
      <c r="G21" s="14" t="s">
        <v>807</v>
      </c>
      <c r="H21" s="14" t="s">
        <v>20</v>
      </c>
      <c r="I21" s="38">
        <v>35517.0</v>
      </c>
      <c r="J21" s="38">
        <v>45016.0</v>
      </c>
      <c r="K21" s="14" t="s">
        <v>786</v>
      </c>
      <c r="L21" s="14" t="s">
        <v>787</v>
      </c>
      <c r="M21" s="36">
        <v>22.0</v>
      </c>
      <c r="N21" s="14" t="s">
        <v>791</v>
      </c>
      <c r="O21" s="14" t="s">
        <v>798</v>
      </c>
      <c r="P21" s="14" t="s">
        <v>799</v>
      </c>
      <c r="Q21" s="14" t="s">
        <v>791</v>
      </c>
      <c r="R21" s="37"/>
      <c r="S21" s="14" t="s">
        <v>788</v>
      </c>
      <c r="T21" s="14" t="s">
        <v>788</v>
      </c>
      <c r="U21" s="14" t="s">
        <v>916</v>
      </c>
      <c r="W21" s="37"/>
      <c r="X21" s="37"/>
      <c r="Y21" s="37"/>
      <c r="Z21" s="36">
        <v>112.0</v>
      </c>
      <c r="AA21" s="14" t="s">
        <v>917</v>
      </c>
      <c r="AC21" s="37"/>
      <c r="AD21" s="37"/>
      <c r="AE21" s="37"/>
      <c r="AF21" s="37"/>
      <c r="AG21" s="14" t="s">
        <v>918</v>
      </c>
      <c r="AM21" s="37"/>
      <c r="AN21" s="14" t="s">
        <v>919</v>
      </c>
    </row>
    <row r="22">
      <c r="A22" s="14" t="s">
        <v>920</v>
      </c>
      <c r="B22" s="14" t="s">
        <v>781</v>
      </c>
      <c r="C22" s="14" t="s">
        <v>795</v>
      </c>
      <c r="D22" s="14" t="s">
        <v>796</v>
      </c>
      <c r="E22" s="36">
        <v>471.0</v>
      </c>
      <c r="F22" s="37"/>
      <c r="G22" s="14" t="s">
        <v>797</v>
      </c>
      <c r="H22" s="14" t="s">
        <v>20</v>
      </c>
      <c r="I22" s="38">
        <v>43343.0</v>
      </c>
      <c r="J22" s="38">
        <v>43343.0</v>
      </c>
      <c r="K22" s="14" t="s">
        <v>786</v>
      </c>
      <c r="L22" s="14" t="s">
        <v>787</v>
      </c>
      <c r="M22" s="36">
        <v>22.0</v>
      </c>
      <c r="N22" s="14" t="s">
        <v>791</v>
      </c>
      <c r="O22" s="14" t="s">
        <v>798</v>
      </c>
      <c r="P22" s="14" t="s">
        <v>868</v>
      </c>
      <c r="Q22" s="14" t="s">
        <v>791</v>
      </c>
      <c r="R22" s="37"/>
      <c r="S22" s="14" t="s">
        <v>788</v>
      </c>
      <c r="T22" s="14" t="s">
        <v>788</v>
      </c>
      <c r="U22" s="14" t="s">
        <v>921</v>
      </c>
      <c r="V22" s="37"/>
      <c r="W22" s="37"/>
      <c r="X22" s="37"/>
      <c r="Y22" s="37"/>
      <c r="Z22" s="36">
        <v>90.0</v>
      </c>
      <c r="AA22" s="36">
        <v>40.0</v>
      </c>
      <c r="AB22" s="37"/>
      <c r="AC22" s="37"/>
      <c r="AD22" s="37"/>
      <c r="AE22" s="37"/>
      <c r="AF22" s="37"/>
      <c r="AG22" s="14" t="s">
        <v>922</v>
      </c>
      <c r="AM22" s="37"/>
      <c r="AN22" s="14" t="s">
        <v>923</v>
      </c>
    </row>
    <row r="23">
      <c r="A23" s="14" t="s">
        <v>924</v>
      </c>
      <c r="B23" s="14" t="s">
        <v>781</v>
      </c>
      <c r="C23" s="14" t="s">
        <v>925</v>
      </c>
      <c r="D23" s="14" t="s">
        <v>926</v>
      </c>
      <c r="E23" s="36">
        <v>278.0</v>
      </c>
      <c r="F23" s="37"/>
      <c r="G23" s="14" t="s">
        <v>860</v>
      </c>
      <c r="H23" s="14" t="s">
        <v>68</v>
      </c>
      <c r="I23" s="38">
        <v>32478.0</v>
      </c>
      <c r="J23" s="38">
        <v>39420.0</v>
      </c>
      <c r="K23" s="14" t="s">
        <v>786</v>
      </c>
      <c r="L23" s="14" t="s">
        <v>787</v>
      </c>
      <c r="M23" s="36">
        <v>22.0</v>
      </c>
      <c r="N23" s="14" t="s">
        <v>791</v>
      </c>
      <c r="O23" s="14" t="s">
        <v>798</v>
      </c>
      <c r="P23" s="14" t="s">
        <v>799</v>
      </c>
      <c r="Q23" s="14" t="s">
        <v>791</v>
      </c>
      <c r="R23" s="37"/>
      <c r="S23" s="14" t="s">
        <v>788</v>
      </c>
      <c r="T23" s="14" t="s">
        <v>788</v>
      </c>
      <c r="U23" s="14" t="s">
        <v>861</v>
      </c>
      <c r="V23" s="37"/>
      <c r="W23" s="37"/>
      <c r="X23" s="37"/>
      <c r="Y23" s="37"/>
      <c r="Z23" s="36">
        <v>106.0</v>
      </c>
      <c r="AA23" s="14" t="s">
        <v>862</v>
      </c>
      <c r="AB23" s="37"/>
      <c r="AC23" s="37"/>
      <c r="AD23" s="37"/>
      <c r="AE23" s="37"/>
      <c r="AF23" s="37"/>
      <c r="AG23" s="14" t="s">
        <v>927</v>
      </c>
      <c r="AM23" s="37"/>
      <c r="AN23" s="14" t="s">
        <v>928</v>
      </c>
    </row>
    <row r="24">
      <c r="A24" s="14" t="s">
        <v>929</v>
      </c>
      <c r="B24" s="14" t="s">
        <v>781</v>
      </c>
      <c r="C24" s="14" t="s">
        <v>930</v>
      </c>
      <c r="D24" s="14" t="s">
        <v>931</v>
      </c>
      <c r="E24" s="36">
        <v>602.0</v>
      </c>
      <c r="F24" s="14" t="s">
        <v>932</v>
      </c>
      <c r="G24" s="14" t="s">
        <v>933</v>
      </c>
      <c r="H24" s="14" t="s">
        <v>20</v>
      </c>
      <c r="I24" s="37"/>
      <c r="J24" s="38">
        <v>41071.0</v>
      </c>
      <c r="K24" s="14" t="s">
        <v>786</v>
      </c>
      <c r="L24" s="14" t="s">
        <v>787</v>
      </c>
      <c r="M24" s="36">
        <v>22.0</v>
      </c>
      <c r="N24" s="14" t="s">
        <v>788</v>
      </c>
      <c r="O24" s="14" t="s">
        <v>789</v>
      </c>
      <c r="P24" s="14" t="s">
        <v>790</v>
      </c>
      <c r="Q24" s="14" t="s">
        <v>791</v>
      </c>
      <c r="R24" s="37"/>
      <c r="S24" s="14" t="s">
        <v>788</v>
      </c>
      <c r="T24" s="14" t="s">
        <v>788</v>
      </c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14" t="s">
        <v>934</v>
      </c>
      <c r="AN24" s="14" t="s">
        <v>935</v>
      </c>
    </row>
    <row r="25">
      <c r="A25" s="14" t="s">
        <v>936</v>
      </c>
      <c r="B25" s="14" t="s">
        <v>781</v>
      </c>
      <c r="C25" s="14" t="s">
        <v>843</v>
      </c>
      <c r="D25" s="14" t="s">
        <v>844</v>
      </c>
      <c r="E25" s="36">
        <v>607.0</v>
      </c>
      <c r="F25" s="14" t="s">
        <v>845</v>
      </c>
      <c r="G25" s="14" t="s">
        <v>846</v>
      </c>
      <c r="H25" s="14" t="s">
        <v>20</v>
      </c>
      <c r="I25" s="38">
        <v>14960.0</v>
      </c>
      <c r="J25" s="38">
        <v>39044.0</v>
      </c>
      <c r="K25" s="14" t="s">
        <v>786</v>
      </c>
      <c r="L25" s="14" t="s">
        <v>787</v>
      </c>
      <c r="M25" s="36">
        <v>22.0</v>
      </c>
      <c r="N25" s="14" t="s">
        <v>791</v>
      </c>
      <c r="O25" s="14" t="s">
        <v>798</v>
      </c>
      <c r="P25" s="14" t="s">
        <v>830</v>
      </c>
      <c r="Q25" s="14" t="s">
        <v>791</v>
      </c>
      <c r="R25" s="37"/>
      <c r="S25" s="14" t="s">
        <v>788</v>
      </c>
      <c r="T25" s="14" t="s">
        <v>788</v>
      </c>
      <c r="U25" s="14" t="s">
        <v>800</v>
      </c>
      <c r="V25" s="37"/>
      <c r="W25" s="37"/>
      <c r="X25" s="37"/>
      <c r="Y25" s="37"/>
      <c r="Z25" s="36">
        <v>109.0</v>
      </c>
      <c r="AA25" s="36">
        <v>24.0</v>
      </c>
      <c r="AB25" s="37"/>
      <c r="AC25" s="37"/>
      <c r="AD25" s="37"/>
      <c r="AE25" s="37"/>
      <c r="AF25" s="37"/>
      <c r="AG25" s="14" t="s">
        <v>937</v>
      </c>
      <c r="AN25" s="14" t="s">
        <v>938</v>
      </c>
    </row>
    <row r="26">
      <c r="A26" s="14" t="s">
        <v>939</v>
      </c>
      <c r="B26" s="14" t="s">
        <v>781</v>
      </c>
      <c r="C26" s="14" t="s">
        <v>940</v>
      </c>
      <c r="D26" s="14" t="s">
        <v>941</v>
      </c>
      <c r="E26" s="36">
        <v>223.0</v>
      </c>
      <c r="F26" s="37"/>
      <c r="G26" s="14" t="s">
        <v>822</v>
      </c>
      <c r="H26" s="14" t="s">
        <v>20</v>
      </c>
      <c r="I26" s="38">
        <v>32782.0</v>
      </c>
      <c r="J26" s="38">
        <v>46107.0</v>
      </c>
      <c r="K26" s="14" t="s">
        <v>786</v>
      </c>
      <c r="L26" s="14" t="s">
        <v>787</v>
      </c>
      <c r="M26" s="36">
        <v>22.0</v>
      </c>
      <c r="N26" s="14" t="s">
        <v>791</v>
      </c>
      <c r="O26" s="14" t="s">
        <v>798</v>
      </c>
      <c r="P26" s="14" t="s">
        <v>799</v>
      </c>
      <c r="Q26" s="14" t="s">
        <v>791</v>
      </c>
      <c r="R26" s="37"/>
      <c r="S26" s="14" t="s">
        <v>788</v>
      </c>
      <c r="T26" s="14" t="s">
        <v>788</v>
      </c>
      <c r="U26" s="14" t="s">
        <v>942</v>
      </c>
      <c r="V26" s="37"/>
      <c r="W26" s="37"/>
      <c r="X26" s="37"/>
      <c r="Y26" s="37"/>
      <c r="Z26" s="36">
        <v>91.0</v>
      </c>
      <c r="AA26" s="14" t="s">
        <v>943</v>
      </c>
      <c r="AB26" s="37"/>
      <c r="AC26" s="37"/>
      <c r="AD26" s="37"/>
      <c r="AE26" s="37"/>
      <c r="AF26" s="37"/>
      <c r="AG26" s="14" t="s">
        <v>944</v>
      </c>
      <c r="AM26" s="37"/>
      <c r="AN26" s="14" t="s">
        <v>945</v>
      </c>
    </row>
    <row r="27">
      <c r="A27" s="14" t="s">
        <v>946</v>
      </c>
      <c r="B27" s="14" t="s">
        <v>781</v>
      </c>
      <c r="C27" s="14" t="s">
        <v>940</v>
      </c>
      <c r="D27" s="14" t="s">
        <v>941</v>
      </c>
      <c r="E27" s="36">
        <v>223.0</v>
      </c>
      <c r="F27" s="37"/>
      <c r="G27" s="14" t="s">
        <v>822</v>
      </c>
      <c r="H27" s="14" t="s">
        <v>20</v>
      </c>
      <c r="I27" s="38">
        <v>32782.0</v>
      </c>
      <c r="J27" s="38">
        <v>46107.0</v>
      </c>
      <c r="K27" s="14" t="s">
        <v>786</v>
      </c>
      <c r="L27" s="14" t="s">
        <v>787</v>
      </c>
      <c r="M27" s="36">
        <v>22.0</v>
      </c>
      <c r="N27" s="14" t="s">
        <v>791</v>
      </c>
      <c r="O27" s="14" t="s">
        <v>798</v>
      </c>
      <c r="P27" s="14" t="s">
        <v>799</v>
      </c>
      <c r="Q27" s="14" t="s">
        <v>791</v>
      </c>
      <c r="R27" s="37"/>
      <c r="S27" s="14" t="s">
        <v>788</v>
      </c>
      <c r="T27" s="14" t="s">
        <v>788</v>
      </c>
      <c r="U27" s="14" t="s">
        <v>947</v>
      </c>
      <c r="V27" s="37"/>
      <c r="W27" s="37"/>
      <c r="X27" s="37"/>
      <c r="Y27" s="37"/>
      <c r="Z27" s="36">
        <v>65.0</v>
      </c>
      <c r="AA27" s="14" t="s">
        <v>943</v>
      </c>
      <c r="AB27" s="37"/>
      <c r="AC27" s="37"/>
      <c r="AD27" s="37"/>
      <c r="AE27" s="37"/>
      <c r="AF27" s="37"/>
      <c r="AG27" s="14" t="s">
        <v>948</v>
      </c>
      <c r="AL27" s="37"/>
      <c r="AM27" s="37"/>
      <c r="AN27" s="14" t="s">
        <v>949</v>
      </c>
    </row>
    <row r="28">
      <c r="A28" s="14" t="s">
        <v>950</v>
      </c>
      <c r="B28" s="14" t="s">
        <v>781</v>
      </c>
      <c r="C28" s="14" t="s">
        <v>951</v>
      </c>
      <c r="D28" s="14" t="s">
        <v>952</v>
      </c>
      <c r="E28" s="36">
        <v>613.0</v>
      </c>
      <c r="F28" s="14" t="s">
        <v>953</v>
      </c>
      <c r="G28" s="14" t="s">
        <v>954</v>
      </c>
      <c r="H28" s="14" t="s">
        <v>20</v>
      </c>
      <c r="I28" s="38">
        <v>22965.0</v>
      </c>
      <c r="J28" s="38">
        <v>45519.0</v>
      </c>
      <c r="K28" s="14" t="s">
        <v>786</v>
      </c>
      <c r="L28" s="14" t="s">
        <v>787</v>
      </c>
      <c r="M28" s="36">
        <v>22.0</v>
      </c>
      <c r="N28" s="14" t="s">
        <v>791</v>
      </c>
      <c r="O28" s="14" t="s">
        <v>798</v>
      </c>
      <c r="P28" s="14" t="s">
        <v>853</v>
      </c>
      <c r="Q28" s="14" t="s">
        <v>791</v>
      </c>
      <c r="R28" s="37"/>
      <c r="S28" s="14" t="s">
        <v>788</v>
      </c>
      <c r="T28" s="14" t="s">
        <v>788</v>
      </c>
      <c r="U28" s="14" t="s">
        <v>955</v>
      </c>
      <c r="V28" s="37"/>
      <c r="W28" s="37"/>
      <c r="X28" s="37"/>
      <c r="Y28" s="37"/>
      <c r="Z28" s="36">
        <v>172.0</v>
      </c>
      <c r="AA28" s="36">
        <v>40.0</v>
      </c>
      <c r="AB28" s="37"/>
      <c r="AC28" s="37"/>
      <c r="AD28" s="37"/>
      <c r="AE28" s="37"/>
      <c r="AF28" s="37"/>
      <c r="AG28" s="14" t="s">
        <v>956</v>
      </c>
      <c r="AK28" s="37"/>
      <c r="AL28" s="37"/>
      <c r="AM28" s="37"/>
      <c r="AN28" s="14" t="s">
        <v>957</v>
      </c>
    </row>
    <row r="29">
      <c r="A29" s="14" t="s">
        <v>958</v>
      </c>
      <c r="B29" s="14" t="s">
        <v>781</v>
      </c>
      <c r="C29" s="14" t="s">
        <v>959</v>
      </c>
      <c r="D29" s="14" t="s">
        <v>960</v>
      </c>
      <c r="E29" s="36">
        <v>635.0</v>
      </c>
      <c r="F29" s="14" t="s">
        <v>961</v>
      </c>
      <c r="G29" s="14" t="s">
        <v>838</v>
      </c>
      <c r="H29" s="14" t="s">
        <v>20</v>
      </c>
      <c r="I29" s="38">
        <v>39888.0</v>
      </c>
      <c r="J29" s="38">
        <v>42913.0</v>
      </c>
      <c r="K29" s="14" t="s">
        <v>786</v>
      </c>
      <c r="L29" s="14" t="s">
        <v>787</v>
      </c>
      <c r="M29" s="36">
        <v>22.0</v>
      </c>
      <c r="N29" s="14" t="s">
        <v>791</v>
      </c>
      <c r="O29" s="14" t="s">
        <v>798</v>
      </c>
      <c r="P29" s="14" t="s">
        <v>799</v>
      </c>
      <c r="Q29" s="14" t="s">
        <v>791</v>
      </c>
      <c r="R29" s="37"/>
      <c r="S29" s="14" t="s">
        <v>788</v>
      </c>
      <c r="T29" s="14" t="s">
        <v>788</v>
      </c>
      <c r="U29" s="14" t="s">
        <v>962</v>
      </c>
      <c r="W29" s="37"/>
      <c r="X29" s="37"/>
      <c r="Y29" s="37"/>
      <c r="Z29" s="36">
        <v>109.0</v>
      </c>
      <c r="AA29" s="14" t="s">
        <v>963</v>
      </c>
      <c r="AC29" s="37"/>
      <c r="AD29" s="37"/>
      <c r="AE29" s="37"/>
      <c r="AF29" s="37"/>
      <c r="AG29" s="14" t="s">
        <v>964</v>
      </c>
      <c r="AK29" s="37"/>
      <c r="AL29" s="37"/>
      <c r="AM29" s="37"/>
      <c r="AN29" s="14" t="s">
        <v>965</v>
      </c>
    </row>
    <row r="30">
      <c r="A30" s="14" t="s">
        <v>966</v>
      </c>
      <c r="B30" s="14" t="s">
        <v>781</v>
      </c>
      <c r="C30" s="14" t="s">
        <v>967</v>
      </c>
      <c r="D30" s="14" t="s">
        <v>968</v>
      </c>
      <c r="E30" s="36">
        <v>610.0</v>
      </c>
      <c r="F30" s="14" t="s">
        <v>969</v>
      </c>
      <c r="G30" s="14" t="s">
        <v>954</v>
      </c>
      <c r="H30" s="14" t="s">
        <v>20</v>
      </c>
      <c r="I30" s="38">
        <v>19937.0</v>
      </c>
      <c r="J30" s="38">
        <v>45430.0</v>
      </c>
      <c r="K30" s="14" t="s">
        <v>786</v>
      </c>
      <c r="L30" s="14" t="s">
        <v>787</v>
      </c>
      <c r="M30" s="36">
        <v>22.0</v>
      </c>
      <c r="N30" s="14" t="s">
        <v>791</v>
      </c>
      <c r="O30" s="14" t="s">
        <v>798</v>
      </c>
      <c r="P30" s="14" t="s">
        <v>853</v>
      </c>
      <c r="Q30" s="14" t="s">
        <v>791</v>
      </c>
      <c r="R30" s="37"/>
      <c r="S30" s="14" t="s">
        <v>788</v>
      </c>
      <c r="T30" s="14" t="s">
        <v>788</v>
      </c>
      <c r="U30" s="14" t="s">
        <v>943</v>
      </c>
      <c r="V30" s="37"/>
      <c r="W30" s="37"/>
      <c r="X30" s="37"/>
      <c r="Y30" s="37"/>
      <c r="Z30" s="36">
        <v>123.0</v>
      </c>
      <c r="AA30" s="36">
        <v>40.0</v>
      </c>
      <c r="AB30" s="37"/>
      <c r="AC30" s="37"/>
      <c r="AD30" s="37"/>
      <c r="AE30" s="37"/>
      <c r="AF30" s="37"/>
      <c r="AG30" s="14" t="s">
        <v>970</v>
      </c>
      <c r="AL30" s="37"/>
      <c r="AM30" s="37"/>
      <c r="AN30" s="14" t="s">
        <v>971</v>
      </c>
    </row>
    <row r="31">
      <c r="A31" s="14" t="s">
        <v>972</v>
      </c>
      <c r="B31" s="14" t="s">
        <v>781</v>
      </c>
      <c r="C31" s="14" t="s">
        <v>967</v>
      </c>
      <c r="D31" s="14" t="s">
        <v>968</v>
      </c>
      <c r="E31" s="36">
        <v>610.0</v>
      </c>
      <c r="F31" s="14" t="s">
        <v>969</v>
      </c>
      <c r="G31" s="14" t="s">
        <v>954</v>
      </c>
      <c r="H31" s="14" t="s">
        <v>20</v>
      </c>
      <c r="I31" s="38">
        <v>32690.0</v>
      </c>
      <c r="J31" s="38">
        <v>43987.0</v>
      </c>
      <c r="K31" s="14" t="s">
        <v>786</v>
      </c>
      <c r="L31" s="14" t="s">
        <v>787</v>
      </c>
      <c r="M31" s="36">
        <v>22.0</v>
      </c>
      <c r="N31" s="14" t="s">
        <v>791</v>
      </c>
      <c r="O31" s="14" t="s">
        <v>798</v>
      </c>
      <c r="P31" s="14" t="s">
        <v>853</v>
      </c>
      <c r="Q31" s="14" t="s">
        <v>791</v>
      </c>
      <c r="R31" s="37"/>
      <c r="S31" s="14" t="s">
        <v>791</v>
      </c>
      <c r="T31" s="14" t="s">
        <v>788</v>
      </c>
      <c r="U31" s="14" t="s">
        <v>973</v>
      </c>
      <c r="V31" s="37"/>
      <c r="W31" s="37"/>
      <c r="X31" s="37"/>
      <c r="Y31" s="37"/>
      <c r="Z31" s="36">
        <v>77.0</v>
      </c>
      <c r="AA31" s="36">
        <v>40.0</v>
      </c>
      <c r="AB31" s="37"/>
      <c r="AC31" s="37"/>
      <c r="AD31" s="37"/>
      <c r="AE31" s="37"/>
      <c r="AF31" s="37"/>
      <c r="AG31" s="14" t="s">
        <v>974</v>
      </c>
      <c r="AN31" s="14" t="s">
        <v>975</v>
      </c>
    </row>
    <row r="32">
      <c r="A32" s="14" t="s">
        <v>976</v>
      </c>
      <c r="B32" s="14" t="s">
        <v>781</v>
      </c>
      <c r="C32" s="14" t="s">
        <v>820</v>
      </c>
      <c r="D32" s="14" t="s">
        <v>821</v>
      </c>
      <c r="E32" s="36">
        <v>222.0</v>
      </c>
      <c r="F32" s="37"/>
      <c r="G32" s="14" t="s">
        <v>822</v>
      </c>
      <c r="H32" s="14" t="s">
        <v>20</v>
      </c>
      <c r="I32" s="38">
        <v>32782.0</v>
      </c>
      <c r="J32" s="38">
        <v>39379.0</v>
      </c>
      <c r="K32" s="14" t="s">
        <v>786</v>
      </c>
      <c r="L32" s="14" t="s">
        <v>787</v>
      </c>
      <c r="M32" s="36">
        <v>22.0</v>
      </c>
      <c r="N32" s="14" t="s">
        <v>791</v>
      </c>
      <c r="O32" s="14" t="s">
        <v>798</v>
      </c>
      <c r="P32" s="14" t="s">
        <v>799</v>
      </c>
      <c r="Q32" s="14" t="s">
        <v>791</v>
      </c>
      <c r="R32" s="37"/>
      <c r="S32" s="14" t="s">
        <v>788</v>
      </c>
      <c r="T32" s="14" t="s">
        <v>788</v>
      </c>
      <c r="U32" s="14" t="s">
        <v>902</v>
      </c>
      <c r="V32" s="37"/>
      <c r="W32" s="37"/>
      <c r="X32" s="37"/>
      <c r="Y32" s="37"/>
      <c r="Z32" s="36">
        <v>56.0</v>
      </c>
      <c r="AA32" s="36">
        <v>40.0</v>
      </c>
      <c r="AB32" s="37"/>
      <c r="AC32" s="37"/>
      <c r="AD32" s="37"/>
      <c r="AE32" s="37"/>
      <c r="AF32" s="37"/>
      <c r="AG32" s="14" t="s">
        <v>977</v>
      </c>
      <c r="AK32" s="37"/>
      <c r="AL32" s="37"/>
      <c r="AM32" s="37"/>
      <c r="AN32" s="14" t="s">
        <v>978</v>
      </c>
    </row>
    <row r="33">
      <c r="A33" s="14" t="s">
        <v>979</v>
      </c>
      <c r="B33" s="14" t="s">
        <v>781</v>
      </c>
      <c r="C33" s="14" t="s">
        <v>795</v>
      </c>
      <c r="D33" s="14" t="s">
        <v>796</v>
      </c>
      <c r="E33" s="36">
        <v>471.0</v>
      </c>
      <c r="F33" s="37"/>
      <c r="G33" s="14" t="s">
        <v>797</v>
      </c>
      <c r="H33" s="14" t="s">
        <v>20</v>
      </c>
      <c r="I33" s="38">
        <v>42260.0</v>
      </c>
      <c r="J33" s="38">
        <v>42260.0</v>
      </c>
      <c r="K33" s="14" t="s">
        <v>786</v>
      </c>
      <c r="L33" s="14" t="s">
        <v>787</v>
      </c>
      <c r="M33" s="36">
        <v>22.0</v>
      </c>
      <c r="N33" s="14" t="s">
        <v>791</v>
      </c>
      <c r="O33" s="14" t="s">
        <v>798</v>
      </c>
      <c r="P33" s="14" t="s">
        <v>799</v>
      </c>
      <c r="Q33" s="14" t="s">
        <v>791</v>
      </c>
      <c r="R33" s="37"/>
      <c r="S33" s="14" t="s">
        <v>788</v>
      </c>
      <c r="T33" s="14" t="s">
        <v>788</v>
      </c>
      <c r="U33" s="14" t="s">
        <v>980</v>
      </c>
      <c r="W33" s="37"/>
      <c r="X33" s="37"/>
      <c r="Y33" s="37"/>
      <c r="Z33" s="36">
        <v>283.0</v>
      </c>
      <c r="AA33" s="14" t="s">
        <v>981</v>
      </c>
      <c r="AC33" s="37"/>
      <c r="AD33" s="37"/>
      <c r="AE33" s="37"/>
      <c r="AF33" s="37"/>
      <c r="AG33" s="14" t="s">
        <v>982</v>
      </c>
      <c r="AN33" s="14" t="s">
        <v>983</v>
      </c>
    </row>
    <row r="34">
      <c r="A34" s="14" t="s">
        <v>984</v>
      </c>
      <c r="B34" s="14" t="s">
        <v>781</v>
      </c>
      <c r="C34" s="14" t="s">
        <v>985</v>
      </c>
      <c r="D34" s="14" t="s">
        <v>986</v>
      </c>
      <c r="E34" s="36">
        <v>55.0</v>
      </c>
      <c r="F34" s="37"/>
      <c r="G34" s="14" t="s">
        <v>987</v>
      </c>
      <c r="H34" s="14" t="s">
        <v>103</v>
      </c>
      <c r="I34" s="38">
        <v>29677.0</v>
      </c>
      <c r="J34" s="38">
        <v>37504.0</v>
      </c>
      <c r="K34" s="14" t="s">
        <v>786</v>
      </c>
      <c r="L34" s="14" t="s">
        <v>787</v>
      </c>
      <c r="M34" s="36">
        <v>22.0</v>
      </c>
      <c r="N34" s="14" t="s">
        <v>791</v>
      </c>
      <c r="O34" s="14" t="s">
        <v>798</v>
      </c>
      <c r="P34" s="14" t="s">
        <v>830</v>
      </c>
      <c r="Q34" s="14" t="s">
        <v>791</v>
      </c>
      <c r="R34" s="37"/>
      <c r="S34" s="14" t="s">
        <v>791</v>
      </c>
      <c r="T34" s="14" t="s">
        <v>791</v>
      </c>
      <c r="U34" s="14" t="s">
        <v>902</v>
      </c>
      <c r="V34" s="37"/>
      <c r="W34" s="37"/>
      <c r="X34" s="37"/>
      <c r="Y34" s="37"/>
      <c r="Z34" s="36">
        <v>59.0</v>
      </c>
      <c r="AA34" s="36">
        <v>24.0</v>
      </c>
      <c r="AB34" s="37"/>
      <c r="AC34" s="37"/>
      <c r="AD34" s="37"/>
      <c r="AE34" s="37"/>
      <c r="AF34" s="37"/>
      <c r="AG34" s="14" t="s">
        <v>988</v>
      </c>
      <c r="AL34" s="37"/>
      <c r="AM34" s="37"/>
      <c r="AN34" s="14" t="s">
        <v>989</v>
      </c>
    </row>
    <row r="35">
      <c r="A35" s="14" t="s">
        <v>990</v>
      </c>
      <c r="B35" s="14" t="s">
        <v>781</v>
      </c>
      <c r="C35" s="14" t="s">
        <v>991</v>
      </c>
      <c r="D35" s="14" t="s">
        <v>992</v>
      </c>
      <c r="E35" s="36">
        <v>636.0</v>
      </c>
      <c r="F35" s="14" t="s">
        <v>993</v>
      </c>
      <c r="G35" s="14" t="s">
        <v>807</v>
      </c>
      <c r="H35" s="14" t="s">
        <v>103</v>
      </c>
      <c r="I35" s="38">
        <v>21306.0</v>
      </c>
      <c r="J35" s="38">
        <v>44273.0</v>
      </c>
      <c r="K35" s="14" t="s">
        <v>786</v>
      </c>
      <c r="L35" s="14" t="s">
        <v>787</v>
      </c>
      <c r="M35" s="36">
        <v>22.0</v>
      </c>
      <c r="N35" s="14" t="s">
        <v>791</v>
      </c>
      <c r="O35" s="14" t="s">
        <v>798</v>
      </c>
      <c r="P35" s="14" t="s">
        <v>853</v>
      </c>
      <c r="Q35" s="14" t="s">
        <v>791</v>
      </c>
      <c r="R35" s="37"/>
      <c r="S35" s="14" t="s">
        <v>791</v>
      </c>
      <c r="T35" s="14" t="s">
        <v>791</v>
      </c>
      <c r="U35" s="14" t="s">
        <v>994</v>
      </c>
      <c r="V35" s="37"/>
      <c r="W35" s="37"/>
      <c r="X35" s="37"/>
      <c r="Y35" s="37"/>
      <c r="Z35" s="36">
        <v>78.0</v>
      </c>
      <c r="AA35" s="36">
        <v>40.0</v>
      </c>
      <c r="AB35" s="37"/>
      <c r="AC35" s="37"/>
      <c r="AD35" s="37"/>
      <c r="AE35" s="37"/>
      <c r="AF35" s="37"/>
      <c r="AG35" s="14" t="s">
        <v>995</v>
      </c>
      <c r="AL35" s="37"/>
      <c r="AM35" s="37"/>
      <c r="AN35" s="14" t="s">
        <v>996</v>
      </c>
    </row>
    <row r="36">
      <c r="A36" s="14" t="s">
        <v>997</v>
      </c>
      <c r="B36" s="14" t="s">
        <v>781</v>
      </c>
      <c r="C36" s="14" t="s">
        <v>827</v>
      </c>
      <c r="D36" s="14" t="s">
        <v>828</v>
      </c>
      <c r="E36" s="36">
        <v>414.0</v>
      </c>
      <c r="F36" s="37"/>
      <c r="G36" s="14" t="s">
        <v>829</v>
      </c>
      <c r="H36" s="14" t="s">
        <v>20</v>
      </c>
      <c r="I36" s="38">
        <v>28216.0</v>
      </c>
      <c r="J36" s="38">
        <v>45231.0</v>
      </c>
      <c r="K36" s="14" t="s">
        <v>786</v>
      </c>
      <c r="L36" s="14" t="s">
        <v>787</v>
      </c>
      <c r="M36" s="36">
        <v>22.0</v>
      </c>
      <c r="N36" s="14" t="s">
        <v>791</v>
      </c>
      <c r="O36" s="14" t="s">
        <v>798</v>
      </c>
      <c r="P36" s="14" t="s">
        <v>799</v>
      </c>
      <c r="Q36" s="14" t="s">
        <v>791</v>
      </c>
      <c r="R36" s="37"/>
      <c r="S36" s="14" t="s">
        <v>791</v>
      </c>
      <c r="T36" s="14" t="s">
        <v>791</v>
      </c>
      <c r="U36" s="14" t="s">
        <v>998</v>
      </c>
      <c r="V36" s="37"/>
      <c r="W36" s="37"/>
      <c r="X36" s="37"/>
      <c r="Y36" s="37"/>
      <c r="Z36" s="36">
        <v>67.0</v>
      </c>
      <c r="AA36" s="36">
        <v>40.0</v>
      </c>
      <c r="AB36" s="37"/>
      <c r="AC36" s="37"/>
      <c r="AD36" s="37"/>
      <c r="AE36" s="37"/>
      <c r="AF36" s="37"/>
      <c r="AG36" s="14" t="s">
        <v>999</v>
      </c>
      <c r="AL36" s="37"/>
      <c r="AM36" s="37"/>
      <c r="AN36" s="14" t="s">
        <v>1000</v>
      </c>
    </row>
    <row r="37">
      <c r="A37" s="14" t="s">
        <v>1001</v>
      </c>
      <c r="B37" s="14" t="s">
        <v>781</v>
      </c>
      <c r="C37" s="14" t="s">
        <v>795</v>
      </c>
      <c r="D37" s="14" t="s">
        <v>796</v>
      </c>
      <c r="E37" s="36">
        <v>471.0</v>
      </c>
      <c r="F37" s="37"/>
      <c r="G37" s="14" t="s">
        <v>797</v>
      </c>
      <c r="H37" s="14" t="s">
        <v>20</v>
      </c>
      <c r="I37" s="38">
        <v>43343.0</v>
      </c>
      <c r="J37" s="38">
        <v>43343.0</v>
      </c>
      <c r="K37" s="14" t="s">
        <v>786</v>
      </c>
      <c r="L37" s="14" t="s">
        <v>787</v>
      </c>
      <c r="M37" s="36">
        <v>22.0</v>
      </c>
      <c r="N37" s="14" t="s">
        <v>791</v>
      </c>
      <c r="O37" s="14" t="s">
        <v>798</v>
      </c>
      <c r="P37" s="14" t="s">
        <v>868</v>
      </c>
      <c r="Q37" s="14" t="s">
        <v>791</v>
      </c>
      <c r="R37" s="37"/>
      <c r="S37" s="14" t="s">
        <v>788</v>
      </c>
      <c r="T37" s="14" t="s">
        <v>788</v>
      </c>
      <c r="U37" s="14" t="s">
        <v>861</v>
      </c>
      <c r="V37" s="37"/>
      <c r="W37" s="37"/>
      <c r="X37" s="37"/>
      <c r="Y37" s="37"/>
      <c r="Z37" s="36">
        <v>109.0</v>
      </c>
      <c r="AA37" s="36">
        <v>24.0</v>
      </c>
      <c r="AB37" s="37"/>
      <c r="AC37" s="37"/>
      <c r="AD37" s="37"/>
      <c r="AE37" s="37"/>
      <c r="AF37" s="37"/>
      <c r="AG37" s="14" t="s">
        <v>1002</v>
      </c>
      <c r="AL37" s="37"/>
      <c r="AM37" s="37"/>
      <c r="AN37" s="14" t="s">
        <v>1003</v>
      </c>
    </row>
    <row r="38">
      <c r="A38" s="14" t="s">
        <v>1004</v>
      </c>
      <c r="B38" s="14" t="s">
        <v>781</v>
      </c>
      <c r="C38" s="14" t="s">
        <v>1005</v>
      </c>
      <c r="D38" s="14" t="s">
        <v>1006</v>
      </c>
      <c r="E38" s="36">
        <v>353.0</v>
      </c>
      <c r="F38" s="37"/>
      <c r="G38" s="14" t="s">
        <v>1007</v>
      </c>
      <c r="H38" s="14" t="s">
        <v>103</v>
      </c>
      <c r="I38" s="38">
        <v>14255.0</v>
      </c>
      <c r="J38" s="38">
        <v>37336.0</v>
      </c>
      <c r="K38" s="14" t="s">
        <v>786</v>
      </c>
      <c r="L38" s="14" t="s">
        <v>787</v>
      </c>
      <c r="M38" s="36">
        <v>22.0</v>
      </c>
      <c r="N38" s="14" t="s">
        <v>791</v>
      </c>
      <c r="O38" s="14" t="s">
        <v>798</v>
      </c>
      <c r="P38" s="14" t="s">
        <v>830</v>
      </c>
      <c r="Q38" s="14" t="s">
        <v>791</v>
      </c>
      <c r="R38" s="37"/>
      <c r="S38" s="14" t="s">
        <v>788</v>
      </c>
      <c r="T38" s="14" t="s">
        <v>788</v>
      </c>
      <c r="U38" s="14" t="s">
        <v>906</v>
      </c>
      <c r="V38" s="37"/>
      <c r="W38" s="37"/>
      <c r="X38" s="37"/>
      <c r="Y38" s="37"/>
      <c r="Z38" s="36">
        <v>84.0</v>
      </c>
      <c r="AA38" s="36">
        <v>40.0</v>
      </c>
      <c r="AB38" s="37"/>
      <c r="AC38" s="37"/>
      <c r="AD38" s="37"/>
      <c r="AE38" s="37"/>
      <c r="AF38" s="37"/>
      <c r="AG38" s="14" t="s">
        <v>1008</v>
      </c>
      <c r="AL38" s="37"/>
      <c r="AM38" s="37"/>
      <c r="AN38" s="14" t="s">
        <v>1009</v>
      </c>
    </row>
    <row r="39">
      <c r="A39" s="14" t="s">
        <v>1010</v>
      </c>
      <c r="B39" s="14" t="s">
        <v>781</v>
      </c>
      <c r="C39" s="14" t="s">
        <v>1011</v>
      </c>
      <c r="D39" s="14" t="s">
        <v>1012</v>
      </c>
      <c r="E39" s="36">
        <v>476.0</v>
      </c>
      <c r="F39" s="37"/>
      <c r="G39" s="14" t="s">
        <v>814</v>
      </c>
      <c r="H39" s="14" t="s">
        <v>20</v>
      </c>
      <c r="I39" s="38">
        <v>42736.0</v>
      </c>
      <c r="J39" s="38">
        <v>42736.0</v>
      </c>
      <c r="K39" s="14" t="s">
        <v>786</v>
      </c>
      <c r="L39" s="14" t="s">
        <v>787</v>
      </c>
      <c r="M39" s="36">
        <v>22.0</v>
      </c>
      <c r="N39" s="14" t="s">
        <v>791</v>
      </c>
      <c r="O39" s="14" t="s">
        <v>798</v>
      </c>
      <c r="P39" s="14" t="s">
        <v>799</v>
      </c>
      <c r="Q39" s="14" t="s">
        <v>791</v>
      </c>
      <c r="R39" s="37"/>
      <c r="S39" s="14" t="s">
        <v>788</v>
      </c>
      <c r="T39" s="14" t="s">
        <v>788</v>
      </c>
      <c r="U39" s="14" t="s">
        <v>1013</v>
      </c>
      <c r="W39" s="37"/>
      <c r="X39" s="37"/>
      <c r="Y39" s="37"/>
      <c r="Z39" s="36">
        <v>164.0</v>
      </c>
      <c r="AA39" s="14" t="s">
        <v>963</v>
      </c>
      <c r="AC39" s="37"/>
      <c r="AD39" s="37"/>
      <c r="AE39" s="37"/>
      <c r="AF39" s="37"/>
      <c r="AG39" s="14" t="s">
        <v>1014</v>
      </c>
      <c r="AL39" s="37"/>
      <c r="AM39" s="37"/>
      <c r="AN39" s="14" t="s">
        <v>1015</v>
      </c>
    </row>
    <row r="40">
      <c r="A40" s="14" t="s">
        <v>1016</v>
      </c>
      <c r="B40" s="14" t="s">
        <v>781</v>
      </c>
      <c r="C40" s="14" t="s">
        <v>866</v>
      </c>
      <c r="D40" s="14" t="s">
        <v>867</v>
      </c>
      <c r="E40" s="36">
        <v>477.0</v>
      </c>
      <c r="F40" s="37"/>
      <c r="G40" s="14" t="s">
        <v>814</v>
      </c>
      <c r="H40" s="14" t="s">
        <v>20</v>
      </c>
      <c r="I40" s="38">
        <v>42736.0</v>
      </c>
      <c r="J40" s="38">
        <v>42736.0</v>
      </c>
      <c r="K40" s="14" t="s">
        <v>786</v>
      </c>
      <c r="L40" s="14" t="s">
        <v>787</v>
      </c>
      <c r="M40" s="36">
        <v>22.0</v>
      </c>
      <c r="N40" s="14" t="s">
        <v>791</v>
      </c>
      <c r="O40" s="14" t="s">
        <v>798</v>
      </c>
      <c r="P40" s="14" t="s">
        <v>868</v>
      </c>
      <c r="Q40" s="14" t="s">
        <v>791</v>
      </c>
      <c r="R40" s="37"/>
      <c r="S40" s="14" t="s">
        <v>788</v>
      </c>
      <c r="T40" s="14" t="s">
        <v>788</v>
      </c>
      <c r="U40" s="14" t="s">
        <v>1017</v>
      </c>
      <c r="W40" s="37"/>
      <c r="X40" s="37"/>
      <c r="Y40" s="37"/>
      <c r="Z40" s="36">
        <v>0.0</v>
      </c>
      <c r="AA40" s="37"/>
      <c r="AB40" s="37"/>
      <c r="AC40" s="37"/>
      <c r="AD40" s="37"/>
      <c r="AE40" s="37"/>
      <c r="AF40" s="37"/>
      <c r="AG40" s="14" t="s">
        <v>1018</v>
      </c>
      <c r="AJ40" s="37"/>
      <c r="AK40" s="37"/>
      <c r="AL40" s="37"/>
      <c r="AM40" s="37"/>
      <c r="AN40" s="14" t="s">
        <v>1019</v>
      </c>
    </row>
    <row r="41">
      <c r="A41" s="14" t="s">
        <v>1020</v>
      </c>
      <c r="B41" s="14" t="s">
        <v>781</v>
      </c>
      <c r="C41" s="14" t="s">
        <v>843</v>
      </c>
      <c r="D41" s="14" t="s">
        <v>844</v>
      </c>
      <c r="E41" s="36">
        <v>607.0</v>
      </c>
      <c r="F41" s="14" t="s">
        <v>845</v>
      </c>
      <c r="G41" s="14" t="s">
        <v>846</v>
      </c>
      <c r="H41" s="14" t="s">
        <v>20</v>
      </c>
      <c r="I41" s="38">
        <v>14960.0</v>
      </c>
      <c r="J41" s="38">
        <v>39046.0</v>
      </c>
      <c r="K41" s="14" t="s">
        <v>786</v>
      </c>
      <c r="L41" s="14" t="s">
        <v>787</v>
      </c>
      <c r="M41" s="36">
        <v>22.0</v>
      </c>
      <c r="N41" s="14" t="s">
        <v>791</v>
      </c>
      <c r="O41" s="14" t="s">
        <v>798</v>
      </c>
      <c r="P41" s="14" t="s">
        <v>830</v>
      </c>
      <c r="Q41" s="14" t="s">
        <v>791</v>
      </c>
      <c r="R41" s="37"/>
      <c r="S41" s="14" t="s">
        <v>788</v>
      </c>
      <c r="T41" s="14" t="s">
        <v>788</v>
      </c>
      <c r="U41" s="14" t="s">
        <v>1021</v>
      </c>
      <c r="V41" s="37"/>
      <c r="W41" s="37"/>
      <c r="X41" s="37"/>
      <c r="Y41" s="37"/>
      <c r="Z41" s="36">
        <v>55.0</v>
      </c>
      <c r="AA41" s="36">
        <v>24.0</v>
      </c>
      <c r="AB41" s="37"/>
      <c r="AC41" s="37"/>
      <c r="AD41" s="37"/>
      <c r="AE41" s="37"/>
      <c r="AF41" s="37"/>
      <c r="AG41" s="14" t="s">
        <v>1022</v>
      </c>
      <c r="AM41" s="37"/>
      <c r="AN41" s="14" t="s">
        <v>1023</v>
      </c>
    </row>
    <row r="42">
      <c r="A42" s="14" t="s">
        <v>1024</v>
      </c>
      <c r="B42" s="14" t="s">
        <v>781</v>
      </c>
      <c r="C42" s="14" t="s">
        <v>1025</v>
      </c>
      <c r="D42" s="14" t="s">
        <v>1026</v>
      </c>
      <c r="E42" s="36">
        <v>620.0</v>
      </c>
      <c r="F42" s="14" t="s">
        <v>1027</v>
      </c>
      <c r="G42" s="14" t="s">
        <v>1028</v>
      </c>
      <c r="H42" s="14" t="s">
        <v>103</v>
      </c>
      <c r="I42" s="38">
        <v>8192.0</v>
      </c>
      <c r="J42" s="38">
        <v>37819.0</v>
      </c>
      <c r="K42" s="14" t="s">
        <v>786</v>
      </c>
      <c r="L42" s="14" t="s">
        <v>787</v>
      </c>
      <c r="M42" s="36">
        <v>22.0</v>
      </c>
      <c r="N42" s="14" t="s">
        <v>791</v>
      </c>
      <c r="O42" s="14" t="s">
        <v>798</v>
      </c>
      <c r="P42" s="14" t="s">
        <v>830</v>
      </c>
      <c r="Q42" s="14" t="s">
        <v>791</v>
      </c>
      <c r="R42" s="37"/>
      <c r="S42" s="14" t="s">
        <v>788</v>
      </c>
      <c r="T42" s="14" t="s">
        <v>788</v>
      </c>
      <c r="U42" s="14" t="s">
        <v>1029</v>
      </c>
      <c r="V42" s="37"/>
      <c r="W42" s="37"/>
      <c r="X42" s="37"/>
      <c r="Y42" s="37"/>
      <c r="Z42" s="36">
        <v>84.0</v>
      </c>
      <c r="AA42" s="36">
        <v>40.0</v>
      </c>
      <c r="AB42" s="37"/>
      <c r="AC42" s="37"/>
      <c r="AD42" s="37"/>
      <c r="AE42" s="37"/>
      <c r="AF42" s="37"/>
      <c r="AG42" s="14" t="s">
        <v>1030</v>
      </c>
      <c r="AN42" s="14" t="s">
        <v>1031</v>
      </c>
    </row>
    <row r="43">
      <c r="A43" s="14" t="s">
        <v>1032</v>
      </c>
      <c r="B43" s="14" t="s">
        <v>781</v>
      </c>
      <c r="C43" s="14" t="s">
        <v>1033</v>
      </c>
      <c r="D43" s="14" t="s">
        <v>1034</v>
      </c>
      <c r="E43" s="36">
        <v>613.0</v>
      </c>
      <c r="F43" s="14" t="s">
        <v>953</v>
      </c>
      <c r="G43" s="14" t="s">
        <v>1035</v>
      </c>
      <c r="H43" s="14" t="s">
        <v>20</v>
      </c>
      <c r="I43" s="38">
        <v>26967.0</v>
      </c>
      <c r="J43" s="38">
        <v>37738.0</v>
      </c>
      <c r="K43" s="14" t="s">
        <v>786</v>
      </c>
      <c r="L43" s="14" t="s">
        <v>787</v>
      </c>
      <c r="M43" s="36">
        <v>22.0</v>
      </c>
      <c r="N43" s="14" t="s">
        <v>791</v>
      </c>
      <c r="O43" s="14" t="s">
        <v>798</v>
      </c>
      <c r="P43" s="14" t="s">
        <v>830</v>
      </c>
      <c r="Q43" s="14" t="s">
        <v>791</v>
      </c>
      <c r="R43" s="37"/>
      <c r="S43" s="14" t="s">
        <v>788</v>
      </c>
      <c r="T43" s="14" t="s">
        <v>788</v>
      </c>
      <c r="U43" s="14" t="s">
        <v>1036</v>
      </c>
      <c r="V43" s="37"/>
      <c r="W43" s="37"/>
      <c r="X43" s="37"/>
      <c r="Y43" s="37"/>
      <c r="Z43" s="36">
        <v>117.0</v>
      </c>
      <c r="AA43" s="36">
        <v>40.0</v>
      </c>
      <c r="AB43" s="37"/>
      <c r="AC43" s="37"/>
      <c r="AD43" s="37"/>
      <c r="AE43" s="37"/>
      <c r="AF43" s="37"/>
      <c r="AG43" s="14" t="s">
        <v>1037</v>
      </c>
      <c r="AL43" s="37"/>
      <c r="AM43" s="37"/>
      <c r="AN43" s="14" t="s">
        <v>1038</v>
      </c>
    </row>
    <row r="44">
      <c r="A44" s="14" t="s">
        <v>1039</v>
      </c>
      <c r="B44" s="14" t="s">
        <v>781</v>
      </c>
      <c r="C44" s="14" t="s">
        <v>1040</v>
      </c>
      <c r="D44" s="14" t="s">
        <v>1041</v>
      </c>
      <c r="E44" s="36">
        <v>617.0</v>
      </c>
      <c r="F44" s="14" t="s">
        <v>1042</v>
      </c>
      <c r="G44" s="14" t="s">
        <v>1043</v>
      </c>
      <c r="H44" s="14" t="s">
        <v>103</v>
      </c>
      <c r="I44" s="37"/>
      <c r="J44" s="38">
        <v>41187.0</v>
      </c>
      <c r="K44" s="14" t="s">
        <v>786</v>
      </c>
      <c r="L44" s="14" t="s">
        <v>787</v>
      </c>
      <c r="M44" s="36">
        <v>22.0</v>
      </c>
      <c r="N44" s="14" t="s">
        <v>788</v>
      </c>
      <c r="O44" s="14" t="s">
        <v>789</v>
      </c>
      <c r="P44" s="14" t="s">
        <v>868</v>
      </c>
      <c r="Q44" s="14" t="s">
        <v>791</v>
      </c>
      <c r="R44" s="37"/>
      <c r="S44" s="14" t="s">
        <v>788</v>
      </c>
      <c r="T44" s="14" t="s">
        <v>788</v>
      </c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14" t="s">
        <v>1044</v>
      </c>
      <c r="AN44" s="14" t="s">
        <v>1045</v>
      </c>
    </row>
    <row r="45">
      <c r="A45" s="14" t="s">
        <v>1046</v>
      </c>
      <c r="B45" s="14" t="s">
        <v>781</v>
      </c>
      <c r="C45" s="14" t="s">
        <v>959</v>
      </c>
      <c r="D45" s="14" t="s">
        <v>960</v>
      </c>
      <c r="E45" s="36">
        <v>635.0</v>
      </c>
      <c r="F45" s="14" t="s">
        <v>961</v>
      </c>
      <c r="G45" s="14" t="s">
        <v>838</v>
      </c>
      <c r="H45" s="14" t="s">
        <v>20</v>
      </c>
      <c r="I45" s="38">
        <v>39888.0</v>
      </c>
      <c r="J45" s="38">
        <v>42913.0</v>
      </c>
      <c r="K45" s="14" t="s">
        <v>786</v>
      </c>
      <c r="L45" s="14" t="s">
        <v>787</v>
      </c>
      <c r="M45" s="36">
        <v>22.0</v>
      </c>
      <c r="N45" s="14" t="s">
        <v>791</v>
      </c>
      <c r="O45" s="14" t="s">
        <v>798</v>
      </c>
      <c r="P45" s="14" t="s">
        <v>868</v>
      </c>
      <c r="Q45" s="14" t="s">
        <v>791</v>
      </c>
      <c r="R45" s="37"/>
      <c r="S45" s="14" t="s">
        <v>791</v>
      </c>
      <c r="T45" s="14" t="s">
        <v>791</v>
      </c>
      <c r="U45" s="14" t="s">
        <v>831</v>
      </c>
      <c r="V45" s="37"/>
      <c r="W45" s="37"/>
      <c r="X45" s="37"/>
      <c r="Y45" s="37"/>
      <c r="Z45" s="36">
        <v>80.0</v>
      </c>
      <c r="AA45" s="14" t="s">
        <v>1047</v>
      </c>
      <c r="AB45" s="37"/>
      <c r="AC45" s="37"/>
      <c r="AD45" s="37"/>
      <c r="AE45" s="37"/>
      <c r="AF45" s="37"/>
      <c r="AG45" s="14" t="s">
        <v>1048</v>
      </c>
      <c r="AM45" s="37"/>
      <c r="AN45" s="14" t="s">
        <v>1049</v>
      </c>
    </row>
    <row r="46">
      <c r="A46" s="14" t="s">
        <v>1050</v>
      </c>
      <c r="B46" s="14" t="s">
        <v>781</v>
      </c>
      <c r="C46" s="14" t="s">
        <v>1051</v>
      </c>
      <c r="D46" s="14" t="s">
        <v>1052</v>
      </c>
      <c r="E46" s="36">
        <v>606.0</v>
      </c>
      <c r="F46" s="14" t="s">
        <v>1053</v>
      </c>
      <c r="G46" s="14" t="s">
        <v>1054</v>
      </c>
      <c r="H46" s="14" t="s">
        <v>68</v>
      </c>
      <c r="I46" s="38">
        <v>3.0</v>
      </c>
      <c r="J46" s="38">
        <v>40330.0</v>
      </c>
      <c r="K46" s="14" t="s">
        <v>786</v>
      </c>
      <c r="L46" s="14" t="s">
        <v>787</v>
      </c>
      <c r="M46" s="36">
        <v>22.0</v>
      </c>
      <c r="N46" s="14" t="s">
        <v>788</v>
      </c>
      <c r="O46" s="14" t="s">
        <v>789</v>
      </c>
      <c r="P46" s="14" t="s">
        <v>790</v>
      </c>
      <c r="Q46" s="14" t="s">
        <v>791</v>
      </c>
      <c r="R46" s="37"/>
      <c r="S46" s="14" t="s">
        <v>788</v>
      </c>
      <c r="T46" s="14" t="s">
        <v>788</v>
      </c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14" t="s">
        <v>1055</v>
      </c>
      <c r="AM46" s="37"/>
      <c r="AN46" s="14" t="s">
        <v>1056</v>
      </c>
    </row>
    <row r="47">
      <c r="A47" s="14" t="s">
        <v>1057</v>
      </c>
      <c r="B47" s="14" t="s">
        <v>781</v>
      </c>
      <c r="C47" s="14" t="s">
        <v>925</v>
      </c>
      <c r="D47" s="14" t="s">
        <v>926</v>
      </c>
      <c r="E47" s="36">
        <v>278.0</v>
      </c>
      <c r="F47" s="37"/>
      <c r="G47" s="14" t="s">
        <v>860</v>
      </c>
      <c r="H47" s="14" t="s">
        <v>68</v>
      </c>
      <c r="I47" s="38">
        <v>32478.0</v>
      </c>
      <c r="J47" s="38">
        <v>39954.0</v>
      </c>
      <c r="K47" s="14" t="s">
        <v>786</v>
      </c>
      <c r="L47" s="14" t="s">
        <v>787</v>
      </c>
      <c r="M47" s="36">
        <v>22.0</v>
      </c>
      <c r="N47" s="14" t="s">
        <v>791</v>
      </c>
      <c r="O47" s="14" t="s">
        <v>798</v>
      </c>
      <c r="P47" s="14" t="s">
        <v>799</v>
      </c>
      <c r="Q47" s="14" t="s">
        <v>791</v>
      </c>
      <c r="R47" s="37"/>
      <c r="S47" s="14" t="s">
        <v>791</v>
      </c>
      <c r="T47" s="14" t="s">
        <v>791</v>
      </c>
      <c r="U47" s="14" t="s">
        <v>973</v>
      </c>
      <c r="V47" s="37"/>
      <c r="W47" s="37"/>
      <c r="X47" s="37"/>
      <c r="Y47" s="37"/>
      <c r="Z47" s="36">
        <v>74.0</v>
      </c>
      <c r="AA47" s="14" t="s">
        <v>1058</v>
      </c>
      <c r="AB47" s="37"/>
      <c r="AC47" s="37"/>
      <c r="AD47" s="37"/>
      <c r="AE47" s="37"/>
      <c r="AF47" s="37"/>
      <c r="AG47" s="14" t="s">
        <v>1059</v>
      </c>
      <c r="AL47" s="37"/>
      <c r="AM47" s="37"/>
      <c r="AN47" s="14" t="s">
        <v>1060</v>
      </c>
    </row>
    <row r="48">
      <c r="A48" s="14" t="s">
        <v>1061</v>
      </c>
      <c r="B48" s="14" t="s">
        <v>781</v>
      </c>
      <c r="C48" s="14" t="s">
        <v>1062</v>
      </c>
      <c r="D48" s="14" t="s">
        <v>805</v>
      </c>
      <c r="E48" s="36">
        <v>628.0</v>
      </c>
      <c r="F48" s="14" t="s">
        <v>806</v>
      </c>
      <c r="G48" s="14" t="s">
        <v>829</v>
      </c>
      <c r="H48" s="14" t="s">
        <v>20</v>
      </c>
      <c r="I48" s="37"/>
      <c r="J48" s="38">
        <v>41953.0</v>
      </c>
      <c r="K48" s="14" t="s">
        <v>786</v>
      </c>
      <c r="L48" s="14" t="s">
        <v>787</v>
      </c>
      <c r="M48" s="36">
        <v>22.0</v>
      </c>
      <c r="N48" s="14" t="s">
        <v>788</v>
      </c>
      <c r="O48" s="14" t="s">
        <v>789</v>
      </c>
      <c r="P48" s="14" t="s">
        <v>868</v>
      </c>
      <c r="Q48" s="14" t="s">
        <v>791</v>
      </c>
      <c r="R48" s="37"/>
      <c r="S48" s="14" t="s">
        <v>788</v>
      </c>
      <c r="T48" s="14" t="s">
        <v>788</v>
      </c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14" t="s">
        <v>1063</v>
      </c>
      <c r="AM48" s="37"/>
      <c r="AN48" s="14" t="s">
        <v>1064</v>
      </c>
    </row>
    <row r="49">
      <c r="A49" s="14" t="s">
        <v>1065</v>
      </c>
      <c r="B49" s="14" t="s">
        <v>781</v>
      </c>
      <c r="C49" s="14" t="s">
        <v>1062</v>
      </c>
      <c r="D49" s="14" t="s">
        <v>805</v>
      </c>
      <c r="E49" s="36">
        <v>628.0</v>
      </c>
      <c r="F49" s="14" t="s">
        <v>806</v>
      </c>
      <c r="G49" s="14" t="s">
        <v>829</v>
      </c>
      <c r="H49" s="14" t="s">
        <v>20</v>
      </c>
      <c r="I49" s="37"/>
      <c r="J49" s="38">
        <v>41953.0</v>
      </c>
      <c r="K49" s="14" t="s">
        <v>786</v>
      </c>
      <c r="L49" s="14" t="s">
        <v>787</v>
      </c>
      <c r="M49" s="36">
        <v>22.0</v>
      </c>
      <c r="N49" s="14" t="s">
        <v>788</v>
      </c>
      <c r="O49" s="14" t="s">
        <v>789</v>
      </c>
      <c r="P49" s="14" t="s">
        <v>1066</v>
      </c>
      <c r="Q49" s="14" t="s">
        <v>791</v>
      </c>
      <c r="R49" s="37"/>
      <c r="S49" s="14" t="s">
        <v>788</v>
      </c>
      <c r="T49" s="14" t="s">
        <v>788</v>
      </c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14" t="s">
        <v>1067</v>
      </c>
      <c r="AN49" s="14" t="s">
        <v>1068</v>
      </c>
    </row>
    <row r="50">
      <c r="A50" s="14" t="s">
        <v>1069</v>
      </c>
      <c r="B50" s="14" t="s">
        <v>781</v>
      </c>
      <c r="C50" s="14" t="s">
        <v>925</v>
      </c>
      <c r="D50" s="14" t="s">
        <v>926</v>
      </c>
      <c r="E50" s="36">
        <v>278.0</v>
      </c>
      <c r="F50" s="37"/>
      <c r="G50" s="14" t="s">
        <v>860</v>
      </c>
      <c r="H50" s="14" t="s">
        <v>68</v>
      </c>
      <c r="I50" s="38">
        <v>32478.0</v>
      </c>
      <c r="J50" s="38">
        <v>39953.0</v>
      </c>
      <c r="K50" s="14" t="s">
        <v>786</v>
      </c>
      <c r="L50" s="14" t="s">
        <v>787</v>
      </c>
      <c r="M50" s="36">
        <v>22.0</v>
      </c>
      <c r="N50" s="14" t="s">
        <v>791</v>
      </c>
      <c r="O50" s="14" t="s">
        <v>798</v>
      </c>
      <c r="P50" s="14" t="s">
        <v>799</v>
      </c>
      <c r="Q50" s="14" t="s">
        <v>791</v>
      </c>
      <c r="R50" s="37"/>
      <c r="S50" s="14" t="s">
        <v>788</v>
      </c>
      <c r="T50" s="14" t="s">
        <v>788</v>
      </c>
      <c r="U50" s="14" t="s">
        <v>1070</v>
      </c>
      <c r="V50" s="37"/>
      <c r="W50" s="37"/>
      <c r="X50" s="37"/>
      <c r="Y50" s="37"/>
      <c r="Z50" s="36">
        <v>107.0</v>
      </c>
      <c r="AA50" s="14" t="s">
        <v>1058</v>
      </c>
      <c r="AB50" s="37"/>
      <c r="AC50" s="37"/>
      <c r="AD50" s="37"/>
      <c r="AE50" s="37"/>
      <c r="AF50" s="37"/>
      <c r="AG50" s="14" t="s">
        <v>1071</v>
      </c>
      <c r="AN50" s="14" t="s">
        <v>1072</v>
      </c>
    </row>
    <row r="51">
      <c r="A51" s="14" t="s">
        <v>1073</v>
      </c>
      <c r="B51" s="14" t="s">
        <v>781</v>
      </c>
      <c r="C51" s="14" t="s">
        <v>967</v>
      </c>
      <c r="D51" s="14" t="s">
        <v>968</v>
      </c>
      <c r="E51" s="36">
        <v>610.0</v>
      </c>
      <c r="F51" s="14" t="s">
        <v>969</v>
      </c>
      <c r="G51" s="14" t="s">
        <v>933</v>
      </c>
      <c r="H51" s="14" t="s">
        <v>20</v>
      </c>
      <c r="I51" s="38">
        <v>44174.0</v>
      </c>
      <c r="J51" s="38">
        <v>44174.0</v>
      </c>
      <c r="K51" s="14" t="s">
        <v>786</v>
      </c>
      <c r="L51" s="14" t="s">
        <v>787</v>
      </c>
      <c r="M51" s="36">
        <v>22.0</v>
      </c>
      <c r="N51" s="14" t="s">
        <v>788</v>
      </c>
      <c r="O51" s="14" t="s">
        <v>789</v>
      </c>
      <c r="Q51" s="14" t="s">
        <v>791</v>
      </c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14" t="s">
        <v>1074</v>
      </c>
      <c r="AM51" s="37"/>
      <c r="AN51" s="14" t="s">
        <v>1075</v>
      </c>
    </row>
    <row r="52">
      <c r="A52" s="14" t="s">
        <v>1076</v>
      </c>
      <c r="B52" s="14" t="s">
        <v>781</v>
      </c>
      <c r="C52" s="14" t="s">
        <v>1077</v>
      </c>
      <c r="D52" s="14" t="s">
        <v>1078</v>
      </c>
      <c r="E52" s="36">
        <v>221.0</v>
      </c>
      <c r="F52" s="37"/>
      <c r="G52" s="14" t="s">
        <v>822</v>
      </c>
      <c r="H52" s="14" t="s">
        <v>68</v>
      </c>
      <c r="I52" s="38">
        <v>32782.0</v>
      </c>
      <c r="J52" s="38">
        <v>46137.0</v>
      </c>
      <c r="K52" s="14" t="s">
        <v>786</v>
      </c>
      <c r="L52" s="14" t="s">
        <v>787</v>
      </c>
      <c r="M52" s="36">
        <v>22.0</v>
      </c>
      <c r="N52" s="14" t="s">
        <v>791</v>
      </c>
      <c r="O52" s="14" t="s">
        <v>798</v>
      </c>
      <c r="P52" s="14" t="s">
        <v>799</v>
      </c>
      <c r="Q52" s="14" t="s">
        <v>791</v>
      </c>
      <c r="R52" s="37"/>
      <c r="S52" s="14" t="s">
        <v>788</v>
      </c>
      <c r="T52" s="14" t="s">
        <v>788</v>
      </c>
      <c r="U52" s="14" t="s">
        <v>1079</v>
      </c>
      <c r="V52" s="37"/>
      <c r="W52" s="37"/>
      <c r="X52" s="37"/>
      <c r="Y52" s="37"/>
      <c r="Z52" s="36">
        <v>53.0</v>
      </c>
      <c r="AA52" s="14" t="s">
        <v>1058</v>
      </c>
      <c r="AB52" s="37"/>
      <c r="AC52" s="37"/>
      <c r="AD52" s="37"/>
      <c r="AE52" s="37"/>
      <c r="AF52" s="37"/>
      <c r="AG52" s="14" t="s">
        <v>893</v>
      </c>
      <c r="AK52" s="37"/>
      <c r="AL52" s="37"/>
      <c r="AM52" s="37"/>
      <c r="AN52" s="14" t="s">
        <v>1080</v>
      </c>
    </row>
    <row r="53">
      <c r="A53" s="14" t="s">
        <v>1081</v>
      </c>
      <c r="B53" s="14" t="s">
        <v>781</v>
      </c>
      <c r="C53" s="14" t="s">
        <v>959</v>
      </c>
      <c r="D53" s="14" t="s">
        <v>960</v>
      </c>
      <c r="E53" s="36">
        <v>635.0</v>
      </c>
      <c r="F53" s="14" t="s">
        <v>961</v>
      </c>
      <c r="G53" s="14" t="s">
        <v>838</v>
      </c>
      <c r="H53" s="14" t="s">
        <v>20</v>
      </c>
      <c r="I53" s="38">
        <v>39888.0</v>
      </c>
      <c r="J53" s="38">
        <v>42913.0</v>
      </c>
      <c r="K53" s="14" t="s">
        <v>786</v>
      </c>
      <c r="L53" s="14" t="s">
        <v>787</v>
      </c>
      <c r="M53" s="36">
        <v>22.0</v>
      </c>
      <c r="N53" s="14" t="s">
        <v>791</v>
      </c>
      <c r="O53" s="14" t="s">
        <v>798</v>
      </c>
      <c r="P53" s="14" t="s">
        <v>799</v>
      </c>
      <c r="Q53" s="14" t="s">
        <v>791</v>
      </c>
      <c r="R53" s="37"/>
      <c r="S53" s="14" t="s">
        <v>788</v>
      </c>
      <c r="T53" s="14" t="s">
        <v>788</v>
      </c>
      <c r="U53" s="14" t="s">
        <v>962</v>
      </c>
      <c r="W53" s="37"/>
      <c r="X53" s="37"/>
      <c r="Y53" s="37"/>
      <c r="Z53" s="36">
        <v>109.0</v>
      </c>
      <c r="AA53" s="14" t="s">
        <v>963</v>
      </c>
      <c r="AC53" s="37"/>
      <c r="AD53" s="37"/>
      <c r="AE53" s="37"/>
      <c r="AF53" s="37"/>
      <c r="AG53" s="14" t="s">
        <v>1082</v>
      </c>
      <c r="AM53" s="37"/>
      <c r="AN53" s="14" t="s">
        <v>1083</v>
      </c>
    </row>
    <row r="54">
      <c r="A54" s="14" t="s">
        <v>1084</v>
      </c>
      <c r="B54" s="14" t="s">
        <v>781</v>
      </c>
      <c r="C54" s="14" t="s">
        <v>1085</v>
      </c>
      <c r="D54" s="14" t="s">
        <v>1086</v>
      </c>
      <c r="E54" s="36">
        <v>26.0</v>
      </c>
      <c r="F54" s="37"/>
      <c r="G54" s="14" t="s">
        <v>1087</v>
      </c>
      <c r="H54" s="14" t="s">
        <v>103</v>
      </c>
      <c r="I54" s="38">
        <v>22373.0</v>
      </c>
      <c r="J54" s="38">
        <v>45409.0</v>
      </c>
      <c r="K54" s="14" t="s">
        <v>786</v>
      </c>
      <c r="L54" s="14" t="s">
        <v>787</v>
      </c>
      <c r="M54" s="36">
        <v>22.0</v>
      </c>
      <c r="N54" s="14" t="s">
        <v>791</v>
      </c>
      <c r="O54" s="14" t="s">
        <v>798</v>
      </c>
      <c r="P54" s="14" t="s">
        <v>853</v>
      </c>
      <c r="Q54" s="14" t="s">
        <v>791</v>
      </c>
      <c r="R54" s="37"/>
      <c r="S54" s="14" t="s">
        <v>788</v>
      </c>
      <c r="T54" s="14" t="s">
        <v>788</v>
      </c>
      <c r="U54" s="14" t="s">
        <v>1088</v>
      </c>
      <c r="W54" s="37"/>
      <c r="X54" s="37"/>
      <c r="Y54" s="37"/>
      <c r="Z54" s="36">
        <v>82.0</v>
      </c>
      <c r="AA54" s="36">
        <v>40.0</v>
      </c>
      <c r="AB54" s="37"/>
      <c r="AC54" s="37"/>
      <c r="AD54" s="37"/>
      <c r="AE54" s="37"/>
      <c r="AF54" s="37"/>
      <c r="AG54" s="14" t="s">
        <v>1089</v>
      </c>
      <c r="AM54" s="37"/>
      <c r="AN54" s="14" t="s">
        <v>1090</v>
      </c>
    </row>
    <row r="55">
      <c r="A55" s="14" t="s">
        <v>1091</v>
      </c>
      <c r="B55" s="14" t="s">
        <v>781</v>
      </c>
      <c r="C55" s="14" t="s">
        <v>1062</v>
      </c>
      <c r="D55" s="14" t="s">
        <v>805</v>
      </c>
      <c r="E55" s="36">
        <v>628.0</v>
      </c>
      <c r="F55" s="14" t="s">
        <v>806</v>
      </c>
      <c r="G55" s="14" t="s">
        <v>829</v>
      </c>
      <c r="H55" s="14" t="s">
        <v>20</v>
      </c>
      <c r="I55" s="37"/>
      <c r="J55" s="38">
        <v>41953.0</v>
      </c>
      <c r="K55" s="14" t="s">
        <v>786</v>
      </c>
      <c r="L55" s="14" t="s">
        <v>787</v>
      </c>
      <c r="M55" s="36">
        <v>22.0</v>
      </c>
      <c r="N55" s="14" t="s">
        <v>788</v>
      </c>
      <c r="O55" s="14" t="s">
        <v>789</v>
      </c>
      <c r="P55" s="14" t="s">
        <v>1066</v>
      </c>
      <c r="Q55" s="14" t="s">
        <v>791</v>
      </c>
      <c r="R55" s="37"/>
      <c r="S55" s="14" t="s">
        <v>788</v>
      </c>
      <c r="T55" s="14" t="s">
        <v>788</v>
      </c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14" t="s">
        <v>1092</v>
      </c>
      <c r="AM55" s="37"/>
      <c r="AN55" s="14" t="s">
        <v>1093</v>
      </c>
    </row>
    <row r="56">
      <c r="A56" s="14" t="s">
        <v>1094</v>
      </c>
      <c r="B56" s="14" t="s">
        <v>781</v>
      </c>
      <c r="C56" s="14" t="s">
        <v>1095</v>
      </c>
      <c r="D56" s="14" t="s">
        <v>1096</v>
      </c>
      <c r="E56" s="36">
        <v>616.0</v>
      </c>
      <c r="F56" s="14" t="s">
        <v>1097</v>
      </c>
      <c r="G56" s="14" t="s">
        <v>1098</v>
      </c>
      <c r="H56" s="14" t="s">
        <v>68</v>
      </c>
      <c r="I56" s="38">
        <v>26900.0</v>
      </c>
      <c r="J56" s="38">
        <v>45596.0</v>
      </c>
      <c r="K56" s="14" t="s">
        <v>786</v>
      </c>
      <c r="L56" s="14" t="s">
        <v>787</v>
      </c>
      <c r="M56" s="36">
        <v>22.0</v>
      </c>
      <c r="N56" s="14" t="s">
        <v>791</v>
      </c>
      <c r="O56" s="14" t="s">
        <v>798</v>
      </c>
      <c r="P56" s="14" t="s">
        <v>853</v>
      </c>
      <c r="Q56" s="14" t="s">
        <v>791</v>
      </c>
      <c r="R56" s="37"/>
      <c r="S56" s="14" t="s">
        <v>788</v>
      </c>
      <c r="T56" s="14" t="s">
        <v>788</v>
      </c>
      <c r="U56" s="14" t="s">
        <v>1099</v>
      </c>
      <c r="V56" s="37"/>
      <c r="W56" s="37"/>
      <c r="X56" s="37"/>
      <c r="Y56" s="37"/>
      <c r="Z56" s="36">
        <v>118.0</v>
      </c>
      <c r="AA56" s="14" t="s">
        <v>1058</v>
      </c>
      <c r="AB56" s="37"/>
      <c r="AC56" s="37"/>
      <c r="AD56" s="37"/>
      <c r="AE56" s="37"/>
      <c r="AF56" s="37"/>
      <c r="AG56" s="14" t="s">
        <v>1100</v>
      </c>
      <c r="AL56" s="37"/>
      <c r="AM56" s="37"/>
      <c r="AN56" s="14" t="s">
        <v>1101</v>
      </c>
    </row>
    <row r="57">
      <c r="A57" s="14" t="s">
        <v>1102</v>
      </c>
      <c r="B57" s="14" t="s">
        <v>781</v>
      </c>
      <c r="C57" s="14" t="s">
        <v>804</v>
      </c>
      <c r="D57" s="14" t="s">
        <v>805</v>
      </c>
      <c r="E57" s="36">
        <v>628.0</v>
      </c>
      <c r="F57" s="14" t="s">
        <v>806</v>
      </c>
      <c r="G57" s="14" t="s">
        <v>807</v>
      </c>
      <c r="H57" s="14" t="s">
        <v>20</v>
      </c>
      <c r="I57" s="37"/>
      <c r="J57" s="38">
        <v>41953.0</v>
      </c>
      <c r="K57" s="14" t="s">
        <v>786</v>
      </c>
      <c r="L57" s="14" t="s">
        <v>787</v>
      </c>
      <c r="M57" s="36">
        <v>22.0</v>
      </c>
      <c r="N57" s="14" t="s">
        <v>788</v>
      </c>
      <c r="O57" s="14" t="s">
        <v>789</v>
      </c>
      <c r="P57" s="14" t="s">
        <v>1066</v>
      </c>
      <c r="Q57" s="14" t="s">
        <v>791</v>
      </c>
      <c r="R57" s="37"/>
      <c r="S57" s="14" t="s">
        <v>788</v>
      </c>
      <c r="T57" s="14" t="s">
        <v>788</v>
      </c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14" t="s">
        <v>1103</v>
      </c>
      <c r="AM57" s="37"/>
      <c r="AN57" s="14" t="s">
        <v>1104</v>
      </c>
    </row>
    <row r="58">
      <c r="A58" s="14" t="s">
        <v>1105</v>
      </c>
      <c r="B58" s="14" t="s">
        <v>781</v>
      </c>
      <c r="C58" s="14" t="s">
        <v>925</v>
      </c>
      <c r="D58" s="14" t="s">
        <v>926</v>
      </c>
      <c r="E58" s="36">
        <v>278.0</v>
      </c>
      <c r="F58" s="37"/>
      <c r="G58" s="14" t="s">
        <v>860</v>
      </c>
      <c r="H58" s="14" t="s">
        <v>68</v>
      </c>
      <c r="I58" s="38">
        <v>32478.0</v>
      </c>
      <c r="J58" s="38">
        <v>39643.0</v>
      </c>
      <c r="K58" s="14" t="s">
        <v>786</v>
      </c>
      <c r="L58" s="14" t="s">
        <v>787</v>
      </c>
      <c r="M58" s="36">
        <v>22.0</v>
      </c>
      <c r="N58" s="14" t="s">
        <v>791</v>
      </c>
      <c r="O58" s="14" t="s">
        <v>798</v>
      </c>
      <c r="P58" s="14" t="s">
        <v>799</v>
      </c>
      <c r="Q58" s="14" t="s">
        <v>791</v>
      </c>
      <c r="R58" s="37"/>
      <c r="S58" s="14" t="s">
        <v>788</v>
      </c>
      <c r="T58" s="14" t="s">
        <v>788</v>
      </c>
      <c r="U58" s="14" t="s">
        <v>1079</v>
      </c>
      <c r="V58" s="37"/>
      <c r="W58" s="37"/>
      <c r="X58" s="37"/>
      <c r="Y58" s="37"/>
      <c r="Z58" s="36">
        <v>53.0</v>
      </c>
      <c r="AA58" s="14" t="s">
        <v>1058</v>
      </c>
      <c r="AB58" s="37"/>
      <c r="AC58" s="37"/>
      <c r="AD58" s="37"/>
      <c r="AE58" s="37"/>
      <c r="AF58" s="37"/>
      <c r="AG58" s="14" t="s">
        <v>1106</v>
      </c>
      <c r="AL58" s="37"/>
      <c r="AM58" s="37"/>
      <c r="AN58" s="14" t="s">
        <v>1107</v>
      </c>
    </row>
    <row r="59">
      <c r="A59" s="14" t="s">
        <v>1108</v>
      </c>
      <c r="B59" s="14" t="s">
        <v>781</v>
      </c>
      <c r="C59" s="14" t="s">
        <v>795</v>
      </c>
      <c r="D59" s="14" t="s">
        <v>796</v>
      </c>
      <c r="E59" s="36">
        <v>471.0</v>
      </c>
      <c r="F59" s="37"/>
      <c r="G59" s="14" t="s">
        <v>797</v>
      </c>
      <c r="H59" s="14" t="s">
        <v>20</v>
      </c>
      <c r="I59" s="38">
        <v>42260.0</v>
      </c>
      <c r="J59" s="38">
        <v>42260.0</v>
      </c>
      <c r="K59" s="14" t="s">
        <v>786</v>
      </c>
      <c r="L59" s="14" t="s">
        <v>787</v>
      </c>
      <c r="M59" s="36">
        <v>22.0</v>
      </c>
      <c r="N59" s="14" t="s">
        <v>791</v>
      </c>
      <c r="O59" s="14" t="s">
        <v>798</v>
      </c>
      <c r="P59" s="14" t="s">
        <v>799</v>
      </c>
      <c r="Q59" s="14" t="s">
        <v>791</v>
      </c>
      <c r="R59" s="37"/>
      <c r="S59" s="14" t="s">
        <v>791</v>
      </c>
      <c r="T59" s="14" t="s">
        <v>791</v>
      </c>
      <c r="U59" s="14" t="s">
        <v>800</v>
      </c>
      <c r="V59" s="37"/>
      <c r="W59" s="37"/>
      <c r="X59" s="37"/>
      <c r="Y59" s="37"/>
      <c r="Z59" s="36">
        <v>109.0</v>
      </c>
      <c r="AA59" s="36">
        <v>24.0</v>
      </c>
      <c r="AB59" s="37"/>
      <c r="AC59" s="37"/>
      <c r="AD59" s="37"/>
      <c r="AE59" s="37"/>
      <c r="AF59" s="37"/>
      <c r="AG59" s="14" t="s">
        <v>1109</v>
      </c>
      <c r="AL59" s="37"/>
      <c r="AM59" s="37"/>
      <c r="AN59" s="14" t="s">
        <v>1110</v>
      </c>
    </row>
    <row r="60">
      <c r="A60" s="14" t="s">
        <v>1111</v>
      </c>
      <c r="B60" s="14" t="s">
        <v>781</v>
      </c>
      <c r="C60" s="14" t="s">
        <v>820</v>
      </c>
      <c r="D60" s="14" t="s">
        <v>821</v>
      </c>
      <c r="E60" s="36">
        <v>222.0</v>
      </c>
      <c r="F60" s="37"/>
      <c r="G60" s="14" t="s">
        <v>822</v>
      </c>
      <c r="H60" s="14" t="s">
        <v>20</v>
      </c>
      <c r="I60" s="38">
        <v>35258.0</v>
      </c>
      <c r="J60" s="38">
        <v>45207.0</v>
      </c>
      <c r="K60" s="14" t="s">
        <v>786</v>
      </c>
      <c r="L60" s="14" t="s">
        <v>787</v>
      </c>
      <c r="M60" s="36">
        <v>22.0</v>
      </c>
      <c r="N60" s="14" t="s">
        <v>791</v>
      </c>
      <c r="O60" s="14" t="s">
        <v>798</v>
      </c>
      <c r="P60" s="14" t="s">
        <v>853</v>
      </c>
      <c r="Q60" s="14" t="s">
        <v>791</v>
      </c>
      <c r="R60" s="37"/>
      <c r="S60" s="14" t="s">
        <v>788</v>
      </c>
      <c r="T60" s="14" t="s">
        <v>788</v>
      </c>
      <c r="U60" s="14" t="s">
        <v>823</v>
      </c>
      <c r="V60" s="37"/>
      <c r="W60" s="37"/>
      <c r="X60" s="37"/>
      <c r="Y60" s="37"/>
      <c r="Z60" s="36">
        <v>129.0</v>
      </c>
      <c r="AA60" s="36">
        <v>40.0</v>
      </c>
      <c r="AB60" s="37"/>
      <c r="AC60" s="37"/>
      <c r="AD60" s="37"/>
      <c r="AE60" s="37"/>
      <c r="AF60" s="37"/>
      <c r="AG60" s="14" t="s">
        <v>1112</v>
      </c>
      <c r="AK60" s="37"/>
      <c r="AL60" s="37"/>
      <c r="AM60" s="37"/>
      <c r="AN60" s="14" t="s">
        <v>1113</v>
      </c>
    </row>
    <row r="61">
      <c r="A61" s="14" t="s">
        <v>1114</v>
      </c>
      <c r="B61" s="14" t="s">
        <v>781</v>
      </c>
      <c r="C61" s="14" t="s">
        <v>1115</v>
      </c>
      <c r="D61" s="14" t="s">
        <v>1116</v>
      </c>
      <c r="E61" s="36">
        <v>151.0</v>
      </c>
      <c r="F61" s="37"/>
      <c r="G61" s="14" t="s">
        <v>807</v>
      </c>
      <c r="H61" s="14" t="s">
        <v>20</v>
      </c>
      <c r="I61" s="38">
        <v>12236.0</v>
      </c>
      <c r="J61" s="38">
        <v>37176.0</v>
      </c>
      <c r="K61" s="14" t="s">
        <v>786</v>
      </c>
      <c r="L61" s="14" t="s">
        <v>787</v>
      </c>
      <c r="M61" s="36">
        <v>22.0</v>
      </c>
      <c r="N61" s="14" t="s">
        <v>791</v>
      </c>
      <c r="O61" s="14" t="s">
        <v>798</v>
      </c>
      <c r="P61" s="14" t="s">
        <v>853</v>
      </c>
      <c r="Q61" s="14" t="s">
        <v>791</v>
      </c>
      <c r="R61" s="37"/>
      <c r="S61" s="14" t="s">
        <v>788</v>
      </c>
      <c r="T61" s="14" t="s">
        <v>788</v>
      </c>
      <c r="U61" s="14" t="s">
        <v>1117</v>
      </c>
      <c r="V61" s="37"/>
      <c r="W61" s="37"/>
      <c r="X61" s="37"/>
      <c r="Y61" s="37"/>
      <c r="Z61" s="36">
        <v>98.0</v>
      </c>
      <c r="AA61" s="36">
        <v>24.0</v>
      </c>
      <c r="AB61" s="37"/>
      <c r="AC61" s="37"/>
      <c r="AD61" s="37"/>
      <c r="AE61" s="37"/>
      <c r="AF61" s="37"/>
      <c r="AG61" s="14" t="s">
        <v>1118</v>
      </c>
      <c r="AM61" s="37"/>
      <c r="AN61" s="14" t="s">
        <v>1119</v>
      </c>
    </row>
    <row r="62">
      <c r="A62" s="14" t="s">
        <v>1120</v>
      </c>
      <c r="B62" s="14" t="s">
        <v>781</v>
      </c>
      <c r="C62" s="14" t="s">
        <v>967</v>
      </c>
      <c r="D62" s="14" t="s">
        <v>968</v>
      </c>
      <c r="E62" s="36">
        <v>610.0</v>
      </c>
      <c r="F62" s="14" t="s">
        <v>969</v>
      </c>
      <c r="G62" s="14" t="s">
        <v>933</v>
      </c>
      <c r="H62" s="14" t="s">
        <v>20</v>
      </c>
      <c r="I62" s="38">
        <v>44174.0</v>
      </c>
      <c r="J62" s="38">
        <v>44174.0</v>
      </c>
      <c r="K62" s="14" t="s">
        <v>786</v>
      </c>
      <c r="L62" s="14" t="s">
        <v>787</v>
      </c>
      <c r="M62" s="36">
        <v>22.0</v>
      </c>
      <c r="N62" s="14" t="s">
        <v>788</v>
      </c>
      <c r="O62" s="14" t="s">
        <v>789</v>
      </c>
      <c r="Q62" s="14" t="s">
        <v>791</v>
      </c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14" t="s">
        <v>1121</v>
      </c>
      <c r="AK62" s="37"/>
      <c r="AL62" s="37"/>
      <c r="AM62" s="37"/>
      <c r="AN62" s="14" t="s">
        <v>1075</v>
      </c>
    </row>
    <row r="63">
      <c r="A63" s="14" t="s">
        <v>1122</v>
      </c>
      <c r="B63" s="14" t="s">
        <v>781</v>
      </c>
      <c r="C63" s="14" t="s">
        <v>858</v>
      </c>
      <c r="D63" s="14" t="s">
        <v>859</v>
      </c>
      <c r="E63" s="36">
        <v>280.0</v>
      </c>
      <c r="F63" s="37"/>
      <c r="G63" s="14" t="s">
        <v>860</v>
      </c>
      <c r="H63" s="14" t="s">
        <v>68</v>
      </c>
      <c r="I63" s="38">
        <v>32478.0</v>
      </c>
      <c r="J63" s="38">
        <v>39808.0</v>
      </c>
      <c r="K63" s="14" t="s">
        <v>786</v>
      </c>
      <c r="L63" s="14" t="s">
        <v>787</v>
      </c>
      <c r="M63" s="36">
        <v>22.0</v>
      </c>
      <c r="N63" s="14" t="s">
        <v>791</v>
      </c>
      <c r="O63" s="14" t="s">
        <v>798</v>
      </c>
      <c r="P63" s="14" t="s">
        <v>799</v>
      </c>
      <c r="Q63" s="14" t="s">
        <v>791</v>
      </c>
      <c r="R63" s="37"/>
      <c r="S63" s="14" t="s">
        <v>791</v>
      </c>
      <c r="T63" s="14" t="s">
        <v>791</v>
      </c>
      <c r="U63" s="14" t="s">
        <v>1123</v>
      </c>
      <c r="V63" s="37"/>
      <c r="W63" s="37"/>
      <c r="X63" s="37"/>
      <c r="Y63" s="37"/>
      <c r="Z63" s="36">
        <v>96.0</v>
      </c>
      <c r="AA63" s="14" t="s">
        <v>1058</v>
      </c>
      <c r="AB63" s="37"/>
      <c r="AC63" s="37"/>
      <c r="AD63" s="37"/>
      <c r="AE63" s="37"/>
      <c r="AF63" s="37"/>
      <c r="AG63" s="14" t="s">
        <v>1124</v>
      </c>
      <c r="AL63" s="37"/>
      <c r="AM63" s="37"/>
      <c r="AN63" s="14" t="s">
        <v>1125</v>
      </c>
    </row>
    <row r="64">
      <c r="A64" s="14" t="s">
        <v>1126</v>
      </c>
      <c r="B64" s="14" t="s">
        <v>781</v>
      </c>
      <c r="C64" s="14" t="s">
        <v>1127</v>
      </c>
      <c r="D64" s="14" t="s">
        <v>968</v>
      </c>
      <c r="E64" s="36">
        <v>610.0</v>
      </c>
      <c r="F64" s="14" t="s">
        <v>969</v>
      </c>
      <c r="G64" s="14" t="s">
        <v>933</v>
      </c>
      <c r="H64" s="14" t="s">
        <v>20</v>
      </c>
      <c r="I64" s="37"/>
      <c r="J64" s="38">
        <v>41091.0</v>
      </c>
      <c r="K64" s="14" t="s">
        <v>786</v>
      </c>
      <c r="L64" s="14" t="s">
        <v>787</v>
      </c>
      <c r="M64" s="36">
        <v>22.0</v>
      </c>
      <c r="N64" s="14" t="s">
        <v>788</v>
      </c>
      <c r="O64" s="14" t="s">
        <v>789</v>
      </c>
      <c r="P64" s="14" t="s">
        <v>790</v>
      </c>
      <c r="Q64" s="14" t="s">
        <v>791</v>
      </c>
      <c r="R64" s="37"/>
      <c r="S64" s="14" t="s">
        <v>788</v>
      </c>
      <c r="T64" s="14" t="s">
        <v>788</v>
      </c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14" t="s">
        <v>1128</v>
      </c>
      <c r="AL64" s="37"/>
      <c r="AM64" s="37"/>
      <c r="AN64" s="14" t="s">
        <v>1129</v>
      </c>
    </row>
    <row r="65">
      <c r="A65" s="14" t="s">
        <v>1130</v>
      </c>
      <c r="B65" s="14" t="s">
        <v>781</v>
      </c>
      <c r="C65" s="14" t="s">
        <v>843</v>
      </c>
      <c r="D65" s="14" t="s">
        <v>844</v>
      </c>
      <c r="E65" s="36">
        <v>607.0</v>
      </c>
      <c r="F65" s="14" t="s">
        <v>845</v>
      </c>
      <c r="G65" s="14" t="s">
        <v>846</v>
      </c>
      <c r="H65" s="14" t="s">
        <v>20</v>
      </c>
      <c r="I65" s="38">
        <v>14960.0</v>
      </c>
      <c r="J65" s="38">
        <v>39044.0</v>
      </c>
      <c r="K65" s="14" t="s">
        <v>786</v>
      </c>
      <c r="L65" s="14" t="s">
        <v>787</v>
      </c>
      <c r="M65" s="36">
        <v>22.0</v>
      </c>
      <c r="N65" s="14" t="s">
        <v>791</v>
      </c>
      <c r="O65" s="14" t="s">
        <v>798</v>
      </c>
      <c r="P65" s="14" t="s">
        <v>830</v>
      </c>
      <c r="Q65" s="14" t="s">
        <v>791</v>
      </c>
      <c r="R65" s="37"/>
      <c r="S65" s="14" t="s">
        <v>788</v>
      </c>
      <c r="T65" s="14" t="s">
        <v>788</v>
      </c>
      <c r="U65" s="14" t="s">
        <v>800</v>
      </c>
      <c r="V65" s="37"/>
      <c r="W65" s="37"/>
      <c r="X65" s="37"/>
      <c r="Y65" s="37"/>
      <c r="Z65" s="36">
        <v>110.0</v>
      </c>
      <c r="AA65" s="36">
        <v>24.0</v>
      </c>
      <c r="AB65" s="37"/>
      <c r="AC65" s="37"/>
      <c r="AD65" s="37"/>
      <c r="AE65" s="37"/>
      <c r="AF65" s="37"/>
      <c r="AG65" s="14" t="s">
        <v>1131</v>
      </c>
      <c r="AL65" s="37"/>
      <c r="AM65" s="37"/>
      <c r="AN65" s="14" t="s">
        <v>1132</v>
      </c>
    </row>
    <row r="66">
      <c r="A66" s="14" t="s">
        <v>1133</v>
      </c>
      <c r="B66" s="14" t="s">
        <v>781</v>
      </c>
      <c r="C66" s="14" t="s">
        <v>866</v>
      </c>
      <c r="D66" s="14" t="s">
        <v>867</v>
      </c>
      <c r="E66" s="36">
        <v>477.0</v>
      </c>
      <c r="F66" s="37"/>
      <c r="G66" s="14" t="s">
        <v>814</v>
      </c>
      <c r="H66" s="14" t="s">
        <v>20</v>
      </c>
      <c r="I66" s="38">
        <v>42736.0</v>
      </c>
      <c r="J66" s="38">
        <v>42736.0</v>
      </c>
      <c r="K66" s="14" t="s">
        <v>786</v>
      </c>
      <c r="L66" s="14" t="s">
        <v>787</v>
      </c>
      <c r="M66" s="36">
        <v>22.0</v>
      </c>
      <c r="N66" s="14" t="s">
        <v>791</v>
      </c>
      <c r="O66" s="14" t="s">
        <v>798</v>
      </c>
      <c r="P66" s="14" t="s">
        <v>868</v>
      </c>
      <c r="Q66" s="14" t="s">
        <v>791</v>
      </c>
      <c r="R66" s="37"/>
      <c r="S66" s="14" t="s">
        <v>791</v>
      </c>
      <c r="T66" s="14" t="s">
        <v>791</v>
      </c>
      <c r="U66" s="14" t="s">
        <v>1134</v>
      </c>
      <c r="W66" s="37"/>
      <c r="X66" s="37"/>
      <c r="Y66" s="37"/>
      <c r="Z66" s="36">
        <v>0.0</v>
      </c>
      <c r="AA66" s="37"/>
      <c r="AB66" s="37"/>
      <c r="AC66" s="37"/>
      <c r="AD66" s="37"/>
      <c r="AE66" s="37"/>
      <c r="AF66" s="37"/>
      <c r="AG66" s="14" t="s">
        <v>1135</v>
      </c>
      <c r="AK66" s="37"/>
      <c r="AL66" s="37"/>
      <c r="AM66" s="37"/>
      <c r="AN66" s="14" t="s">
        <v>1136</v>
      </c>
    </row>
    <row r="67">
      <c r="A67" s="14" t="s">
        <v>1137</v>
      </c>
      <c r="B67" s="14" t="s">
        <v>781</v>
      </c>
      <c r="C67" s="14" t="s">
        <v>812</v>
      </c>
      <c r="D67" s="14" t="s">
        <v>813</v>
      </c>
      <c r="E67" s="36">
        <v>475.0</v>
      </c>
      <c r="F67" s="37"/>
      <c r="G67" s="14" t="s">
        <v>814</v>
      </c>
      <c r="H67" s="14" t="s">
        <v>20</v>
      </c>
      <c r="I67" s="38">
        <v>42736.0</v>
      </c>
      <c r="J67" s="38">
        <v>42736.0</v>
      </c>
      <c r="K67" s="14" t="s">
        <v>786</v>
      </c>
      <c r="L67" s="14" t="s">
        <v>787</v>
      </c>
      <c r="M67" s="36">
        <v>22.0</v>
      </c>
      <c r="N67" s="14" t="s">
        <v>791</v>
      </c>
      <c r="O67" s="14" t="s">
        <v>798</v>
      </c>
      <c r="P67" s="14" t="s">
        <v>799</v>
      </c>
      <c r="Q67" s="14" t="s">
        <v>791</v>
      </c>
      <c r="R67" s="37"/>
      <c r="S67" s="14" t="s">
        <v>788</v>
      </c>
      <c r="T67" s="14" t="s">
        <v>788</v>
      </c>
      <c r="U67" s="14" t="s">
        <v>1138</v>
      </c>
      <c r="W67" s="37"/>
      <c r="X67" s="37"/>
      <c r="Y67" s="37"/>
      <c r="Z67" s="36">
        <v>77.0</v>
      </c>
      <c r="AA67" s="14" t="s">
        <v>816</v>
      </c>
      <c r="AC67" s="37"/>
      <c r="AD67" s="37"/>
      <c r="AE67" s="37"/>
      <c r="AF67" s="37"/>
      <c r="AG67" s="14" t="s">
        <v>1139</v>
      </c>
      <c r="AK67" s="37"/>
      <c r="AL67" s="37"/>
      <c r="AM67" s="37"/>
      <c r="AN67" s="14" t="s">
        <v>1140</v>
      </c>
    </row>
    <row r="68">
      <c r="A68" s="14" t="s">
        <v>1141</v>
      </c>
      <c r="B68" s="14" t="s">
        <v>781</v>
      </c>
      <c r="C68" s="14" t="s">
        <v>1011</v>
      </c>
      <c r="D68" s="14" t="s">
        <v>1012</v>
      </c>
      <c r="E68" s="36">
        <v>476.0</v>
      </c>
      <c r="F68" s="37"/>
      <c r="G68" s="14" t="s">
        <v>814</v>
      </c>
      <c r="H68" s="14" t="s">
        <v>20</v>
      </c>
      <c r="I68" s="38">
        <v>42736.0</v>
      </c>
      <c r="J68" s="38">
        <v>42736.0</v>
      </c>
      <c r="K68" s="14" t="s">
        <v>786</v>
      </c>
      <c r="L68" s="14" t="s">
        <v>787</v>
      </c>
      <c r="M68" s="36">
        <v>22.0</v>
      </c>
      <c r="N68" s="14" t="s">
        <v>791</v>
      </c>
      <c r="O68" s="14" t="s">
        <v>798</v>
      </c>
      <c r="P68" s="14" t="s">
        <v>799</v>
      </c>
      <c r="Q68" s="14" t="s">
        <v>791</v>
      </c>
      <c r="R68" s="37"/>
      <c r="S68" s="14" t="s">
        <v>791</v>
      </c>
      <c r="T68" s="14" t="s">
        <v>791</v>
      </c>
      <c r="U68" s="14" t="s">
        <v>1142</v>
      </c>
      <c r="W68" s="37"/>
      <c r="X68" s="37"/>
      <c r="Y68" s="37"/>
      <c r="Z68" s="36">
        <v>269.0</v>
      </c>
      <c r="AA68" s="37"/>
      <c r="AB68" s="37"/>
      <c r="AC68" s="37"/>
      <c r="AD68" s="37"/>
      <c r="AE68" s="37"/>
      <c r="AF68" s="37"/>
      <c r="AG68" s="14" t="s">
        <v>1143</v>
      </c>
      <c r="AK68" s="37"/>
      <c r="AL68" s="37"/>
      <c r="AM68" s="37"/>
      <c r="AN68" s="14" t="s">
        <v>1144</v>
      </c>
    </row>
    <row r="69">
      <c r="A69" s="14" t="s">
        <v>1145</v>
      </c>
      <c r="B69" s="14" t="s">
        <v>781</v>
      </c>
      <c r="C69" s="14" t="s">
        <v>827</v>
      </c>
      <c r="D69" s="14" t="s">
        <v>828</v>
      </c>
      <c r="E69" s="36">
        <v>414.0</v>
      </c>
      <c r="F69" s="37"/>
      <c r="G69" s="14" t="s">
        <v>829</v>
      </c>
      <c r="H69" s="14" t="s">
        <v>20</v>
      </c>
      <c r="I69" s="38">
        <v>28216.0</v>
      </c>
      <c r="J69" s="38">
        <v>37723.0</v>
      </c>
      <c r="K69" s="14" t="s">
        <v>786</v>
      </c>
      <c r="L69" s="14" t="s">
        <v>787</v>
      </c>
      <c r="M69" s="36">
        <v>22.0</v>
      </c>
      <c r="N69" s="14" t="s">
        <v>791</v>
      </c>
      <c r="O69" s="14" t="s">
        <v>798</v>
      </c>
      <c r="P69" s="14" t="s">
        <v>830</v>
      </c>
      <c r="Q69" s="14" t="s">
        <v>791</v>
      </c>
      <c r="R69" s="37"/>
      <c r="S69" s="14" t="s">
        <v>788</v>
      </c>
      <c r="T69" s="14" t="s">
        <v>788</v>
      </c>
      <c r="U69" s="14" t="s">
        <v>921</v>
      </c>
      <c r="V69" s="37"/>
      <c r="W69" s="37"/>
      <c r="X69" s="37"/>
      <c r="Y69" s="37"/>
      <c r="Z69" s="36">
        <v>90.0</v>
      </c>
      <c r="AA69" s="36">
        <v>40.0</v>
      </c>
      <c r="AB69" s="37"/>
      <c r="AC69" s="37"/>
      <c r="AD69" s="37"/>
      <c r="AE69" s="37"/>
      <c r="AF69" s="37"/>
      <c r="AG69" s="14" t="s">
        <v>1146</v>
      </c>
      <c r="AM69" s="37"/>
      <c r="AN69" s="14" t="s">
        <v>1147</v>
      </c>
    </row>
    <row r="70">
      <c r="A70" s="14" t="s">
        <v>1148</v>
      </c>
      <c r="B70" s="14" t="s">
        <v>781</v>
      </c>
      <c r="C70" s="14" t="s">
        <v>951</v>
      </c>
      <c r="D70" s="14" t="s">
        <v>952</v>
      </c>
      <c r="E70" s="36">
        <v>613.0</v>
      </c>
      <c r="F70" s="14" t="s">
        <v>953</v>
      </c>
      <c r="G70" s="14" t="s">
        <v>954</v>
      </c>
      <c r="H70" s="14" t="s">
        <v>20</v>
      </c>
      <c r="I70" s="38">
        <v>22965.0</v>
      </c>
      <c r="J70" s="38">
        <v>45710.0</v>
      </c>
      <c r="K70" s="14" t="s">
        <v>786</v>
      </c>
      <c r="L70" s="14" t="s">
        <v>787</v>
      </c>
      <c r="M70" s="36">
        <v>22.0</v>
      </c>
      <c r="N70" s="14" t="s">
        <v>791</v>
      </c>
      <c r="O70" s="14" t="s">
        <v>798</v>
      </c>
      <c r="P70" s="14" t="s">
        <v>799</v>
      </c>
      <c r="Q70" s="14" t="s">
        <v>791</v>
      </c>
      <c r="R70" s="37"/>
      <c r="S70" s="14" t="s">
        <v>788</v>
      </c>
      <c r="T70" s="14" t="s">
        <v>788</v>
      </c>
      <c r="U70" s="14" t="s">
        <v>955</v>
      </c>
      <c r="V70" s="37"/>
      <c r="W70" s="37"/>
      <c r="X70" s="37"/>
      <c r="Y70" s="37"/>
      <c r="Z70" s="36">
        <v>173.0</v>
      </c>
      <c r="AA70" s="14" t="s">
        <v>1149</v>
      </c>
      <c r="AB70" s="37"/>
      <c r="AC70" s="37"/>
      <c r="AD70" s="37"/>
      <c r="AE70" s="37"/>
      <c r="AF70" s="37"/>
      <c r="AG70" s="14" t="s">
        <v>1150</v>
      </c>
      <c r="AK70" s="37"/>
      <c r="AL70" s="37"/>
      <c r="AM70" s="37"/>
      <c r="AN70" s="14" t="s">
        <v>1151</v>
      </c>
    </row>
    <row r="71">
      <c r="A71" s="14" t="s">
        <v>1152</v>
      </c>
      <c r="B71" s="14" t="s">
        <v>781</v>
      </c>
      <c r="C71" s="14" t="s">
        <v>914</v>
      </c>
      <c r="D71" s="14" t="s">
        <v>915</v>
      </c>
      <c r="E71" s="36">
        <v>146.0</v>
      </c>
      <c r="F71" s="37"/>
      <c r="G71" s="14" t="s">
        <v>807</v>
      </c>
      <c r="H71" s="14" t="s">
        <v>20</v>
      </c>
      <c r="I71" s="38">
        <v>13656.0</v>
      </c>
      <c r="J71" s="38">
        <v>45016.0</v>
      </c>
      <c r="K71" s="14" t="s">
        <v>786</v>
      </c>
      <c r="L71" s="14" t="s">
        <v>787</v>
      </c>
      <c r="M71" s="36">
        <v>22.0</v>
      </c>
      <c r="N71" s="14" t="s">
        <v>791</v>
      </c>
      <c r="O71" s="14" t="s">
        <v>798</v>
      </c>
      <c r="P71" s="14" t="s">
        <v>799</v>
      </c>
      <c r="Q71" s="14" t="s">
        <v>791</v>
      </c>
      <c r="R71" s="37"/>
      <c r="S71" s="14" t="s">
        <v>788</v>
      </c>
      <c r="T71" s="14" t="s">
        <v>788</v>
      </c>
      <c r="U71" s="14" t="s">
        <v>916</v>
      </c>
      <c r="W71" s="37"/>
      <c r="X71" s="37"/>
      <c r="Y71" s="37"/>
      <c r="Z71" s="36">
        <v>112.0</v>
      </c>
      <c r="AA71" s="14" t="s">
        <v>1153</v>
      </c>
      <c r="AC71" s="37"/>
      <c r="AD71" s="37"/>
      <c r="AE71" s="37"/>
      <c r="AF71" s="37"/>
      <c r="AG71" s="14" t="s">
        <v>918</v>
      </c>
      <c r="AM71" s="37"/>
      <c r="AN71" s="14" t="s">
        <v>1154</v>
      </c>
    </row>
    <row r="72">
      <c r="A72" s="14" t="s">
        <v>1155</v>
      </c>
      <c r="B72" s="14" t="s">
        <v>781</v>
      </c>
      <c r="C72" s="14" t="s">
        <v>1011</v>
      </c>
      <c r="D72" s="14" t="s">
        <v>1012</v>
      </c>
      <c r="E72" s="36">
        <v>476.0</v>
      </c>
      <c r="F72" s="37"/>
      <c r="G72" s="14" t="s">
        <v>814</v>
      </c>
      <c r="H72" s="14" t="s">
        <v>20</v>
      </c>
      <c r="I72" s="38">
        <v>42736.0</v>
      </c>
      <c r="J72" s="38">
        <v>42736.0</v>
      </c>
      <c r="K72" s="14" t="s">
        <v>786</v>
      </c>
      <c r="L72" s="14" t="s">
        <v>787</v>
      </c>
      <c r="M72" s="36">
        <v>22.0</v>
      </c>
      <c r="N72" s="14" t="s">
        <v>791</v>
      </c>
      <c r="O72" s="14" t="s">
        <v>798</v>
      </c>
      <c r="P72" s="14" t="s">
        <v>799</v>
      </c>
      <c r="Q72" s="14" t="s">
        <v>791</v>
      </c>
      <c r="R72" s="37"/>
      <c r="S72" s="14" t="s">
        <v>791</v>
      </c>
      <c r="T72" s="14" t="s">
        <v>791</v>
      </c>
      <c r="U72" s="14" t="s">
        <v>1156</v>
      </c>
      <c r="W72" s="37"/>
      <c r="X72" s="37"/>
      <c r="Y72" s="37"/>
      <c r="Z72" s="36">
        <v>125.0</v>
      </c>
      <c r="AA72" s="37"/>
      <c r="AB72" s="37"/>
      <c r="AC72" s="37"/>
      <c r="AD72" s="37"/>
      <c r="AE72" s="37"/>
      <c r="AF72" s="37"/>
      <c r="AG72" s="14" t="s">
        <v>1157</v>
      </c>
      <c r="AK72" s="37"/>
      <c r="AL72" s="37"/>
      <c r="AM72" s="37"/>
      <c r="AN72" s="14" t="s">
        <v>1158</v>
      </c>
    </row>
    <row r="73">
      <c r="A73" s="14" t="s">
        <v>1159</v>
      </c>
      <c r="B73" s="14" t="s">
        <v>781</v>
      </c>
      <c r="C73" s="14" t="s">
        <v>1160</v>
      </c>
      <c r="D73" s="14" t="s">
        <v>1161</v>
      </c>
      <c r="E73" s="36">
        <v>306.0</v>
      </c>
      <c r="F73" s="37"/>
      <c r="G73" s="14" t="s">
        <v>1162</v>
      </c>
      <c r="H73" s="14" t="s">
        <v>20</v>
      </c>
      <c r="I73" s="38">
        <v>11592.0</v>
      </c>
      <c r="J73" s="38">
        <v>44743.0</v>
      </c>
      <c r="K73" s="14" t="s">
        <v>786</v>
      </c>
      <c r="L73" s="14" t="s">
        <v>787</v>
      </c>
      <c r="M73" s="36">
        <v>22.0</v>
      </c>
      <c r="N73" s="14" t="s">
        <v>791</v>
      </c>
      <c r="O73" s="14" t="s">
        <v>798</v>
      </c>
      <c r="P73" s="14" t="s">
        <v>799</v>
      </c>
      <c r="Q73" s="14" t="s">
        <v>791</v>
      </c>
      <c r="R73" s="37"/>
      <c r="S73" s="14" t="s">
        <v>791</v>
      </c>
      <c r="T73" s="14" t="s">
        <v>791</v>
      </c>
      <c r="U73" s="14" t="s">
        <v>1099</v>
      </c>
      <c r="V73" s="37"/>
      <c r="W73" s="37"/>
      <c r="X73" s="37"/>
      <c r="Y73" s="37"/>
      <c r="Z73" s="36">
        <v>114.0</v>
      </c>
      <c r="AA73" s="36">
        <v>40.0</v>
      </c>
      <c r="AB73" s="37"/>
      <c r="AC73" s="37"/>
      <c r="AD73" s="37"/>
      <c r="AE73" s="37"/>
      <c r="AF73" s="37"/>
      <c r="AG73" s="14" t="s">
        <v>1163</v>
      </c>
      <c r="AK73" s="37"/>
      <c r="AL73" s="37"/>
      <c r="AM73" s="37"/>
      <c r="AN73" s="14" t="s">
        <v>1164</v>
      </c>
    </row>
    <row r="74">
      <c r="A74" s="14" t="s">
        <v>1165</v>
      </c>
      <c r="B74" s="14" t="s">
        <v>781</v>
      </c>
      <c r="C74" s="14" t="s">
        <v>925</v>
      </c>
      <c r="D74" s="14" t="s">
        <v>926</v>
      </c>
      <c r="E74" s="36">
        <v>278.0</v>
      </c>
      <c r="F74" s="37"/>
      <c r="G74" s="14" t="s">
        <v>860</v>
      </c>
      <c r="H74" s="14" t="s">
        <v>68</v>
      </c>
      <c r="I74" s="38">
        <v>32478.0</v>
      </c>
      <c r="J74" s="38">
        <v>39419.0</v>
      </c>
      <c r="K74" s="14" t="s">
        <v>786</v>
      </c>
      <c r="L74" s="14" t="s">
        <v>787</v>
      </c>
      <c r="M74" s="36">
        <v>22.0</v>
      </c>
      <c r="N74" s="14" t="s">
        <v>791</v>
      </c>
      <c r="O74" s="14" t="s">
        <v>798</v>
      </c>
      <c r="P74" s="14" t="s">
        <v>799</v>
      </c>
      <c r="Q74" s="14" t="s">
        <v>791</v>
      </c>
      <c r="R74" s="37"/>
      <c r="S74" s="14" t="s">
        <v>791</v>
      </c>
      <c r="T74" s="14" t="s">
        <v>791</v>
      </c>
      <c r="U74" s="14" t="s">
        <v>1166</v>
      </c>
      <c r="V74" s="37"/>
      <c r="W74" s="37"/>
      <c r="X74" s="37"/>
      <c r="Y74" s="37"/>
      <c r="Z74" s="36">
        <v>95.0</v>
      </c>
      <c r="AA74" s="14" t="s">
        <v>1058</v>
      </c>
      <c r="AB74" s="37"/>
      <c r="AC74" s="37"/>
      <c r="AD74" s="37"/>
      <c r="AE74" s="37"/>
      <c r="AF74" s="37"/>
      <c r="AG74" s="14" t="s">
        <v>1059</v>
      </c>
      <c r="AL74" s="37"/>
      <c r="AM74" s="37"/>
      <c r="AN74" s="14" t="s">
        <v>1167</v>
      </c>
    </row>
    <row r="75">
      <c r="A75" s="14" t="s">
        <v>1168</v>
      </c>
      <c r="B75" s="14" t="s">
        <v>781</v>
      </c>
      <c r="C75" s="14" t="s">
        <v>843</v>
      </c>
      <c r="D75" s="14" t="s">
        <v>844</v>
      </c>
      <c r="E75" s="36">
        <v>607.0</v>
      </c>
      <c r="F75" s="14" t="s">
        <v>845</v>
      </c>
      <c r="G75" s="14" t="s">
        <v>846</v>
      </c>
      <c r="H75" s="14" t="s">
        <v>20</v>
      </c>
      <c r="I75" s="38">
        <v>14960.0</v>
      </c>
      <c r="J75" s="38">
        <v>39044.0</v>
      </c>
      <c r="K75" s="14" t="s">
        <v>786</v>
      </c>
      <c r="L75" s="14" t="s">
        <v>787</v>
      </c>
      <c r="M75" s="36">
        <v>22.0</v>
      </c>
      <c r="N75" s="14" t="s">
        <v>791</v>
      </c>
      <c r="O75" s="14" t="s">
        <v>798</v>
      </c>
      <c r="P75" s="14" t="s">
        <v>830</v>
      </c>
      <c r="Q75" s="14" t="s">
        <v>791</v>
      </c>
      <c r="R75" s="37"/>
      <c r="S75" s="14" t="s">
        <v>788</v>
      </c>
      <c r="T75" s="14" t="s">
        <v>788</v>
      </c>
      <c r="U75" s="14" t="s">
        <v>800</v>
      </c>
      <c r="V75" s="37"/>
      <c r="W75" s="37"/>
      <c r="X75" s="37"/>
      <c r="Y75" s="37"/>
      <c r="Z75" s="36">
        <v>109.0</v>
      </c>
      <c r="AA75" s="36">
        <v>24.0</v>
      </c>
      <c r="AB75" s="37"/>
      <c r="AC75" s="37"/>
      <c r="AD75" s="37"/>
      <c r="AE75" s="37"/>
      <c r="AF75" s="37"/>
      <c r="AG75" s="14" t="s">
        <v>1169</v>
      </c>
      <c r="AL75" s="37"/>
      <c r="AM75" s="37"/>
      <c r="AN75" s="14" t="s">
        <v>1170</v>
      </c>
    </row>
    <row r="76">
      <c r="A76" s="14" t="s">
        <v>1171</v>
      </c>
      <c r="B76" s="14" t="s">
        <v>781</v>
      </c>
      <c r="C76" s="14" t="s">
        <v>1172</v>
      </c>
      <c r="D76" s="14" t="s">
        <v>1173</v>
      </c>
      <c r="E76" s="36">
        <v>234.0</v>
      </c>
      <c r="F76" s="37"/>
      <c r="G76" s="14" t="s">
        <v>846</v>
      </c>
      <c r="H76" s="14" t="s">
        <v>20</v>
      </c>
      <c r="I76" s="38">
        <v>30773.0</v>
      </c>
      <c r="J76" s="38">
        <v>41690.0</v>
      </c>
      <c r="K76" s="14" t="s">
        <v>786</v>
      </c>
      <c r="L76" s="14" t="s">
        <v>787</v>
      </c>
      <c r="M76" s="36">
        <v>22.0</v>
      </c>
      <c r="N76" s="14" t="s">
        <v>791</v>
      </c>
      <c r="O76" s="14" t="s">
        <v>798</v>
      </c>
      <c r="P76" s="14" t="s">
        <v>799</v>
      </c>
      <c r="Q76" s="14" t="s">
        <v>791</v>
      </c>
      <c r="R76" s="37"/>
      <c r="S76" s="14" t="s">
        <v>788</v>
      </c>
      <c r="T76" s="14" t="s">
        <v>788</v>
      </c>
      <c r="U76" s="14" t="s">
        <v>1174</v>
      </c>
      <c r="V76" s="37"/>
      <c r="W76" s="37"/>
      <c r="X76" s="37"/>
      <c r="Y76" s="37"/>
      <c r="Z76" s="36">
        <v>112.0</v>
      </c>
      <c r="AA76" s="14" t="s">
        <v>1058</v>
      </c>
      <c r="AB76" s="37"/>
      <c r="AC76" s="37"/>
      <c r="AD76" s="37"/>
      <c r="AE76" s="37"/>
      <c r="AF76" s="37"/>
      <c r="AG76" s="14" t="s">
        <v>1175</v>
      </c>
      <c r="AL76" s="37"/>
      <c r="AM76" s="37"/>
      <c r="AN76" s="14" t="s">
        <v>1176</v>
      </c>
    </row>
    <row r="77">
      <c r="A77" s="14" t="s">
        <v>1177</v>
      </c>
      <c r="B77" s="14" t="s">
        <v>781</v>
      </c>
      <c r="C77" s="14" t="s">
        <v>850</v>
      </c>
      <c r="D77" s="14" t="s">
        <v>851</v>
      </c>
      <c r="E77" s="36">
        <v>621.0</v>
      </c>
      <c r="F77" s="14" t="s">
        <v>852</v>
      </c>
      <c r="G77" s="14" t="s">
        <v>807</v>
      </c>
      <c r="H77" s="14" t="s">
        <v>103</v>
      </c>
      <c r="I77" s="38">
        <v>35327.0</v>
      </c>
      <c r="J77" s="38">
        <v>35327.0</v>
      </c>
      <c r="K77" s="14" t="s">
        <v>786</v>
      </c>
      <c r="L77" s="14" t="s">
        <v>787</v>
      </c>
      <c r="M77" s="36">
        <v>22.0</v>
      </c>
      <c r="N77" s="14" t="s">
        <v>791</v>
      </c>
      <c r="O77" s="14" t="s">
        <v>798</v>
      </c>
      <c r="P77" s="14" t="s">
        <v>853</v>
      </c>
      <c r="Q77" s="14" t="s">
        <v>791</v>
      </c>
      <c r="R77" s="37"/>
      <c r="S77" s="14" t="s">
        <v>791</v>
      </c>
      <c r="T77" s="14" t="s">
        <v>788</v>
      </c>
      <c r="U77" s="14" t="s">
        <v>1178</v>
      </c>
      <c r="V77" s="37"/>
      <c r="W77" s="37"/>
      <c r="X77" s="37"/>
      <c r="Y77" s="37"/>
      <c r="Z77" s="36">
        <v>150.0</v>
      </c>
      <c r="AA77" s="36">
        <v>32.0</v>
      </c>
      <c r="AB77" s="37"/>
      <c r="AC77" s="37"/>
      <c r="AD77" s="37"/>
      <c r="AE77" s="37"/>
      <c r="AF77" s="37"/>
      <c r="AG77" s="14" t="s">
        <v>855</v>
      </c>
      <c r="AM77" s="37"/>
      <c r="AN77" s="14" t="s">
        <v>1179</v>
      </c>
    </row>
    <row r="78">
      <c r="A78" s="14" t="s">
        <v>1180</v>
      </c>
      <c r="B78" s="14" t="s">
        <v>781</v>
      </c>
      <c r="C78" s="14" t="s">
        <v>1181</v>
      </c>
      <c r="D78" s="14" t="s">
        <v>1182</v>
      </c>
      <c r="E78" s="36">
        <v>333.0</v>
      </c>
      <c r="F78" s="37"/>
      <c r="G78" s="14" t="s">
        <v>1183</v>
      </c>
      <c r="H78" s="14" t="s">
        <v>20</v>
      </c>
      <c r="I78" s="37"/>
      <c r="J78" s="38">
        <v>40817.0</v>
      </c>
      <c r="K78" s="14" t="s">
        <v>786</v>
      </c>
      <c r="L78" s="14" t="s">
        <v>787</v>
      </c>
      <c r="M78" s="36">
        <v>22.0</v>
      </c>
      <c r="N78" s="14" t="s">
        <v>788</v>
      </c>
      <c r="O78" s="14" t="s">
        <v>789</v>
      </c>
      <c r="P78" s="14" t="s">
        <v>790</v>
      </c>
      <c r="Q78" s="14" t="s">
        <v>791</v>
      </c>
      <c r="R78" s="37"/>
      <c r="S78" s="14" t="s">
        <v>788</v>
      </c>
      <c r="T78" s="14" t="s">
        <v>788</v>
      </c>
      <c r="U78" s="37"/>
      <c r="V78" s="37"/>
      <c r="W78" s="37"/>
      <c r="X78" s="37"/>
      <c r="Y78" s="37"/>
      <c r="Z78" s="36">
        <v>0.0</v>
      </c>
      <c r="AA78" s="37"/>
      <c r="AB78" s="37"/>
      <c r="AC78" s="37"/>
      <c r="AD78" s="37"/>
      <c r="AE78" s="37"/>
      <c r="AF78" s="37"/>
      <c r="AG78" s="14" t="s">
        <v>1184</v>
      </c>
      <c r="AN78" s="14" t="s">
        <v>1185</v>
      </c>
    </row>
    <row r="79">
      <c r="A79" s="14" t="s">
        <v>1186</v>
      </c>
      <c r="B79" s="14" t="s">
        <v>781</v>
      </c>
      <c r="C79" s="14" t="s">
        <v>940</v>
      </c>
      <c r="D79" s="14" t="s">
        <v>941</v>
      </c>
      <c r="E79" s="36">
        <v>223.0</v>
      </c>
      <c r="F79" s="37"/>
      <c r="G79" s="14" t="s">
        <v>822</v>
      </c>
      <c r="H79" s="14" t="s">
        <v>20</v>
      </c>
      <c r="I79" s="38">
        <v>42734.0</v>
      </c>
      <c r="J79" s="38">
        <v>42734.0</v>
      </c>
      <c r="K79" s="14" t="s">
        <v>786</v>
      </c>
      <c r="L79" s="14" t="s">
        <v>787</v>
      </c>
      <c r="M79" s="36">
        <v>22.0</v>
      </c>
      <c r="N79" s="14" t="s">
        <v>791</v>
      </c>
      <c r="O79" s="14" t="s">
        <v>798</v>
      </c>
      <c r="P79" s="14" t="s">
        <v>799</v>
      </c>
      <c r="Q79" s="14" t="s">
        <v>791</v>
      </c>
      <c r="R79" s="37"/>
      <c r="S79" s="14" t="s">
        <v>791</v>
      </c>
      <c r="T79" s="14" t="s">
        <v>791</v>
      </c>
      <c r="U79" s="14" t="s">
        <v>1187</v>
      </c>
      <c r="W79" s="37"/>
      <c r="X79" s="37"/>
      <c r="Y79" s="37"/>
      <c r="Z79" s="36">
        <v>122.0</v>
      </c>
      <c r="AA79" s="14" t="s">
        <v>1188</v>
      </c>
      <c r="AD79" s="37"/>
      <c r="AE79" s="37"/>
      <c r="AF79" s="37"/>
      <c r="AG79" s="14" t="s">
        <v>1189</v>
      </c>
      <c r="AK79" s="37"/>
      <c r="AL79" s="37"/>
      <c r="AM79" s="37"/>
      <c r="AN79" s="14" t="s">
        <v>1190</v>
      </c>
    </row>
    <row r="80">
      <c r="A80" s="14" t="s">
        <v>1191</v>
      </c>
      <c r="B80" s="14" t="s">
        <v>781</v>
      </c>
      <c r="C80" s="14" t="s">
        <v>1095</v>
      </c>
      <c r="D80" s="14" t="s">
        <v>1096</v>
      </c>
      <c r="E80" s="36">
        <v>616.0</v>
      </c>
      <c r="F80" s="14" t="s">
        <v>1097</v>
      </c>
      <c r="G80" s="14" t="s">
        <v>1098</v>
      </c>
      <c r="H80" s="14" t="s">
        <v>68</v>
      </c>
      <c r="I80" s="38">
        <v>36363.0</v>
      </c>
      <c r="J80" s="38">
        <v>45596.0</v>
      </c>
      <c r="K80" s="14" t="s">
        <v>786</v>
      </c>
      <c r="L80" s="14" t="s">
        <v>787</v>
      </c>
      <c r="M80" s="36">
        <v>22.0</v>
      </c>
      <c r="N80" s="14" t="s">
        <v>791</v>
      </c>
      <c r="O80" s="14" t="s">
        <v>798</v>
      </c>
      <c r="P80" s="14" t="s">
        <v>853</v>
      </c>
      <c r="Q80" s="14" t="s">
        <v>791</v>
      </c>
      <c r="R80" s="37"/>
      <c r="S80" s="14" t="s">
        <v>788</v>
      </c>
      <c r="T80" s="14" t="s">
        <v>788</v>
      </c>
      <c r="U80" s="14" t="s">
        <v>1192</v>
      </c>
      <c r="V80" s="37"/>
      <c r="W80" s="37"/>
      <c r="X80" s="37"/>
      <c r="Y80" s="37"/>
      <c r="Z80" s="36">
        <v>115.0</v>
      </c>
      <c r="AA80" s="14" t="s">
        <v>1058</v>
      </c>
      <c r="AB80" s="37"/>
      <c r="AC80" s="37"/>
      <c r="AD80" s="37"/>
      <c r="AE80" s="37"/>
      <c r="AF80" s="37"/>
      <c r="AG80" s="14" t="s">
        <v>1193</v>
      </c>
      <c r="AL80" s="37"/>
      <c r="AM80" s="37"/>
      <c r="AN80" s="14" t="s">
        <v>1194</v>
      </c>
    </row>
    <row r="81">
      <c r="A81" s="14" t="s">
        <v>1195</v>
      </c>
      <c r="B81" s="14" t="s">
        <v>781</v>
      </c>
      <c r="C81" s="14" t="s">
        <v>1196</v>
      </c>
      <c r="D81" s="14" t="s">
        <v>1197</v>
      </c>
      <c r="E81" s="36">
        <v>167.0</v>
      </c>
      <c r="F81" s="37"/>
      <c r="G81" s="14" t="s">
        <v>807</v>
      </c>
      <c r="H81" s="14" t="s">
        <v>20</v>
      </c>
      <c r="I81" s="38">
        <v>25781.0</v>
      </c>
      <c r="J81" s="38">
        <v>45788.0</v>
      </c>
      <c r="K81" s="14" t="s">
        <v>786</v>
      </c>
      <c r="L81" s="14" t="s">
        <v>787</v>
      </c>
      <c r="M81" s="36">
        <v>22.0</v>
      </c>
      <c r="N81" s="14" t="s">
        <v>791</v>
      </c>
      <c r="O81" s="14" t="s">
        <v>798</v>
      </c>
      <c r="P81" s="14" t="s">
        <v>1198</v>
      </c>
      <c r="Q81" s="14" t="s">
        <v>791</v>
      </c>
      <c r="R81" s="37"/>
      <c r="S81" s="14" t="s">
        <v>788</v>
      </c>
      <c r="T81" s="14" t="s">
        <v>788</v>
      </c>
      <c r="U81" s="14" t="s">
        <v>1199</v>
      </c>
      <c r="V81" s="37"/>
      <c r="W81" s="37"/>
      <c r="X81" s="37"/>
      <c r="Y81" s="37"/>
      <c r="Z81" s="36">
        <v>94.0</v>
      </c>
      <c r="AA81" s="14" t="s">
        <v>1058</v>
      </c>
      <c r="AB81" s="37"/>
      <c r="AC81" s="37"/>
      <c r="AD81" s="37"/>
      <c r="AE81" s="37"/>
      <c r="AF81" s="37"/>
      <c r="AG81" s="14" t="s">
        <v>1200</v>
      </c>
      <c r="AN81" s="14" t="s">
        <v>1201</v>
      </c>
    </row>
    <row r="82">
      <c r="A82" s="14" t="s">
        <v>1202</v>
      </c>
      <c r="B82" s="14" t="s">
        <v>781</v>
      </c>
      <c r="C82" s="14" t="s">
        <v>782</v>
      </c>
      <c r="D82" s="14" t="s">
        <v>783</v>
      </c>
      <c r="E82" s="36">
        <v>612.0</v>
      </c>
      <c r="F82" s="14" t="s">
        <v>784</v>
      </c>
      <c r="G82" s="14" t="s">
        <v>785</v>
      </c>
      <c r="H82" s="14" t="s">
        <v>20</v>
      </c>
      <c r="I82" s="37"/>
      <c r="J82" s="38">
        <v>40700.0</v>
      </c>
      <c r="K82" s="14" t="s">
        <v>786</v>
      </c>
      <c r="L82" s="14" t="s">
        <v>787</v>
      </c>
      <c r="M82" s="36">
        <v>22.0</v>
      </c>
      <c r="N82" s="14" t="s">
        <v>788</v>
      </c>
      <c r="O82" s="14" t="s">
        <v>789</v>
      </c>
      <c r="P82" s="14" t="s">
        <v>790</v>
      </c>
      <c r="Q82" s="14" t="s">
        <v>791</v>
      </c>
      <c r="R82" s="37"/>
      <c r="S82" s="14" t="s">
        <v>788</v>
      </c>
      <c r="T82" s="14" t="s">
        <v>788</v>
      </c>
      <c r="U82" s="37"/>
      <c r="V82" s="37"/>
      <c r="W82" s="37"/>
      <c r="X82" s="37"/>
      <c r="Y82" s="37"/>
      <c r="Z82" s="36">
        <v>0.0</v>
      </c>
      <c r="AA82" s="37"/>
      <c r="AB82" s="37"/>
      <c r="AC82" s="37"/>
      <c r="AD82" s="37"/>
      <c r="AE82" s="37"/>
      <c r="AF82" s="37"/>
      <c r="AG82" s="14" t="s">
        <v>1203</v>
      </c>
      <c r="AM82" s="37"/>
      <c r="AN82" s="14" t="s">
        <v>1204</v>
      </c>
    </row>
    <row r="83">
      <c r="A83" s="14" t="s">
        <v>1205</v>
      </c>
      <c r="B83" s="14" t="s">
        <v>781</v>
      </c>
      <c r="C83" s="14" t="s">
        <v>1206</v>
      </c>
      <c r="D83" s="14" t="s">
        <v>1207</v>
      </c>
      <c r="E83" s="36">
        <v>625.0</v>
      </c>
      <c r="F83" s="14" t="s">
        <v>1208</v>
      </c>
      <c r="G83" s="14" t="s">
        <v>846</v>
      </c>
      <c r="H83" s="14" t="s">
        <v>20</v>
      </c>
      <c r="I83" s="38">
        <v>21337.0</v>
      </c>
      <c r="J83" s="38">
        <v>36286.0</v>
      </c>
      <c r="K83" s="14" t="s">
        <v>786</v>
      </c>
      <c r="L83" s="14" t="s">
        <v>787</v>
      </c>
      <c r="M83" s="36">
        <v>22.0</v>
      </c>
      <c r="N83" s="14" t="s">
        <v>791</v>
      </c>
      <c r="O83" s="14" t="s">
        <v>798</v>
      </c>
      <c r="P83" s="14" t="s">
        <v>853</v>
      </c>
      <c r="Q83" s="14" t="s">
        <v>791</v>
      </c>
      <c r="R83" s="37"/>
      <c r="S83" s="14" t="s">
        <v>791</v>
      </c>
      <c r="T83" s="14" t="s">
        <v>791</v>
      </c>
      <c r="U83" s="14" t="s">
        <v>1117</v>
      </c>
      <c r="V83" s="37"/>
      <c r="W83" s="37"/>
      <c r="X83" s="37"/>
      <c r="Y83" s="37"/>
      <c r="Z83" s="36">
        <v>97.0</v>
      </c>
      <c r="AA83" s="36">
        <v>24.0</v>
      </c>
      <c r="AB83" s="37"/>
      <c r="AC83" s="37"/>
      <c r="AD83" s="37"/>
      <c r="AE83" s="37"/>
      <c r="AF83" s="37"/>
      <c r="AG83" s="14" t="s">
        <v>1209</v>
      </c>
      <c r="AK83" s="37"/>
      <c r="AL83" s="37"/>
      <c r="AM83" s="37"/>
      <c r="AN83" s="14" t="s">
        <v>1210</v>
      </c>
    </row>
    <row r="84">
      <c r="A84" s="14" t="s">
        <v>1211</v>
      </c>
      <c r="B84" s="14" t="s">
        <v>781</v>
      </c>
      <c r="C84" s="14" t="s">
        <v>1095</v>
      </c>
      <c r="D84" s="14" t="s">
        <v>1096</v>
      </c>
      <c r="E84" s="36">
        <v>616.0</v>
      </c>
      <c r="F84" s="14" t="s">
        <v>1097</v>
      </c>
      <c r="G84" s="14" t="s">
        <v>1098</v>
      </c>
      <c r="H84" s="14" t="s">
        <v>68</v>
      </c>
      <c r="I84" s="38">
        <v>21641.0</v>
      </c>
      <c r="J84" s="38">
        <v>45596.0</v>
      </c>
      <c r="K84" s="14" t="s">
        <v>786</v>
      </c>
      <c r="L84" s="14" t="s">
        <v>787</v>
      </c>
      <c r="M84" s="36">
        <v>22.0</v>
      </c>
      <c r="N84" s="14" t="s">
        <v>791</v>
      </c>
      <c r="O84" s="14" t="s">
        <v>798</v>
      </c>
      <c r="P84" s="14" t="s">
        <v>853</v>
      </c>
      <c r="Q84" s="14" t="s">
        <v>791</v>
      </c>
      <c r="R84" s="37"/>
      <c r="S84" s="14" t="s">
        <v>788</v>
      </c>
      <c r="T84" s="14" t="s">
        <v>788</v>
      </c>
      <c r="U84" s="14" t="s">
        <v>1192</v>
      </c>
      <c r="V84" s="37"/>
      <c r="W84" s="37"/>
      <c r="X84" s="37"/>
      <c r="Y84" s="37"/>
      <c r="Z84" s="36">
        <v>115.0</v>
      </c>
      <c r="AA84" s="14" t="s">
        <v>1058</v>
      </c>
      <c r="AB84" s="37"/>
      <c r="AC84" s="37"/>
      <c r="AD84" s="37"/>
      <c r="AE84" s="37"/>
      <c r="AF84" s="37"/>
      <c r="AG84" s="14" t="s">
        <v>1100</v>
      </c>
      <c r="AL84" s="37"/>
      <c r="AM84" s="37"/>
      <c r="AN84" s="14" t="s">
        <v>1212</v>
      </c>
    </row>
    <row r="85">
      <c r="A85" s="14" t="s">
        <v>1213</v>
      </c>
      <c r="B85" s="14" t="s">
        <v>781</v>
      </c>
      <c r="C85" s="14" t="s">
        <v>1214</v>
      </c>
      <c r="D85" s="14" t="s">
        <v>1215</v>
      </c>
      <c r="E85" s="36">
        <v>198.0</v>
      </c>
      <c r="F85" s="37"/>
      <c r="G85" s="14" t="s">
        <v>1216</v>
      </c>
      <c r="H85" s="14" t="s">
        <v>68</v>
      </c>
      <c r="I85" s="37"/>
      <c r="J85" s="38">
        <v>41263.0</v>
      </c>
      <c r="K85" s="14" t="s">
        <v>786</v>
      </c>
      <c r="L85" s="14" t="s">
        <v>787</v>
      </c>
      <c r="M85" s="36">
        <v>22.0</v>
      </c>
      <c r="N85" s="14" t="s">
        <v>788</v>
      </c>
      <c r="O85" s="14" t="s">
        <v>789</v>
      </c>
      <c r="P85" s="14" t="s">
        <v>790</v>
      </c>
      <c r="Q85" s="14" t="s">
        <v>791</v>
      </c>
      <c r="R85" s="37"/>
      <c r="S85" s="14" t="s">
        <v>788</v>
      </c>
      <c r="T85" s="14" t="s">
        <v>788</v>
      </c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14" t="s">
        <v>1217</v>
      </c>
      <c r="AL85" s="37"/>
      <c r="AM85" s="37"/>
      <c r="AN85" s="14" t="s">
        <v>1218</v>
      </c>
    </row>
    <row r="86">
      <c r="A86" s="14" t="s">
        <v>1219</v>
      </c>
      <c r="B86" s="14" t="s">
        <v>781</v>
      </c>
      <c r="C86" s="14" t="s">
        <v>835</v>
      </c>
      <c r="D86" s="14" t="s">
        <v>836</v>
      </c>
      <c r="E86" s="36">
        <v>611.0</v>
      </c>
      <c r="F86" s="14" t="s">
        <v>837</v>
      </c>
      <c r="G86" s="14" t="s">
        <v>838</v>
      </c>
      <c r="H86" s="14" t="s">
        <v>20</v>
      </c>
      <c r="I86" s="37"/>
      <c r="J86" s="38">
        <v>40722.0</v>
      </c>
      <c r="K86" s="14" t="s">
        <v>786</v>
      </c>
      <c r="L86" s="14" t="s">
        <v>787</v>
      </c>
      <c r="M86" s="36">
        <v>22.0</v>
      </c>
      <c r="N86" s="14" t="s">
        <v>788</v>
      </c>
      <c r="O86" s="14" t="s">
        <v>789</v>
      </c>
      <c r="P86" s="14" t="s">
        <v>790</v>
      </c>
      <c r="Q86" s="14" t="s">
        <v>791</v>
      </c>
      <c r="R86" s="37"/>
      <c r="S86" s="14" t="s">
        <v>788</v>
      </c>
      <c r="T86" s="14" t="s">
        <v>788</v>
      </c>
      <c r="U86" s="37"/>
      <c r="V86" s="37"/>
      <c r="W86" s="37"/>
      <c r="X86" s="37"/>
      <c r="Y86" s="37"/>
      <c r="Z86" s="36">
        <v>0.0</v>
      </c>
      <c r="AA86" s="37"/>
      <c r="AB86" s="37"/>
      <c r="AC86" s="37"/>
      <c r="AD86" s="37"/>
      <c r="AE86" s="37"/>
      <c r="AF86" s="37"/>
      <c r="AG86" s="14" t="s">
        <v>1220</v>
      </c>
      <c r="AK86" s="37"/>
      <c r="AL86" s="37"/>
      <c r="AM86" s="37"/>
      <c r="AN86" s="14" t="s">
        <v>1221</v>
      </c>
    </row>
    <row r="87">
      <c r="A87" s="14" t="s">
        <v>1222</v>
      </c>
      <c r="B87" s="14" t="s">
        <v>781</v>
      </c>
      <c r="C87" s="14" t="s">
        <v>827</v>
      </c>
      <c r="D87" s="14" t="s">
        <v>828</v>
      </c>
      <c r="E87" s="36">
        <v>414.0</v>
      </c>
      <c r="F87" s="37"/>
      <c r="G87" s="14" t="s">
        <v>829</v>
      </c>
      <c r="H87" s="14" t="s">
        <v>20</v>
      </c>
      <c r="I87" s="38">
        <v>28216.0</v>
      </c>
      <c r="J87" s="38">
        <v>37757.0</v>
      </c>
      <c r="K87" s="14" t="s">
        <v>786</v>
      </c>
      <c r="L87" s="14" t="s">
        <v>787</v>
      </c>
      <c r="M87" s="36">
        <v>22.0</v>
      </c>
      <c r="N87" s="14" t="s">
        <v>791</v>
      </c>
      <c r="O87" s="14" t="s">
        <v>798</v>
      </c>
      <c r="P87" s="14" t="s">
        <v>830</v>
      </c>
      <c r="Q87" s="14" t="s">
        <v>791</v>
      </c>
      <c r="R87" s="37"/>
      <c r="S87" s="14" t="s">
        <v>788</v>
      </c>
      <c r="T87" s="14" t="s">
        <v>788</v>
      </c>
      <c r="U87" s="14" t="s">
        <v>921</v>
      </c>
      <c r="V87" s="37"/>
      <c r="W87" s="37"/>
      <c r="X87" s="37"/>
      <c r="Y87" s="37"/>
      <c r="Z87" s="36">
        <v>89.0</v>
      </c>
      <c r="AA87" s="36">
        <v>40.0</v>
      </c>
      <c r="AB87" s="37"/>
      <c r="AC87" s="37"/>
      <c r="AD87" s="37"/>
      <c r="AE87" s="37"/>
      <c r="AF87" s="37"/>
      <c r="AG87" s="14" t="s">
        <v>1223</v>
      </c>
      <c r="AK87" s="37"/>
      <c r="AL87" s="37"/>
      <c r="AM87" s="37"/>
      <c r="AN87" s="14" t="s">
        <v>1224</v>
      </c>
    </row>
    <row r="88">
      <c r="A88" s="14" t="s">
        <v>1225</v>
      </c>
      <c r="B88" s="14" t="s">
        <v>781</v>
      </c>
      <c r="C88" s="14" t="s">
        <v>843</v>
      </c>
      <c r="D88" s="14" t="s">
        <v>844</v>
      </c>
      <c r="E88" s="36">
        <v>607.0</v>
      </c>
      <c r="F88" s="14" t="s">
        <v>845</v>
      </c>
      <c r="G88" s="14" t="s">
        <v>846</v>
      </c>
      <c r="H88" s="14" t="s">
        <v>20</v>
      </c>
      <c r="I88" s="38">
        <v>14960.0</v>
      </c>
      <c r="J88" s="38">
        <v>39460.0</v>
      </c>
      <c r="K88" s="14" t="s">
        <v>786</v>
      </c>
      <c r="L88" s="14" t="s">
        <v>787</v>
      </c>
      <c r="M88" s="36">
        <v>22.0</v>
      </c>
      <c r="N88" s="14" t="s">
        <v>791</v>
      </c>
      <c r="O88" s="14" t="s">
        <v>798</v>
      </c>
      <c r="P88" s="14" t="s">
        <v>830</v>
      </c>
      <c r="Q88" s="14" t="s">
        <v>791</v>
      </c>
      <c r="R88" s="37"/>
      <c r="S88" s="14" t="s">
        <v>788</v>
      </c>
      <c r="T88" s="14" t="s">
        <v>788</v>
      </c>
      <c r="U88" s="14" t="s">
        <v>1070</v>
      </c>
      <c r="V88" s="37"/>
      <c r="W88" s="37"/>
      <c r="X88" s="37"/>
      <c r="Y88" s="37"/>
      <c r="Z88" s="36">
        <v>110.0</v>
      </c>
      <c r="AA88" s="36">
        <v>24.0</v>
      </c>
      <c r="AB88" s="37"/>
      <c r="AC88" s="37"/>
      <c r="AD88" s="37"/>
      <c r="AE88" s="37"/>
      <c r="AF88" s="37"/>
      <c r="AG88" s="14" t="s">
        <v>1131</v>
      </c>
      <c r="AL88" s="37"/>
      <c r="AM88" s="37"/>
      <c r="AN88" s="14" t="s">
        <v>1226</v>
      </c>
    </row>
    <row r="89">
      <c r="A89" s="14" t="s">
        <v>1227</v>
      </c>
      <c r="B89" s="14" t="s">
        <v>781</v>
      </c>
      <c r="C89" s="14" t="s">
        <v>820</v>
      </c>
      <c r="D89" s="14" t="s">
        <v>821</v>
      </c>
      <c r="E89" s="36">
        <v>222.0</v>
      </c>
      <c r="F89" s="37"/>
      <c r="G89" s="14" t="s">
        <v>822</v>
      </c>
      <c r="H89" s="14" t="s">
        <v>20</v>
      </c>
      <c r="I89" s="38">
        <v>32782.0</v>
      </c>
      <c r="J89" s="38">
        <v>39647.0</v>
      </c>
      <c r="K89" s="14" t="s">
        <v>786</v>
      </c>
      <c r="L89" s="14" t="s">
        <v>787</v>
      </c>
      <c r="M89" s="36">
        <v>22.0</v>
      </c>
      <c r="N89" s="14" t="s">
        <v>791</v>
      </c>
      <c r="O89" s="14" t="s">
        <v>798</v>
      </c>
      <c r="P89" s="14" t="s">
        <v>853</v>
      </c>
      <c r="Q89" s="14" t="s">
        <v>791</v>
      </c>
      <c r="R89" s="37"/>
      <c r="S89" s="14" t="s">
        <v>788</v>
      </c>
      <c r="T89" s="14" t="s">
        <v>788</v>
      </c>
      <c r="U89" s="14" t="s">
        <v>902</v>
      </c>
      <c r="V89" s="37"/>
      <c r="W89" s="37"/>
      <c r="X89" s="37"/>
      <c r="Y89" s="37"/>
      <c r="Z89" s="36">
        <v>56.0</v>
      </c>
      <c r="AA89" s="36">
        <v>40.0</v>
      </c>
      <c r="AB89" s="37"/>
      <c r="AC89" s="37"/>
      <c r="AD89" s="37"/>
      <c r="AE89" s="37"/>
      <c r="AF89" s="37"/>
      <c r="AG89" s="14" t="s">
        <v>977</v>
      </c>
      <c r="AK89" s="37"/>
      <c r="AL89" s="37"/>
      <c r="AM89" s="37"/>
      <c r="AN89" s="14" t="s">
        <v>1228</v>
      </c>
    </row>
    <row r="90">
      <c r="A90" s="14" t="s">
        <v>1229</v>
      </c>
      <c r="B90" s="14" t="s">
        <v>781</v>
      </c>
      <c r="C90" s="14" t="s">
        <v>812</v>
      </c>
      <c r="D90" s="14" t="s">
        <v>813</v>
      </c>
      <c r="E90" s="36">
        <v>475.0</v>
      </c>
      <c r="F90" s="37"/>
      <c r="G90" s="14" t="s">
        <v>814</v>
      </c>
      <c r="H90" s="14" t="s">
        <v>20</v>
      </c>
      <c r="I90" s="38">
        <v>42736.0</v>
      </c>
      <c r="J90" s="38">
        <v>42736.0</v>
      </c>
      <c r="K90" s="14" t="s">
        <v>786</v>
      </c>
      <c r="L90" s="14" t="s">
        <v>787</v>
      </c>
      <c r="M90" s="36">
        <v>22.0</v>
      </c>
      <c r="N90" s="14" t="s">
        <v>791</v>
      </c>
      <c r="O90" s="14" t="s">
        <v>798</v>
      </c>
      <c r="P90" s="14" t="s">
        <v>799</v>
      </c>
      <c r="Q90" s="14" t="s">
        <v>791</v>
      </c>
      <c r="R90" s="37"/>
      <c r="S90" s="14" t="s">
        <v>791</v>
      </c>
      <c r="T90" s="14" t="s">
        <v>791</v>
      </c>
      <c r="U90" s="14" t="s">
        <v>1230</v>
      </c>
      <c r="W90" s="37"/>
      <c r="X90" s="37"/>
      <c r="Y90" s="37"/>
      <c r="Z90" s="36">
        <v>122.0</v>
      </c>
      <c r="AA90" s="14" t="s">
        <v>816</v>
      </c>
      <c r="AC90" s="37"/>
      <c r="AD90" s="37"/>
      <c r="AE90" s="37"/>
      <c r="AF90" s="37"/>
      <c r="AG90" s="14" t="s">
        <v>1231</v>
      </c>
      <c r="AK90" s="37"/>
      <c r="AL90" s="37"/>
      <c r="AM90" s="37"/>
      <c r="AN90" s="14" t="s">
        <v>1232</v>
      </c>
    </row>
    <row r="91">
      <c r="A91" s="14" t="s">
        <v>1233</v>
      </c>
      <c r="B91" s="14" t="s">
        <v>781</v>
      </c>
      <c r="C91" s="14" t="s">
        <v>820</v>
      </c>
      <c r="D91" s="14" t="s">
        <v>821</v>
      </c>
      <c r="E91" s="36">
        <v>222.0</v>
      </c>
      <c r="F91" s="37"/>
      <c r="G91" s="14" t="s">
        <v>822</v>
      </c>
      <c r="H91" s="14" t="s">
        <v>20</v>
      </c>
      <c r="I91" s="38">
        <v>32782.0</v>
      </c>
      <c r="J91" s="38">
        <v>39405.0</v>
      </c>
      <c r="K91" s="14" t="s">
        <v>786</v>
      </c>
      <c r="L91" s="14" t="s">
        <v>787</v>
      </c>
      <c r="M91" s="36">
        <v>22.0</v>
      </c>
      <c r="N91" s="14" t="s">
        <v>791</v>
      </c>
      <c r="O91" s="14" t="s">
        <v>798</v>
      </c>
      <c r="P91" s="14" t="s">
        <v>799</v>
      </c>
      <c r="Q91" s="14" t="s">
        <v>791</v>
      </c>
      <c r="R91" s="37"/>
      <c r="S91" s="14" t="s">
        <v>791</v>
      </c>
      <c r="T91" s="14" t="s">
        <v>788</v>
      </c>
      <c r="U91" s="14" t="s">
        <v>1234</v>
      </c>
      <c r="V91" s="37"/>
      <c r="W91" s="37"/>
      <c r="X91" s="37"/>
      <c r="Y91" s="37"/>
      <c r="Z91" s="36">
        <v>136.0</v>
      </c>
      <c r="AA91" s="36">
        <v>40.0</v>
      </c>
      <c r="AB91" s="37"/>
      <c r="AC91" s="37"/>
      <c r="AD91" s="37"/>
      <c r="AE91" s="37"/>
      <c r="AF91" s="37"/>
      <c r="AG91" s="14" t="s">
        <v>1235</v>
      </c>
      <c r="AK91" s="37"/>
      <c r="AL91" s="37"/>
      <c r="AM91" s="37"/>
      <c r="AN91" s="14" t="s">
        <v>1236</v>
      </c>
    </row>
    <row r="92">
      <c r="A92" s="14" t="s">
        <v>1237</v>
      </c>
      <c r="B92" s="14" t="s">
        <v>781</v>
      </c>
      <c r="C92" s="14" t="s">
        <v>812</v>
      </c>
      <c r="D92" s="14" t="s">
        <v>813</v>
      </c>
      <c r="E92" s="36">
        <v>475.0</v>
      </c>
      <c r="F92" s="37"/>
      <c r="G92" s="14" t="s">
        <v>814</v>
      </c>
      <c r="H92" s="14" t="s">
        <v>20</v>
      </c>
      <c r="I92" s="38">
        <v>42736.0</v>
      </c>
      <c r="J92" s="38">
        <v>42736.0</v>
      </c>
      <c r="K92" s="14" t="s">
        <v>786</v>
      </c>
      <c r="L92" s="14" t="s">
        <v>787</v>
      </c>
      <c r="M92" s="36">
        <v>22.0</v>
      </c>
      <c r="N92" s="14" t="s">
        <v>791</v>
      </c>
      <c r="O92" s="14" t="s">
        <v>798</v>
      </c>
      <c r="P92" s="14" t="s">
        <v>799</v>
      </c>
      <c r="Q92" s="14" t="s">
        <v>791</v>
      </c>
      <c r="R92" s="37"/>
      <c r="S92" s="14" t="s">
        <v>791</v>
      </c>
      <c r="T92" s="14" t="s">
        <v>791</v>
      </c>
      <c r="U92" s="14" t="s">
        <v>1238</v>
      </c>
      <c r="W92" s="37"/>
      <c r="X92" s="37"/>
      <c r="Y92" s="37"/>
      <c r="Z92" s="36">
        <v>111.0</v>
      </c>
      <c r="AA92" s="14" t="s">
        <v>816</v>
      </c>
      <c r="AC92" s="37"/>
      <c r="AD92" s="37"/>
      <c r="AE92" s="37"/>
      <c r="AF92" s="37"/>
      <c r="AG92" s="14" t="s">
        <v>1239</v>
      </c>
      <c r="AK92" s="37"/>
      <c r="AL92" s="37"/>
      <c r="AM92" s="37"/>
      <c r="AN92" s="14" t="s">
        <v>1240</v>
      </c>
    </row>
    <row r="93">
      <c r="A93" s="14" t="s">
        <v>1241</v>
      </c>
      <c r="B93" s="14" t="s">
        <v>781</v>
      </c>
      <c r="C93" s="14" t="s">
        <v>940</v>
      </c>
      <c r="D93" s="14" t="s">
        <v>941</v>
      </c>
      <c r="E93" s="36">
        <v>223.0</v>
      </c>
      <c r="F93" s="37"/>
      <c r="G93" s="14" t="s">
        <v>822</v>
      </c>
      <c r="H93" s="14" t="s">
        <v>20</v>
      </c>
      <c r="I93" s="38">
        <v>42734.0</v>
      </c>
      <c r="J93" s="38">
        <v>42734.0</v>
      </c>
      <c r="K93" s="14" t="s">
        <v>786</v>
      </c>
      <c r="L93" s="14" t="s">
        <v>787</v>
      </c>
      <c r="M93" s="36">
        <v>22.0</v>
      </c>
      <c r="N93" s="14" t="s">
        <v>791</v>
      </c>
      <c r="O93" s="14" t="s">
        <v>798</v>
      </c>
      <c r="P93" s="14" t="s">
        <v>799</v>
      </c>
      <c r="Q93" s="14" t="s">
        <v>791</v>
      </c>
      <c r="R93" s="37"/>
      <c r="S93" s="14" t="s">
        <v>791</v>
      </c>
      <c r="T93" s="14" t="s">
        <v>791</v>
      </c>
      <c r="U93" s="14" t="s">
        <v>1187</v>
      </c>
      <c r="W93" s="37"/>
      <c r="X93" s="37"/>
      <c r="Y93" s="37"/>
      <c r="Z93" s="36">
        <v>122.0</v>
      </c>
      <c r="AA93" s="14" t="s">
        <v>1188</v>
      </c>
      <c r="AD93" s="37"/>
      <c r="AE93" s="37"/>
      <c r="AF93" s="37"/>
      <c r="AG93" s="14" t="s">
        <v>1242</v>
      </c>
      <c r="AK93" s="37"/>
      <c r="AL93" s="37"/>
      <c r="AM93" s="37"/>
      <c r="AN93" s="14" t="s">
        <v>1243</v>
      </c>
    </row>
    <row r="94">
      <c r="A94" s="14" t="s">
        <v>1244</v>
      </c>
      <c r="B94" s="14" t="s">
        <v>781</v>
      </c>
      <c r="C94" s="14" t="s">
        <v>866</v>
      </c>
      <c r="D94" s="14" t="s">
        <v>867</v>
      </c>
      <c r="E94" s="36">
        <v>477.0</v>
      </c>
      <c r="F94" s="37"/>
      <c r="G94" s="14" t="s">
        <v>814</v>
      </c>
      <c r="H94" s="14" t="s">
        <v>20</v>
      </c>
      <c r="I94" s="38">
        <v>42736.0</v>
      </c>
      <c r="J94" s="38">
        <v>42736.0</v>
      </c>
      <c r="K94" s="14" t="s">
        <v>786</v>
      </c>
      <c r="L94" s="14" t="s">
        <v>787</v>
      </c>
      <c r="M94" s="36">
        <v>22.0</v>
      </c>
      <c r="N94" s="14" t="s">
        <v>791</v>
      </c>
      <c r="O94" s="14" t="s">
        <v>798</v>
      </c>
      <c r="P94" s="14" t="s">
        <v>868</v>
      </c>
      <c r="Q94" s="14" t="s">
        <v>791</v>
      </c>
      <c r="R94" s="37"/>
      <c r="S94" s="14" t="s">
        <v>788</v>
      </c>
      <c r="T94" s="14" t="s">
        <v>788</v>
      </c>
      <c r="U94" s="14" t="s">
        <v>869</v>
      </c>
      <c r="W94" s="37"/>
      <c r="X94" s="37"/>
      <c r="Y94" s="37"/>
      <c r="Z94" s="36">
        <v>0.0</v>
      </c>
      <c r="AA94" s="37"/>
      <c r="AB94" s="37"/>
      <c r="AC94" s="37"/>
      <c r="AD94" s="37"/>
      <c r="AE94" s="37"/>
      <c r="AF94" s="37"/>
      <c r="AG94" s="14" t="s">
        <v>1245</v>
      </c>
      <c r="AL94" s="37"/>
      <c r="AM94" s="37"/>
      <c r="AN94" s="14" t="s">
        <v>1246</v>
      </c>
    </row>
    <row r="95">
      <c r="A95" s="14" t="s">
        <v>1247</v>
      </c>
      <c r="B95" s="14" t="s">
        <v>781</v>
      </c>
      <c r="C95" s="14" t="s">
        <v>1248</v>
      </c>
      <c r="D95" s="14" t="s">
        <v>1249</v>
      </c>
      <c r="E95" s="36">
        <v>57.0</v>
      </c>
      <c r="F95" s="37"/>
      <c r="G95" s="14" t="s">
        <v>987</v>
      </c>
      <c r="H95" s="14" t="s">
        <v>103</v>
      </c>
      <c r="I95" s="38">
        <v>26481.0</v>
      </c>
      <c r="J95" s="38">
        <v>37900.0</v>
      </c>
      <c r="K95" s="14" t="s">
        <v>786</v>
      </c>
      <c r="L95" s="14" t="s">
        <v>787</v>
      </c>
      <c r="M95" s="36">
        <v>22.0</v>
      </c>
      <c r="N95" s="14" t="s">
        <v>791</v>
      </c>
      <c r="O95" s="14" t="s">
        <v>798</v>
      </c>
      <c r="P95" s="14" t="s">
        <v>830</v>
      </c>
      <c r="Q95" s="14" t="s">
        <v>791</v>
      </c>
      <c r="R95" s="37"/>
      <c r="S95" s="14" t="s">
        <v>788</v>
      </c>
      <c r="T95" s="14" t="s">
        <v>791</v>
      </c>
      <c r="U95" s="14" t="s">
        <v>839</v>
      </c>
      <c r="V95" s="37"/>
      <c r="W95" s="37"/>
      <c r="X95" s="37"/>
      <c r="Y95" s="37"/>
      <c r="Z95" s="36">
        <v>128.0</v>
      </c>
      <c r="AA95" s="36">
        <v>40.0</v>
      </c>
      <c r="AB95" s="37"/>
      <c r="AC95" s="37"/>
      <c r="AD95" s="37"/>
      <c r="AE95" s="37"/>
      <c r="AF95" s="37"/>
      <c r="AG95" s="14" t="s">
        <v>1250</v>
      </c>
      <c r="AM95" s="37"/>
      <c r="AN95" s="14" t="s">
        <v>1251</v>
      </c>
    </row>
    <row r="96">
      <c r="A96" s="14" t="s">
        <v>1252</v>
      </c>
      <c r="B96" s="14" t="s">
        <v>781</v>
      </c>
      <c r="C96" s="14" t="s">
        <v>1085</v>
      </c>
      <c r="D96" s="14" t="s">
        <v>1086</v>
      </c>
      <c r="E96" s="36">
        <v>26.0</v>
      </c>
      <c r="F96" s="37"/>
      <c r="G96" s="14" t="s">
        <v>1087</v>
      </c>
      <c r="H96" s="14" t="s">
        <v>103</v>
      </c>
      <c r="I96" s="38">
        <v>22373.0</v>
      </c>
      <c r="J96" s="38">
        <v>45198.0</v>
      </c>
      <c r="K96" s="14" t="s">
        <v>786</v>
      </c>
      <c r="L96" s="14" t="s">
        <v>787</v>
      </c>
      <c r="M96" s="36">
        <v>22.0</v>
      </c>
      <c r="N96" s="14" t="s">
        <v>791</v>
      </c>
      <c r="O96" s="14" t="s">
        <v>798</v>
      </c>
      <c r="P96" s="14" t="s">
        <v>799</v>
      </c>
      <c r="Q96" s="14" t="s">
        <v>791</v>
      </c>
      <c r="R96" s="37"/>
      <c r="S96" s="14" t="s">
        <v>788</v>
      </c>
      <c r="T96" s="14" t="s">
        <v>788</v>
      </c>
      <c r="U96" s="14" t="s">
        <v>1253</v>
      </c>
      <c r="W96" s="37"/>
      <c r="X96" s="37"/>
      <c r="Y96" s="37"/>
      <c r="Z96" s="36">
        <v>82.0</v>
      </c>
      <c r="AA96" s="14" t="s">
        <v>892</v>
      </c>
      <c r="AC96" s="37"/>
      <c r="AD96" s="37"/>
      <c r="AE96" s="37"/>
      <c r="AF96" s="37"/>
      <c r="AG96" s="14" t="s">
        <v>1254</v>
      </c>
      <c r="AM96" s="37"/>
      <c r="AN96" s="14" t="s">
        <v>1255</v>
      </c>
    </row>
    <row r="97">
      <c r="A97" s="14" t="s">
        <v>1256</v>
      </c>
      <c r="B97" s="14" t="s">
        <v>781</v>
      </c>
      <c r="C97" s="14" t="s">
        <v>866</v>
      </c>
      <c r="D97" s="14" t="s">
        <v>867</v>
      </c>
      <c r="E97" s="36">
        <v>477.0</v>
      </c>
      <c r="F97" s="37"/>
      <c r="G97" s="14" t="s">
        <v>814</v>
      </c>
      <c r="H97" s="14" t="s">
        <v>20</v>
      </c>
      <c r="I97" s="38">
        <v>42736.0</v>
      </c>
      <c r="J97" s="38">
        <v>42736.0</v>
      </c>
      <c r="K97" s="14" t="s">
        <v>786</v>
      </c>
      <c r="L97" s="14" t="s">
        <v>787</v>
      </c>
      <c r="M97" s="36">
        <v>22.0</v>
      </c>
      <c r="N97" s="14" t="s">
        <v>791</v>
      </c>
      <c r="O97" s="14" t="s">
        <v>798</v>
      </c>
      <c r="P97" s="14" t="s">
        <v>868</v>
      </c>
      <c r="Q97" s="14" t="s">
        <v>791</v>
      </c>
      <c r="R97" s="37"/>
      <c r="S97" s="14" t="s">
        <v>791</v>
      </c>
      <c r="T97" s="14" t="s">
        <v>791</v>
      </c>
      <c r="U97" s="14" t="s">
        <v>910</v>
      </c>
      <c r="W97" s="37"/>
      <c r="X97" s="37"/>
      <c r="Y97" s="37"/>
      <c r="Z97" s="36">
        <v>0.0</v>
      </c>
      <c r="AA97" s="37"/>
      <c r="AB97" s="37"/>
      <c r="AC97" s="37"/>
      <c r="AD97" s="37"/>
      <c r="AE97" s="37"/>
      <c r="AF97" s="37"/>
      <c r="AG97" s="14" t="s">
        <v>911</v>
      </c>
      <c r="AK97" s="37"/>
      <c r="AL97" s="37"/>
      <c r="AM97" s="37"/>
      <c r="AN97" s="14" t="s">
        <v>1257</v>
      </c>
    </row>
    <row r="98">
      <c r="A98" s="14" t="s">
        <v>1258</v>
      </c>
      <c r="B98" s="14" t="s">
        <v>781</v>
      </c>
      <c r="C98" s="14" t="s">
        <v>1062</v>
      </c>
      <c r="D98" s="14" t="s">
        <v>805</v>
      </c>
      <c r="E98" s="36">
        <v>628.0</v>
      </c>
      <c r="F98" s="14" t="s">
        <v>806</v>
      </c>
      <c r="G98" s="14" t="s">
        <v>829</v>
      </c>
      <c r="H98" s="14" t="s">
        <v>20</v>
      </c>
      <c r="I98" s="37"/>
      <c r="J98" s="38">
        <v>41953.0</v>
      </c>
      <c r="K98" s="14" t="s">
        <v>786</v>
      </c>
      <c r="L98" s="14" t="s">
        <v>787</v>
      </c>
      <c r="M98" s="36">
        <v>22.0</v>
      </c>
      <c r="N98" s="14" t="s">
        <v>788</v>
      </c>
      <c r="O98" s="14" t="s">
        <v>789</v>
      </c>
      <c r="P98" s="14" t="s">
        <v>868</v>
      </c>
      <c r="Q98" s="14" t="s">
        <v>791</v>
      </c>
      <c r="R98" s="37"/>
      <c r="S98" s="14" t="s">
        <v>788</v>
      </c>
      <c r="T98" s="14" t="s">
        <v>788</v>
      </c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14" t="s">
        <v>1259</v>
      </c>
      <c r="AN98" s="14" t="s">
        <v>1260</v>
      </c>
    </row>
    <row r="99">
      <c r="A99" s="14" t="s">
        <v>1261</v>
      </c>
      <c r="B99" s="14" t="s">
        <v>781</v>
      </c>
      <c r="C99" s="14" t="s">
        <v>843</v>
      </c>
      <c r="D99" s="14" t="s">
        <v>844</v>
      </c>
      <c r="E99" s="36">
        <v>607.0</v>
      </c>
      <c r="F99" s="14" t="s">
        <v>845</v>
      </c>
      <c r="G99" s="14" t="s">
        <v>846</v>
      </c>
      <c r="H99" s="14" t="s">
        <v>20</v>
      </c>
      <c r="I99" s="38">
        <v>14960.0</v>
      </c>
      <c r="J99" s="38">
        <v>39460.0</v>
      </c>
      <c r="K99" s="14" t="s">
        <v>786</v>
      </c>
      <c r="L99" s="14" t="s">
        <v>787</v>
      </c>
      <c r="M99" s="36">
        <v>22.0</v>
      </c>
      <c r="N99" s="14" t="s">
        <v>791</v>
      </c>
      <c r="O99" s="14" t="s">
        <v>798</v>
      </c>
      <c r="P99" s="14" t="s">
        <v>830</v>
      </c>
      <c r="Q99" s="14" t="s">
        <v>791</v>
      </c>
      <c r="R99" s="37"/>
      <c r="S99" s="14" t="s">
        <v>788</v>
      </c>
      <c r="T99" s="14" t="s">
        <v>788</v>
      </c>
      <c r="U99" s="14" t="s">
        <v>861</v>
      </c>
      <c r="V99" s="37"/>
      <c r="W99" s="37"/>
      <c r="X99" s="37"/>
      <c r="Y99" s="37"/>
      <c r="Z99" s="36">
        <v>109.0</v>
      </c>
      <c r="AA99" s="36">
        <v>600.0</v>
      </c>
      <c r="AB99" s="37"/>
      <c r="AC99" s="37"/>
      <c r="AD99" s="37"/>
      <c r="AE99" s="37"/>
      <c r="AF99" s="37"/>
      <c r="AG99" s="14" t="s">
        <v>1169</v>
      </c>
      <c r="AL99" s="37"/>
      <c r="AM99" s="37"/>
      <c r="AN99" s="14" t="s">
        <v>1262</v>
      </c>
    </row>
    <row r="100">
      <c r="A100" s="14" t="s">
        <v>1263</v>
      </c>
      <c r="B100" s="14" t="s">
        <v>781</v>
      </c>
      <c r="C100" s="14" t="s">
        <v>1264</v>
      </c>
      <c r="D100" s="14" t="s">
        <v>1265</v>
      </c>
      <c r="E100" s="36">
        <v>431.0</v>
      </c>
      <c r="F100" s="37"/>
      <c r="G100" s="14" t="s">
        <v>1266</v>
      </c>
      <c r="H100" s="14" t="s">
        <v>890</v>
      </c>
      <c r="I100" s="38">
        <v>3773.0</v>
      </c>
      <c r="J100" s="38">
        <v>45721.0</v>
      </c>
      <c r="K100" s="14" t="s">
        <v>786</v>
      </c>
      <c r="L100" s="14" t="s">
        <v>787</v>
      </c>
      <c r="M100" s="36">
        <v>22.0</v>
      </c>
      <c r="N100" s="14" t="s">
        <v>791</v>
      </c>
      <c r="O100" s="14" t="s">
        <v>798</v>
      </c>
      <c r="P100" s="14" t="s">
        <v>799</v>
      </c>
      <c r="Q100" s="14" t="s">
        <v>791</v>
      </c>
      <c r="R100" s="37"/>
      <c r="S100" s="14" t="s">
        <v>791</v>
      </c>
      <c r="T100" s="14" t="s">
        <v>788</v>
      </c>
      <c r="U100" s="14" t="s">
        <v>1267</v>
      </c>
      <c r="V100" s="37"/>
      <c r="W100" s="37"/>
      <c r="X100" s="37"/>
      <c r="Y100" s="37"/>
      <c r="Z100" s="36">
        <v>111.0</v>
      </c>
      <c r="AA100" s="36">
        <v>24.0</v>
      </c>
      <c r="AB100" s="37"/>
      <c r="AC100" s="37"/>
      <c r="AD100" s="37"/>
      <c r="AE100" s="37"/>
      <c r="AF100" s="37"/>
      <c r="AG100" s="14" t="s">
        <v>1268</v>
      </c>
      <c r="AL100" s="37"/>
      <c r="AM100" s="37"/>
      <c r="AN100" s="14" t="s">
        <v>1269</v>
      </c>
    </row>
    <row r="101">
      <c r="A101" s="14" t="s">
        <v>1270</v>
      </c>
      <c r="B101" s="14" t="s">
        <v>781</v>
      </c>
      <c r="C101" s="14" t="s">
        <v>959</v>
      </c>
      <c r="D101" s="14" t="s">
        <v>960</v>
      </c>
      <c r="E101" s="36">
        <v>635.0</v>
      </c>
      <c r="F101" s="14" t="s">
        <v>961</v>
      </c>
      <c r="G101" s="14" t="s">
        <v>838</v>
      </c>
      <c r="H101" s="14" t="s">
        <v>20</v>
      </c>
      <c r="I101" s="38">
        <v>39888.0</v>
      </c>
      <c r="J101" s="38">
        <v>42913.0</v>
      </c>
      <c r="K101" s="14" t="s">
        <v>786</v>
      </c>
      <c r="L101" s="14" t="s">
        <v>787</v>
      </c>
      <c r="M101" s="36">
        <v>22.0</v>
      </c>
      <c r="N101" s="14" t="s">
        <v>791</v>
      </c>
      <c r="O101" s="14" t="s">
        <v>798</v>
      </c>
      <c r="P101" s="14" t="s">
        <v>868</v>
      </c>
      <c r="Q101" s="14" t="s">
        <v>791</v>
      </c>
      <c r="R101" s="37"/>
      <c r="S101" s="14" t="s">
        <v>791</v>
      </c>
      <c r="T101" s="14" t="s">
        <v>791</v>
      </c>
      <c r="U101" s="14" t="s">
        <v>831</v>
      </c>
      <c r="V101" s="37"/>
      <c r="W101" s="37"/>
      <c r="X101" s="37"/>
      <c r="Y101" s="37"/>
      <c r="Z101" s="36">
        <v>80.0</v>
      </c>
      <c r="AA101" s="14" t="s">
        <v>1271</v>
      </c>
      <c r="AC101" s="37"/>
      <c r="AD101" s="37"/>
      <c r="AE101" s="37"/>
      <c r="AF101" s="37"/>
      <c r="AG101" s="14" t="s">
        <v>1272</v>
      </c>
      <c r="AL101" s="37"/>
      <c r="AM101" s="37"/>
      <c r="AN101" s="14" t="s">
        <v>1273</v>
      </c>
    </row>
    <row r="102">
      <c r="A102" s="14" t="s">
        <v>1274</v>
      </c>
      <c r="B102" s="14" t="s">
        <v>781</v>
      </c>
      <c r="C102" s="14" t="s">
        <v>1275</v>
      </c>
      <c r="D102" s="14" t="s">
        <v>1276</v>
      </c>
      <c r="E102" s="36">
        <v>447.0</v>
      </c>
      <c r="F102" s="37"/>
      <c r="G102" s="14" t="s">
        <v>1098</v>
      </c>
      <c r="H102" s="14" t="s">
        <v>68</v>
      </c>
      <c r="I102" s="38">
        <v>36235.0</v>
      </c>
      <c r="J102" s="38">
        <v>44421.0</v>
      </c>
      <c r="K102" s="14" t="s">
        <v>786</v>
      </c>
      <c r="L102" s="14" t="s">
        <v>787</v>
      </c>
      <c r="M102" s="36">
        <v>22.0</v>
      </c>
      <c r="N102" s="14" t="s">
        <v>791</v>
      </c>
      <c r="O102" s="14" t="s">
        <v>798</v>
      </c>
      <c r="P102" s="14" t="s">
        <v>799</v>
      </c>
      <c r="Q102" s="14" t="s">
        <v>791</v>
      </c>
      <c r="R102" s="37"/>
      <c r="S102" s="14" t="s">
        <v>791</v>
      </c>
      <c r="T102" s="14" t="s">
        <v>791</v>
      </c>
      <c r="U102" s="14" t="s">
        <v>1178</v>
      </c>
      <c r="V102" s="37"/>
      <c r="W102" s="37"/>
      <c r="X102" s="37"/>
      <c r="Y102" s="37"/>
      <c r="Z102" s="36">
        <v>157.0</v>
      </c>
      <c r="AA102" s="14" t="s">
        <v>1058</v>
      </c>
      <c r="AB102" s="37"/>
      <c r="AC102" s="37"/>
      <c r="AD102" s="37"/>
      <c r="AE102" s="37"/>
      <c r="AF102" s="37"/>
      <c r="AG102" s="14" t="s">
        <v>1277</v>
      </c>
      <c r="AM102" s="37"/>
      <c r="AN102" s="14" t="s">
        <v>1278</v>
      </c>
    </row>
    <row r="103">
      <c r="A103" s="14" t="s">
        <v>1279</v>
      </c>
      <c r="B103" s="14" t="s">
        <v>781</v>
      </c>
      <c r="C103" s="14" t="s">
        <v>827</v>
      </c>
      <c r="D103" s="14" t="s">
        <v>828</v>
      </c>
      <c r="E103" s="36">
        <v>414.0</v>
      </c>
      <c r="F103" s="37"/>
      <c r="G103" s="14" t="s">
        <v>829</v>
      </c>
      <c r="H103" s="14" t="s">
        <v>20</v>
      </c>
      <c r="I103" s="38">
        <v>28216.0</v>
      </c>
      <c r="J103" s="38">
        <v>38035.0</v>
      </c>
      <c r="K103" s="14" t="s">
        <v>786</v>
      </c>
      <c r="L103" s="14" t="s">
        <v>787</v>
      </c>
      <c r="M103" s="36">
        <v>22.0</v>
      </c>
      <c r="N103" s="14" t="s">
        <v>791</v>
      </c>
      <c r="O103" s="14" t="s">
        <v>798</v>
      </c>
      <c r="P103" s="14" t="s">
        <v>830</v>
      </c>
      <c r="Q103" s="14" t="s">
        <v>791</v>
      </c>
      <c r="R103" s="37"/>
      <c r="S103" s="14" t="s">
        <v>788</v>
      </c>
      <c r="T103" s="14" t="s">
        <v>788</v>
      </c>
      <c r="U103" s="14" t="s">
        <v>906</v>
      </c>
      <c r="V103" s="37"/>
      <c r="W103" s="37"/>
      <c r="X103" s="37"/>
      <c r="Y103" s="37"/>
      <c r="Z103" s="36">
        <v>89.0</v>
      </c>
      <c r="AA103" s="36">
        <v>40.0</v>
      </c>
      <c r="AB103" s="37"/>
      <c r="AC103" s="37"/>
      <c r="AD103" s="37"/>
      <c r="AE103" s="37"/>
      <c r="AF103" s="37"/>
      <c r="AG103" s="14" t="s">
        <v>907</v>
      </c>
      <c r="AK103" s="37"/>
      <c r="AL103" s="37"/>
      <c r="AM103" s="37"/>
      <c r="AN103" s="14" t="s">
        <v>1280</v>
      </c>
    </row>
    <row r="104">
      <c r="A104" s="14" t="s">
        <v>1281</v>
      </c>
      <c r="B104" s="14" t="s">
        <v>781</v>
      </c>
      <c r="C104" s="14" t="s">
        <v>925</v>
      </c>
      <c r="D104" s="14" t="s">
        <v>926</v>
      </c>
      <c r="E104" s="36">
        <v>278.0</v>
      </c>
      <c r="F104" s="37"/>
      <c r="G104" s="14" t="s">
        <v>860</v>
      </c>
      <c r="H104" s="14" t="s">
        <v>68</v>
      </c>
      <c r="I104" s="38">
        <v>32478.0</v>
      </c>
      <c r="J104" s="38">
        <v>39420.0</v>
      </c>
      <c r="K104" s="14" t="s">
        <v>786</v>
      </c>
      <c r="L104" s="14" t="s">
        <v>787</v>
      </c>
      <c r="M104" s="36">
        <v>22.0</v>
      </c>
      <c r="N104" s="14" t="s">
        <v>791</v>
      </c>
      <c r="O104" s="14" t="s">
        <v>798</v>
      </c>
      <c r="P104" s="14" t="s">
        <v>799</v>
      </c>
      <c r="Q104" s="14" t="s">
        <v>791</v>
      </c>
      <c r="R104" s="37"/>
      <c r="S104" s="14" t="s">
        <v>788</v>
      </c>
      <c r="T104" s="14" t="s">
        <v>788</v>
      </c>
      <c r="U104" s="14" t="s">
        <v>861</v>
      </c>
      <c r="V104" s="37"/>
      <c r="W104" s="37"/>
      <c r="X104" s="37"/>
      <c r="Y104" s="37"/>
      <c r="Z104" s="36">
        <v>106.0</v>
      </c>
      <c r="AA104" s="14" t="s">
        <v>862</v>
      </c>
      <c r="AB104" s="37"/>
      <c r="AC104" s="37"/>
      <c r="AD104" s="37"/>
      <c r="AE104" s="37"/>
      <c r="AF104" s="37"/>
      <c r="AG104" s="14" t="s">
        <v>1282</v>
      </c>
      <c r="AL104" s="37"/>
      <c r="AM104" s="37"/>
      <c r="AN104" s="14" t="s">
        <v>1283</v>
      </c>
    </row>
    <row r="105">
      <c r="A105" s="14" t="s">
        <v>1284</v>
      </c>
      <c r="B105" s="14" t="s">
        <v>781</v>
      </c>
      <c r="C105" s="14" t="s">
        <v>843</v>
      </c>
      <c r="D105" s="14" t="s">
        <v>844</v>
      </c>
      <c r="E105" s="36">
        <v>607.0</v>
      </c>
      <c r="F105" s="14" t="s">
        <v>845</v>
      </c>
      <c r="G105" s="14" t="s">
        <v>846</v>
      </c>
      <c r="H105" s="14" t="s">
        <v>20</v>
      </c>
      <c r="I105" s="38">
        <v>14940.0</v>
      </c>
      <c r="J105" s="38">
        <v>39046.0</v>
      </c>
      <c r="K105" s="14" t="s">
        <v>786</v>
      </c>
      <c r="L105" s="14" t="s">
        <v>787</v>
      </c>
      <c r="M105" s="36">
        <v>22.0</v>
      </c>
      <c r="N105" s="14" t="s">
        <v>791</v>
      </c>
      <c r="O105" s="14" t="s">
        <v>798</v>
      </c>
      <c r="P105" s="14" t="s">
        <v>830</v>
      </c>
      <c r="Q105" s="14" t="s">
        <v>791</v>
      </c>
      <c r="R105" s="37"/>
      <c r="S105" s="14" t="s">
        <v>791</v>
      </c>
      <c r="T105" s="14" t="s">
        <v>788</v>
      </c>
      <c r="U105" s="14" t="s">
        <v>1285</v>
      </c>
      <c r="V105" s="37"/>
      <c r="W105" s="37"/>
      <c r="X105" s="37"/>
      <c r="Y105" s="37"/>
      <c r="Z105" s="36">
        <v>59.0</v>
      </c>
      <c r="AA105" s="36">
        <v>24.0</v>
      </c>
      <c r="AB105" s="37"/>
      <c r="AC105" s="37"/>
      <c r="AD105" s="37"/>
      <c r="AE105" s="37"/>
      <c r="AF105" s="37"/>
      <c r="AG105" s="14" t="s">
        <v>1286</v>
      </c>
      <c r="AN105" s="14" t="s">
        <v>1287</v>
      </c>
    </row>
    <row r="106">
      <c r="A106" s="14" t="s">
        <v>1288</v>
      </c>
      <c r="B106" s="14" t="s">
        <v>781</v>
      </c>
      <c r="C106" s="14" t="s">
        <v>1289</v>
      </c>
      <c r="D106" s="14" t="s">
        <v>1290</v>
      </c>
      <c r="E106" s="36">
        <v>616.0</v>
      </c>
      <c r="F106" s="14" t="s">
        <v>1097</v>
      </c>
      <c r="G106" s="14" t="s">
        <v>785</v>
      </c>
      <c r="H106" s="14" t="s">
        <v>68</v>
      </c>
      <c r="I106" s="38">
        <v>33553.0</v>
      </c>
      <c r="J106" s="38">
        <v>42139.0</v>
      </c>
      <c r="K106" s="14" t="s">
        <v>786</v>
      </c>
      <c r="L106" s="14" t="s">
        <v>787</v>
      </c>
      <c r="M106" s="36">
        <v>22.0</v>
      </c>
      <c r="N106" s="14" t="s">
        <v>791</v>
      </c>
      <c r="O106" s="14" t="s">
        <v>798</v>
      </c>
      <c r="P106" s="14" t="s">
        <v>799</v>
      </c>
      <c r="Q106" s="14" t="s">
        <v>791</v>
      </c>
      <c r="R106" s="37"/>
      <c r="S106" s="14" t="s">
        <v>788</v>
      </c>
      <c r="T106" s="14" t="s">
        <v>788</v>
      </c>
      <c r="U106" s="14" t="s">
        <v>1291</v>
      </c>
      <c r="V106" s="37"/>
      <c r="W106" s="37"/>
      <c r="X106" s="37"/>
      <c r="Y106" s="37"/>
      <c r="Z106" s="36">
        <v>117.0</v>
      </c>
      <c r="AA106" s="14" t="s">
        <v>1292</v>
      </c>
      <c r="AC106" s="37"/>
      <c r="AD106" s="37"/>
      <c r="AE106" s="37"/>
      <c r="AF106" s="37"/>
      <c r="AG106" s="14" t="s">
        <v>1293</v>
      </c>
      <c r="AN106" s="14" t="s">
        <v>1294</v>
      </c>
    </row>
    <row r="107">
      <c r="A107" s="14" t="s">
        <v>1295</v>
      </c>
      <c r="B107" s="14" t="s">
        <v>781</v>
      </c>
      <c r="C107" s="14" t="s">
        <v>820</v>
      </c>
      <c r="D107" s="14" t="s">
        <v>821</v>
      </c>
      <c r="E107" s="36">
        <v>222.0</v>
      </c>
      <c r="F107" s="37"/>
      <c r="G107" s="14" t="s">
        <v>822</v>
      </c>
      <c r="H107" s="14" t="s">
        <v>20</v>
      </c>
      <c r="I107" s="38">
        <v>32782.0</v>
      </c>
      <c r="J107" s="38">
        <v>39735.0</v>
      </c>
      <c r="K107" s="14" t="s">
        <v>786</v>
      </c>
      <c r="L107" s="14" t="s">
        <v>787</v>
      </c>
      <c r="M107" s="36">
        <v>22.0</v>
      </c>
      <c r="N107" s="14" t="s">
        <v>791</v>
      </c>
      <c r="O107" s="14" t="s">
        <v>798</v>
      </c>
      <c r="P107" s="14" t="s">
        <v>799</v>
      </c>
      <c r="Q107" s="14" t="s">
        <v>791</v>
      </c>
      <c r="R107" s="37"/>
      <c r="S107" s="14" t="s">
        <v>791</v>
      </c>
      <c r="T107" s="14" t="s">
        <v>788</v>
      </c>
      <c r="U107" s="14" t="s">
        <v>1234</v>
      </c>
      <c r="V107" s="37"/>
      <c r="W107" s="37"/>
      <c r="X107" s="37"/>
      <c r="Y107" s="37"/>
      <c r="Z107" s="36">
        <v>136.0</v>
      </c>
      <c r="AA107" s="36">
        <v>40.0</v>
      </c>
      <c r="AB107" s="37"/>
      <c r="AC107" s="37"/>
      <c r="AD107" s="37"/>
      <c r="AE107" s="37"/>
      <c r="AF107" s="37"/>
      <c r="AG107" s="14" t="s">
        <v>1296</v>
      </c>
      <c r="AJ107" s="37"/>
      <c r="AK107" s="37"/>
      <c r="AL107" s="37"/>
      <c r="AM107" s="37"/>
      <c r="AN107" s="14" t="s">
        <v>1297</v>
      </c>
    </row>
    <row r="108">
      <c r="A108" s="14" t="s">
        <v>1298</v>
      </c>
      <c r="B108" s="14" t="s">
        <v>781</v>
      </c>
      <c r="C108" s="14" t="s">
        <v>1275</v>
      </c>
      <c r="D108" s="14" t="s">
        <v>1276</v>
      </c>
      <c r="E108" s="36">
        <v>447.0</v>
      </c>
      <c r="F108" s="37"/>
      <c r="G108" s="14" t="s">
        <v>1098</v>
      </c>
      <c r="H108" s="14" t="s">
        <v>68</v>
      </c>
      <c r="I108" s="38">
        <v>36235.0</v>
      </c>
      <c r="J108" s="38">
        <v>44421.0</v>
      </c>
      <c r="K108" s="14" t="s">
        <v>786</v>
      </c>
      <c r="L108" s="14" t="s">
        <v>787</v>
      </c>
      <c r="M108" s="36">
        <v>22.0</v>
      </c>
      <c r="N108" s="14" t="s">
        <v>791</v>
      </c>
      <c r="O108" s="14" t="s">
        <v>798</v>
      </c>
      <c r="P108" s="14" t="s">
        <v>799</v>
      </c>
      <c r="Q108" s="14" t="s">
        <v>791</v>
      </c>
      <c r="R108" s="37"/>
      <c r="S108" s="14" t="s">
        <v>791</v>
      </c>
      <c r="T108" s="14" t="s">
        <v>791</v>
      </c>
      <c r="U108" s="14" t="s">
        <v>1299</v>
      </c>
      <c r="V108" s="37"/>
      <c r="W108" s="37"/>
      <c r="X108" s="37"/>
      <c r="Y108" s="37"/>
      <c r="Z108" s="36">
        <v>152.0</v>
      </c>
      <c r="AA108" s="14" t="s">
        <v>1058</v>
      </c>
      <c r="AB108" s="37"/>
      <c r="AC108" s="37"/>
      <c r="AD108" s="37"/>
      <c r="AE108" s="37"/>
      <c r="AF108" s="37"/>
      <c r="AG108" s="14" t="s">
        <v>1300</v>
      </c>
      <c r="AK108" s="37"/>
      <c r="AL108" s="37"/>
      <c r="AM108" s="37"/>
      <c r="AN108" s="14" t="s">
        <v>1301</v>
      </c>
    </row>
    <row r="109">
      <c r="A109" s="14" t="s">
        <v>1302</v>
      </c>
      <c r="B109" s="14" t="s">
        <v>781</v>
      </c>
      <c r="C109" s="14" t="s">
        <v>843</v>
      </c>
      <c r="D109" s="14" t="s">
        <v>844</v>
      </c>
      <c r="E109" s="36">
        <v>607.0</v>
      </c>
      <c r="F109" s="14" t="s">
        <v>845</v>
      </c>
      <c r="G109" s="14" t="s">
        <v>846</v>
      </c>
      <c r="H109" s="14" t="s">
        <v>20</v>
      </c>
      <c r="I109" s="38">
        <v>14960.0</v>
      </c>
      <c r="J109" s="38">
        <v>39460.0</v>
      </c>
      <c r="K109" s="14" t="s">
        <v>786</v>
      </c>
      <c r="L109" s="14" t="s">
        <v>787</v>
      </c>
      <c r="M109" s="36">
        <v>22.0</v>
      </c>
      <c r="N109" s="14" t="s">
        <v>791</v>
      </c>
      <c r="O109" s="14" t="s">
        <v>798</v>
      </c>
      <c r="P109" s="14" t="s">
        <v>830</v>
      </c>
      <c r="Q109" s="14" t="s">
        <v>791</v>
      </c>
      <c r="R109" s="37"/>
      <c r="S109" s="14" t="s">
        <v>788</v>
      </c>
      <c r="T109" s="14" t="s">
        <v>788</v>
      </c>
      <c r="U109" s="14" t="s">
        <v>861</v>
      </c>
      <c r="V109" s="37"/>
      <c r="W109" s="37"/>
      <c r="X109" s="37"/>
      <c r="Y109" s="37"/>
      <c r="Z109" s="36">
        <v>109.0</v>
      </c>
      <c r="AA109" s="36">
        <v>24.0</v>
      </c>
      <c r="AB109" s="37"/>
      <c r="AC109" s="37"/>
      <c r="AD109" s="37"/>
      <c r="AE109" s="37"/>
      <c r="AF109" s="37"/>
      <c r="AG109" s="14" t="s">
        <v>937</v>
      </c>
      <c r="AN109" s="14" t="s">
        <v>1303</v>
      </c>
    </row>
    <row r="110">
      <c r="A110" s="14" t="s">
        <v>1304</v>
      </c>
      <c r="B110" s="14" t="s">
        <v>781</v>
      </c>
      <c r="C110" s="14" t="s">
        <v>951</v>
      </c>
      <c r="D110" s="14" t="s">
        <v>952</v>
      </c>
      <c r="E110" s="36">
        <v>613.0</v>
      </c>
      <c r="F110" s="14" t="s">
        <v>953</v>
      </c>
      <c r="G110" s="14" t="s">
        <v>954</v>
      </c>
      <c r="H110" s="14" t="s">
        <v>20</v>
      </c>
      <c r="I110" s="38">
        <v>22965.0</v>
      </c>
      <c r="J110" s="38">
        <v>45969.0</v>
      </c>
      <c r="K110" s="14" t="s">
        <v>786</v>
      </c>
      <c r="L110" s="14" t="s">
        <v>787</v>
      </c>
      <c r="M110" s="36">
        <v>22.0</v>
      </c>
      <c r="N110" s="14" t="s">
        <v>791</v>
      </c>
      <c r="O110" s="14" t="s">
        <v>798</v>
      </c>
      <c r="P110" s="14" t="s">
        <v>799</v>
      </c>
      <c r="Q110" s="14" t="s">
        <v>791</v>
      </c>
      <c r="R110" s="37"/>
      <c r="S110" s="14" t="s">
        <v>788</v>
      </c>
      <c r="T110" s="14" t="s">
        <v>788</v>
      </c>
      <c r="U110" s="14" t="s">
        <v>1305</v>
      </c>
      <c r="V110" s="37"/>
      <c r="W110" s="37"/>
      <c r="X110" s="37"/>
      <c r="Y110" s="37"/>
      <c r="Z110" s="36">
        <v>138.0</v>
      </c>
      <c r="AA110" s="36">
        <v>40.0</v>
      </c>
      <c r="AB110" s="37"/>
      <c r="AC110" s="37"/>
      <c r="AD110" s="37"/>
      <c r="AE110" s="37"/>
      <c r="AF110" s="37"/>
      <c r="AG110" s="14" t="s">
        <v>1306</v>
      </c>
      <c r="AL110" s="37"/>
      <c r="AM110" s="37"/>
      <c r="AN110" s="14" t="s">
        <v>1307</v>
      </c>
    </row>
    <row r="111">
      <c r="A111" s="14" t="s">
        <v>1308</v>
      </c>
      <c r="B111" s="14" t="s">
        <v>781</v>
      </c>
      <c r="C111" s="14" t="s">
        <v>1033</v>
      </c>
      <c r="D111" s="14" t="s">
        <v>1034</v>
      </c>
      <c r="E111" s="36">
        <v>613.0</v>
      </c>
      <c r="F111" s="14" t="s">
        <v>953</v>
      </c>
      <c r="G111" s="14" t="s">
        <v>1035</v>
      </c>
      <c r="H111" s="14" t="s">
        <v>20</v>
      </c>
      <c r="I111" s="38">
        <v>21432.0</v>
      </c>
      <c r="J111" s="38">
        <v>45597.0</v>
      </c>
      <c r="K111" s="14" t="s">
        <v>786</v>
      </c>
      <c r="L111" s="14" t="s">
        <v>787</v>
      </c>
      <c r="M111" s="36">
        <v>22.0</v>
      </c>
      <c r="N111" s="14" t="s">
        <v>791</v>
      </c>
      <c r="O111" s="14" t="s">
        <v>798</v>
      </c>
      <c r="P111" s="14" t="s">
        <v>853</v>
      </c>
      <c r="Q111" s="14" t="s">
        <v>791</v>
      </c>
      <c r="R111" s="37"/>
      <c r="S111" s="14" t="s">
        <v>788</v>
      </c>
      <c r="T111" s="14" t="s">
        <v>788</v>
      </c>
      <c r="U111" s="14" t="s">
        <v>1309</v>
      </c>
      <c r="V111" s="37"/>
      <c r="W111" s="37"/>
      <c r="X111" s="37"/>
      <c r="Y111" s="37"/>
      <c r="Z111" s="37"/>
      <c r="AA111" s="36">
        <v>40.0</v>
      </c>
      <c r="AB111" s="37"/>
      <c r="AC111" s="37"/>
      <c r="AD111" s="37"/>
      <c r="AE111" s="37"/>
      <c r="AF111" s="37"/>
      <c r="AG111" s="14" t="s">
        <v>1310</v>
      </c>
      <c r="AL111" s="37"/>
      <c r="AM111" s="37"/>
      <c r="AN111" s="14" t="s">
        <v>1311</v>
      </c>
    </row>
    <row r="112">
      <c r="A112" s="14" t="s">
        <v>1312</v>
      </c>
      <c r="B112" s="14" t="s">
        <v>781</v>
      </c>
      <c r="C112" s="14" t="s">
        <v>1011</v>
      </c>
      <c r="D112" s="14" t="s">
        <v>1012</v>
      </c>
      <c r="E112" s="36">
        <v>476.0</v>
      </c>
      <c r="F112" s="37"/>
      <c r="G112" s="14" t="s">
        <v>814</v>
      </c>
      <c r="H112" s="14" t="s">
        <v>20</v>
      </c>
      <c r="I112" s="38">
        <v>42736.0</v>
      </c>
      <c r="J112" s="38">
        <v>42736.0</v>
      </c>
      <c r="K112" s="14" t="s">
        <v>786</v>
      </c>
      <c r="L112" s="14" t="s">
        <v>787</v>
      </c>
      <c r="M112" s="36">
        <v>22.0</v>
      </c>
      <c r="N112" s="14" t="s">
        <v>791</v>
      </c>
      <c r="O112" s="14" t="s">
        <v>798</v>
      </c>
      <c r="P112" s="14" t="s">
        <v>799</v>
      </c>
      <c r="Q112" s="14" t="s">
        <v>791</v>
      </c>
      <c r="R112" s="37"/>
      <c r="S112" s="14" t="s">
        <v>791</v>
      </c>
      <c r="T112" s="14" t="s">
        <v>791</v>
      </c>
      <c r="U112" s="14" t="s">
        <v>1142</v>
      </c>
      <c r="W112" s="37"/>
      <c r="X112" s="37"/>
      <c r="Y112" s="37"/>
      <c r="Z112" s="36">
        <v>269.0</v>
      </c>
      <c r="AA112" s="37"/>
      <c r="AB112" s="37"/>
      <c r="AC112" s="37"/>
      <c r="AD112" s="37"/>
      <c r="AE112" s="37"/>
      <c r="AF112" s="37"/>
      <c r="AG112" s="14" t="s">
        <v>1313</v>
      </c>
      <c r="AK112" s="37"/>
      <c r="AL112" s="37"/>
      <c r="AM112" s="37"/>
      <c r="AN112" s="14" t="s">
        <v>1314</v>
      </c>
    </row>
    <row r="113">
      <c r="A113" s="14" t="s">
        <v>1315</v>
      </c>
      <c r="B113" s="14" t="s">
        <v>781</v>
      </c>
      <c r="C113" s="14" t="s">
        <v>820</v>
      </c>
      <c r="D113" s="14" t="s">
        <v>821</v>
      </c>
      <c r="E113" s="36">
        <v>222.0</v>
      </c>
      <c r="F113" s="37"/>
      <c r="G113" s="14" t="s">
        <v>822</v>
      </c>
      <c r="H113" s="14" t="s">
        <v>20</v>
      </c>
      <c r="I113" s="38">
        <v>32782.0</v>
      </c>
      <c r="J113" s="38">
        <v>39735.0</v>
      </c>
      <c r="K113" s="14" t="s">
        <v>786</v>
      </c>
      <c r="L113" s="14" t="s">
        <v>787</v>
      </c>
      <c r="M113" s="36">
        <v>22.0</v>
      </c>
      <c r="N113" s="14" t="s">
        <v>791</v>
      </c>
      <c r="O113" s="14" t="s">
        <v>798</v>
      </c>
      <c r="P113" s="14" t="s">
        <v>799</v>
      </c>
      <c r="Q113" s="14" t="s">
        <v>791</v>
      </c>
      <c r="R113" s="37"/>
      <c r="S113" s="14" t="s">
        <v>788</v>
      </c>
      <c r="T113" s="14" t="s">
        <v>788</v>
      </c>
      <c r="U113" s="14" t="s">
        <v>823</v>
      </c>
      <c r="V113" s="37"/>
      <c r="W113" s="37"/>
      <c r="X113" s="37"/>
      <c r="Y113" s="37"/>
      <c r="Z113" s="36">
        <v>129.0</v>
      </c>
      <c r="AA113" s="36">
        <v>40.0</v>
      </c>
      <c r="AB113" s="37"/>
      <c r="AC113" s="37"/>
      <c r="AD113" s="37"/>
      <c r="AE113" s="37"/>
      <c r="AF113" s="37"/>
      <c r="AG113" s="14" t="s">
        <v>1112</v>
      </c>
      <c r="AK113" s="37"/>
      <c r="AL113" s="37"/>
      <c r="AM113" s="37"/>
      <c r="AN113" s="14" t="s">
        <v>1316</v>
      </c>
    </row>
    <row r="114">
      <c r="A114" s="14" t="s">
        <v>1317</v>
      </c>
      <c r="B114" s="14" t="s">
        <v>781</v>
      </c>
      <c r="C114" s="14" t="s">
        <v>1318</v>
      </c>
      <c r="D114" s="14" t="s">
        <v>931</v>
      </c>
      <c r="E114" s="36">
        <v>602.0</v>
      </c>
      <c r="F114" s="14" t="s">
        <v>932</v>
      </c>
      <c r="G114" s="14" t="s">
        <v>1319</v>
      </c>
      <c r="H114" s="14" t="s">
        <v>20</v>
      </c>
      <c r="I114" s="38">
        <v>44084.0</v>
      </c>
      <c r="J114" s="38">
        <v>44084.0</v>
      </c>
      <c r="K114" s="14" t="s">
        <v>786</v>
      </c>
      <c r="L114" s="14" t="s">
        <v>787</v>
      </c>
      <c r="M114" s="36">
        <v>22.0</v>
      </c>
      <c r="N114" s="14" t="s">
        <v>791</v>
      </c>
      <c r="O114" s="14" t="s">
        <v>798</v>
      </c>
      <c r="P114" s="37"/>
      <c r="Q114" s="14" t="s">
        <v>791</v>
      </c>
      <c r="R114" s="37"/>
      <c r="S114" s="14" t="s">
        <v>788</v>
      </c>
      <c r="T114" s="14" t="s">
        <v>788</v>
      </c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14" t="s">
        <v>1320</v>
      </c>
      <c r="AM114" s="37"/>
      <c r="AN114" s="14" t="s">
        <v>1321</v>
      </c>
    </row>
    <row r="115">
      <c r="A115" s="14" t="s">
        <v>1322</v>
      </c>
      <c r="B115" s="14" t="s">
        <v>781</v>
      </c>
      <c r="C115" s="14" t="s">
        <v>1196</v>
      </c>
      <c r="D115" s="14" t="s">
        <v>1197</v>
      </c>
      <c r="E115" s="36">
        <v>167.0</v>
      </c>
      <c r="F115" s="37"/>
      <c r="G115" s="14" t="s">
        <v>807</v>
      </c>
      <c r="H115" s="14" t="s">
        <v>20</v>
      </c>
      <c r="I115" s="38">
        <v>25781.0</v>
      </c>
      <c r="J115" s="38">
        <v>45619.0</v>
      </c>
      <c r="K115" s="14" t="s">
        <v>786</v>
      </c>
      <c r="L115" s="14" t="s">
        <v>787</v>
      </c>
      <c r="M115" s="36">
        <v>22.0</v>
      </c>
      <c r="N115" s="14" t="s">
        <v>791</v>
      </c>
      <c r="O115" s="14" t="s">
        <v>798</v>
      </c>
      <c r="P115" s="14" t="s">
        <v>799</v>
      </c>
      <c r="Q115" s="14" t="s">
        <v>791</v>
      </c>
      <c r="R115" s="37"/>
      <c r="S115" s="14" t="s">
        <v>788</v>
      </c>
      <c r="T115" s="14" t="s">
        <v>788</v>
      </c>
      <c r="U115" s="14" t="s">
        <v>1323</v>
      </c>
      <c r="V115" s="37"/>
      <c r="W115" s="37"/>
      <c r="X115" s="37"/>
      <c r="Y115" s="37"/>
      <c r="Z115" s="36">
        <v>95.0</v>
      </c>
      <c r="AA115" s="36">
        <v>100.0</v>
      </c>
      <c r="AB115" s="37"/>
      <c r="AC115" s="37"/>
      <c r="AD115" s="37"/>
      <c r="AE115" s="37"/>
      <c r="AF115" s="37"/>
      <c r="AG115" s="14" t="s">
        <v>1324</v>
      </c>
      <c r="AM115" s="37"/>
      <c r="AN115" s="14" t="s">
        <v>1325</v>
      </c>
    </row>
    <row r="116">
      <c r="A116" s="14" t="s">
        <v>1326</v>
      </c>
      <c r="B116" s="14" t="s">
        <v>781</v>
      </c>
      <c r="C116" s="14" t="s">
        <v>843</v>
      </c>
      <c r="D116" s="14" t="s">
        <v>844</v>
      </c>
      <c r="E116" s="36">
        <v>607.0</v>
      </c>
      <c r="F116" s="14" t="s">
        <v>845</v>
      </c>
      <c r="G116" s="14" t="s">
        <v>846</v>
      </c>
      <c r="H116" s="14" t="s">
        <v>20</v>
      </c>
      <c r="I116" s="38">
        <v>14960.0</v>
      </c>
      <c r="J116" s="38">
        <v>39046.0</v>
      </c>
      <c r="K116" s="14" t="s">
        <v>786</v>
      </c>
      <c r="L116" s="14" t="s">
        <v>787</v>
      </c>
      <c r="M116" s="36">
        <v>22.0</v>
      </c>
      <c r="N116" s="14" t="s">
        <v>791</v>
      </c>
      <c r="O116" s="14" t="s">
        <v>798</v>
      </c>
      <c r="P116" s="14" t="s">
        <v>830</v>
      </c>
      <c r="Q116" s="14" t="s">
        <v>791</v>
      </c>
      <c r="R116" s="37"/>
      <c r="S116" s="14" t="s">
        <v>788</v>
      </c>
      <c r="T116" s="14" t="s">
        <v>788</v>
      </c>
      <c r="U116" s="14" t="s">
        <v>1021</v>
      </c>
      <c r="V116" s="37"/>
      <c r="W116" s="37"/>
      <c r="X116" s="37"/>
      <c r="Y116" s="37"/>
      <c r="Z116" s="36">
        <v>55.0</v>
      </c>
      <c r="AA116" s="36">
        <v>24.0</v>
      </c>
      <c r="AB116" s="37"/>
      <c r="AC116" s="37"/>
      <c r="AD116" s="37"/>
      <c r="AE116" s="37"/>
      <c r="AF116" s="37"/>
      <c r="AG116" s="14" t="s">
        <v>1327</v>
      </c>
      <c r="AN116" s="14" t="s">
        <v>1328</v>
      </c>
    </row>
    <row r="117">
      <c r="A117" s="14" t="s">
        <v>1329</v>
      </c>
      <c r="B117" s="14" t="s">
        <v>781</v>
      </c>
      <c r="C117" s="14" t="s">
        <v>1181</v>
      </c>
      <c r="D117" s="14" t="s">
        <v>1182</v>
      </c>
      <c r="E117" s="36">
        <v>333.0</v>
      </c>
      <c r="F117" s="37"/>
      <c r="G117" s="14" t="s">
        <v>1183</v>
      </c>
      <c r="H117" s="14" t="s">
        <v>20</v>
      </c>
      <c r="I117" s="37"/>
      <c r="J117" s="38">
        <v>41081.0</v>
      </c>
      <c r="K117" s="14" t="s">
        <v>786</v>
      </c>
      <c r="L117" s="14" t="s">
        <v>787</v>
      </c>
      <c r="M117" s="36">
        <v>22.0</v>
      </c>
      <c r="N117" s="14" t="s">
        <v>788</v>
      </c>
      <c r="O117" s="14" t="s">
        <v>789</v>
      </c>
      <c r="P117" s="14" t="s">
        <v>868</v>
      </c>
      <c r="Q117" s="14" t="s">
        <v>791</v>
      </c>
      <c r="R117" s="37"/>
      <c r="S117" s="14" t="s">
        <v>788</v>
      </c>
      <c r="T117" s="14" t="s">
        <v>788</v>
      </c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14" t="s">
        <v>1330</v>
      </c>
      <c r="AN117" s="14" t="s">
        <v>1331</v>
      </c>
    </row>
    <row r="118">
      <c r="A118" s="14" t="s">
        <v>1332</v>
      </c>
      <c r="B118" s="14" t="s">
        <v>781</v>
      </c>
      <c r="C118" s="14" t="s">
        <v>991</v>
      </c>
      <c r="D118" s="14" t="s">
        <v>992</v>
      </c>
      <c r="E118" s="36">
        <v>636.0</v>
      </c>
      <c r="F118" s="14" t="s">
        <v>993</v>
      </c>
      <c r="G118" s="14" t="s">
        <v>807</v>
      </c>
      <c r="H118" s="14" t="s">
        <v>103</v>
      </c>
      <c r="I118" s="38">
        <v>40523.0</v>
      </c>
      <c r="J118" s="38">
        <v>40523.0</v>
      </c>
      <c r="K118" s="14" t="s">
        <v>786</v>
      </c>
      <c r="L118" s="14" t="s">
        <v>787</v>
      </c>
      <c r="M118" s="36">
        <v>22.0</v>
      </c>
      <c r="N118" s="14" t="s">
        <v>791</v>
      </c>
      <c r="O118" s="14" t="s">
        <v>798</v>
      </c>
      <c r="P118" s="14" t="s">
        <v>799</v>
      </c>
      <c r="Q118" s="14" t="s">
        <v>791</v>
      </c>
      <c r="R118" s="37"/>
      <c r="S118" s="14" t="s">
        <v>788</v>
      </c>
      <c r="T118" s="14" t="s">
        <v>788</v>
      </c>
      <c r="U118" s="14" t="s">
        <v>1333</v>
      </c>
      <c r="V118" s="37"/>
      <c r="W118" s="37"/>
      <c r="X118" s="37"/>
      <c r="Y118" s="37"/>
      <c r="Z118" s="36">
        <v>94.0</v>
      </c>
      <c r="AA118" s="14" t="s">
        <v>1334</v>
      </c>
      <c r="AB118" s="37"/>
      <c r="AC118" s="37"/>
      <c r="AD118" s="37"/>
      <c r="AE118" s="37"/>
      <c r="AF118" s="37"/>
      <c r="AG118" s="14" t="s">
        <v>1335</v>
      </c>
      <c r="AM118" s="37"/>
      <c r="AN118" s="14" t="s">
        <v>1336</v>
      </c>
    </row>
    <row r="119">
      <c r="A119" s="14" t="s">
        <v>1337</v>
      </c>
      <c r="B119" s="14" t="s">
        <v>781</v>
      </c>
      <c r="C119" s="14" t="s">
        <v>804</v>
      </c>
      <c r="D119" s="14" t="s">
        <v>805</v>
      </c>
      <c r="E119" s="36">
        <v>628.0</v>
      </c>
      <c r="F119" s="14" t="s">
        <v>806</v>
      </c>
      <c r="G119" s="14" t="s">
        <v>807</v>
      </c>
      <c r="H119" s="14" t="s">
        <v>20</v>
      </c>
      <c r="I119" s="38">
        <v>41590.0</v>
      </c>
      <c r="J119" s="38">
        <v>41590.0</v>
      </c>
      <c r="K119" s="14" t="s">
        <v>786</v>
      </c>
      <c r="L119" s="14" t="s">
        <v>787</v>
      </c>
      <c r="M119" s="36">
        <v>22.0</v>
      </c>
      <c r="N119" s="14" t="s">
        <v>791</v>
      </c>
      <c r="O119" s="14" t="s">
        <v>798</v>
      </c>
      <c r="P119" s="14" t="s">
        <v>799</v>
      </c>
      <c r="Q119" s="14" t="s">
        <v>791</v>
      </c>
      <c r="R119" s="37"/>
      <c r="S119" s="14" t="s">
        <v>788</v>
      </c>
      <c r="T119" s="14" t="s">
        <v>788</v>
      </c>
      <c r="U119" s="14" t="s">
        <v>1338</v>
      </c>
      <c r="V119" s="37"/>
      <c r="W119" s="37"/>
      <c r="X119" s="37"/>
      <c r="Y119" s="37"/>
      <c r="Z119" s="36">
        <v>72.0</v>
      </c>
      <c r="AA119" s="14" t="s">
        <v>1339</v>
      </c>
      <c r="AB119" s="37"/>
      <c r="AC119" s="37"/>
      <c r="AD119" s="37"/>
      <c r="AE119" s="37"/>
      <c r="AF119" s="37"/>
      <c r="AG119" s="14" t="s">
        <v>1340</v>
      </c>
      <c r="AN119" s="14" t="s">
        <v>1341</v>
      </c>
    </row>
    <row r="120">
      <c r="A120" s="14" t="s">
        <v>1342</v>
      </c>
      <c r="B120" s="14" t="s">
        <v>781</v>
      </c>
      <c r="C120" s="14" t="s">
        <v>866</v>
      </c>
      <c r="D120" s="14" t="s">
        <v>867</v>
      </c>
      <c r="E120" s="36">
        <v>477.0</v>
      </c>
      <c r="F120" s="37"/>
      <c r="G120" s="14" t="s">
        <v>814</v>
      </c>
      <c r="H120" s="14" t="s">
        <v>20</v>
      </c>
      <c r="I120" s="38">
        <v>42736.0</v>
      </c>
      <c r="J120" s="38">
        <v>42736.0</v>
      </c>
      <c r="K120" s="14" t="s">
        <v>786</v>
      </c>
      <c r="L120" s="14" t="s">
        <v>787</v>
      </c>
      <c r="M120" s="36">
        <v>22.0</v>
      </c>
      <c r="N120" s="14" t="s">
        <v>791</v>
      </c>
      <c r="O120" s="14" t="s">
        <v>798</v>
      </c>
      <c r="P120" s="14" t="s">
        <v>868</v>
      </c>
      <c r="Q120" s="14" t="s">
        <v>791</v>
      </c>
      <c r="R120" s="37"/>
      <c r="S120" s="14" t="s">
        <v>788</v>
      </c>
      <c r="T120" s="14" t="s">
        <v>788</v>
      </c>
      <c r="U120" s="14" t="s">
        <v>1017</v>
      </c>
      <c r="W120" s="37"/>
      <c r="X120" s="37"/>
      <c r="Y120" s="37"/>
      <c r="Z120" s="36">
        <v>0.0</v>
      </c>
      <c r="AA120" s="37"/>
      <c r="AB120" s="37"/>
      <c r="AC120" s="37"/>
      <c r="AD120" s="37"/>
      <c r="AE120" s="37"/>
      <c r="AF120" s="37"/>
      <c r="AG120" s="14" t="s">
        <v>1018</v>
      </c>
      <c r="AJ120" s="37"/>
      <c r="AK120" s="37"/>
      <c r="AL120" s="37"/>
      <c r="AM120" s="37"/>
      <c r="AN120" s="14" t="s">
        <v>1343</v>
      </c>
    </row>
    <row r="121">
      <c r="A121" s="14" t="s">
        <v>1344</v>
      </c>
      <c r="B121" s="14" t="s">
        <v>781</v>
      </c>
      <c r="C121" s="14" t="s">
        <v>1345</v>
      </c>
      <c r="D121" s="14" t="s">
        <v>968</v>
      </c>
      <c r="E121" s="36">
        <v>610.0</v>
      </c>
      <c r="F121" s="14" t="s">
        <v>969</v>
      </c>
      <c r="G121" s="14" t="s">
        <v>1098</v>
      </c>
      <c r="H121" s="14" t="s">
        <v>20</v>
      </c>
      <c r="I121" s="38">
        <v>24202.0</v>
      </c>
      <c r="J121" s="38">
        <v>45944.0</v>
      </c>
      <c r="K121" s="14" t="s">
        <v>786</v>
      </c>
      <c r="L121" s="14" t="s">
        <v>787</v>
      </c>
      <c r="M121" s="36">
        <v>22.0</v>
      </c>
      <c r="N121" s="14" t="s">
        <v>791</v>
      </c>
      <c r="O121" s="14" t="s">
        <v>798</v>
      </c>
      <c r="P121" s="14" t="s">
        <v>799</v>
      </c>
      <c r="Q121" s="14" t="s">
        <v>791</v>
      </c>
      <c r="R121" s="37"/>
      <c r="S121" s="14" t="s">
        <v>788</v>
      </c>
      <c r="T121" s="14" t="s">
        <v>788</v>
      </c>
      <c r="U121" s="14" t="s">
        <v>1346</v>
      </c>
      <c r="W121" s="37"/>
      <c r="X121" s="37"/>
      <c r="Y121" s="37"/>
      <c r="Z121" s="36">
        <v>119.0</v>
      </c>
      <c r="AA121" s="36">
        <v>40.0</v>
      </c>
      <c r="AB121" s="37"/>
      <c r="AC121" s="37"/>
      <c r="AD121" s="37"/>
      <c r="AE121" s="37"/>
      <c r="AF121" s="37"/>
      <c r="AG121" s="14" t="s">
        <v>1347</v>
      </c>
      <c r="AM121" s="37"/>
      <c r="AN121" s="14" t="s">
        <v>1348</v>
      </c>
    </row>
    <row r="122">
      <c r="A122" s="14" t="s">
        <v>1349</v>
      </c>
      <c r="B122" s="14" t="s">
        <v>781</v>
      </c>
      <c r="C122" s="14" t="s">
        <v>1011</v>
      </c>
      <c r="D122" s="14" t="s">
        <v>1012</v>
      </c>
      <c r="E122" s="36">
        <v>476.0</v>
      </c>
      <c r="F122" s="37"/>
      <c r="G122" s="14" t="s">
        <v>814</v>
      </c>
      <c r="H122" s="14" t="s">
        <v>20</v>
      </c>
      <c r="I122" s="38">
        <v>42736.0</v>
      </c>
      <c r="J122" s="38">
        <v>42736.0</v>
      </c>
      <c r="K122" s="14" t="s">
        <v>786</v>
      </c>
      <c r="L122" s="14" t="s">
        <v>787</v>
      </c>
      <c r="M122" s="36">
        <v>22.0</v>
      </c>
      <c r="N122" s="14" t="s">
        <v>791</v>
      </c>
      <c r="O122" s="14" t="s">
        <v>798</v>
      </c>
      <c r="P122" s="14" t="s">
        <v>799</v>
      </c>
      <c r="Q122" s="14" t="s">
        <v>791</v>
      </c>
      <c r="R122" s="37"/>
      <c r="S122" s="14" t="s">
        <v>791</v>
      </c>
      <c r="T122" s="14" t="s">
        <v>791</v>
      </c>
      <c r="U122" s="14" t="s">
        <v>1142</v>
      </c>
      <c r="W122" s="37"/>
      <c r="X122" s="37"/>
      <c r="Y122" s="37"/>
      <c r="Z122" s="36">
        <v>269.0</v>
      </c>
      <c r="AA122" s="37"/>
      <c r="AB122" s="37"/>
      <c r="AC122" s="37"/>
      <c r="AD122" s="37"/>
      <c r="AE122" s="37"/>
      <c r="AF122" s="37"/>
      <c r="AG122" s="14" t="s">
        <v>1313</v>
      </c>
      <c r="AK122" s="37"/>
      <c r="AL122" s="37"/>
      <c r="AM122" s="37"/>
      <c r="AN122" s="14" t="s">
        <v>1350</v>
      </c>
    </row>
    <row r="123">
      <c r="A123" s="14" t="s">
        <v>1351</v>
      </c>
      <c r="B123" s="14" t="s">
        <v>781</v>
      </c>
      <c r="C123" s="14" t="s">
        <v>930</v>
      </c>
      <c r="D123" s="14" t="s">
        <v>931</v>
      </c>
      <c r="E123" s="36">
        <v>602.0</v>
      </c>
      <c r="F123" s="14" t="s">
        <v>932</v>
      </c>
      <c r="G123" s="14" t="s">
        <v>933</v>
      </c>
      <c r="H123" s="14" t="s">
        <v>20</v>
      </c>
      <c r="I123" s="37"/>
      <c r="J123" s="38">
        <v>40914.0</v>
      </c>
      <c r="K123" s="14" t="s">
        <v>786</v>
      </c>
      <c r="L123" s="14" t="s">
        <v>787</v>
      </c>
      <c r="M123" s="36">
        <v>22.0</v>
      </c>
      <c r="N123" s="14" t="s">
        <v>788</v>
      </c>
      <c r="O123" s="14" t="s">
        <v>789</v>
      </c>
      <c r="P123" s="14" t="s">
        <v>790</v>
      </c>
      <c r="Q123" s="14" t="s">
        <v>791</v>
      </c>
      <c r="R123" s="37"/>
      <c r="S123" s="14" t="s">
        <v>788</v>
      </c>
      <c r="T123" s="14" t="s">
        <v>788</v>
      </c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14" t="s">
        <v>1352</v>
      </c>
      <c r="AK123" s="37"/>
      <c r="AL123" s="37"/>
      <c r="AM123" s="37"/>
      <c r="AN123" s="14" t="s">
        <v>1353</v>
      </c>
    </row>
    <row r="124">
      <c r="A124" s="14" t="s">
        <v>1354</v>
      </c>
      <c r="B124" s="14" t="s">
        <v>781</v>
      </c>
      <c r="C124" s="14" t="s">
        <v>967</v>
      </c>
      <c r="D124" s="14" t="s">
        <v>968</v>
      </c>
      <c r="E124" s="36">
        <v>610.0</v>
      </c>
      <c r="F124" s="14" t="s">
        <v>969</v>
      </c>
      <c r="G124" s="14" t="s">
        <v>954</v>
      </c>
      <c r="H124" s="14" t="s">
        <v>20</v>
      </c>
      <c r="I124" s="38">
        <v>19937.0</v>
      </c>
      <c r="J124" s="38">
        <v>45430.0</v>
      </c>
      <c r="K124" s="14" t="s">
        <v>786</v>
      </c>
      <c r="L124" s="14" t="s">
        <v>787</v>
      </c>
      <c r="M124" s="36">
        <v>22.0</v>
      </c>
      <c r="N124" s="14" t="s">
        <v>791</v>
      </c>
      <c r="O124" s="14" t="s">
        <v>798</v>
      </c>
      <c r="P124" s="14" t="s">
        <v>853</v>
      </c>
      <c r="Q124" s="14" t="s">
        <v>791</v>
      </c>
      <c r="R124" s="37"/>
      <c r="S124" s="14" t="s">
        <v>788</v>
      </c>
      <c r="T124" s="14" t="s">
        <v>788</v>
      </c>
      <c r="U124" s="14" t="s">
        <v>943</v>
      </c>
      <c r="V124" s="37"/>
      <c r="W124" s="37"/>
      <c r="X124" s="37"/>
      <c r="Y124" s="37"/>
      <c r="Z124" s="36">
        <v>137.0</v>
      </c>
      <c r="AA124" s="36">
        <v>40.0</v>
      </c>
      <c r="AB124" s="37"/>
      <c r="AC124" s="37"/>
      <c r="AD124" s="37"/>
      <c r="AE124" s="37"/>
      <c r="AF124" s="37"/>
      <c r="AG124" s="14" t="s">
        <v>1355</v>
      </c>
      <c r="AN124" s="14" t="s">
        <v>1356</v>
      </c>
    </row>
    <row r="125">
      <c r="A125" s="14" t="s">
        <v>1357</v>
      </c>
      <c r="B125" s="14" t="s">
        <v>781</v>
      </c>
      <c r="C125" s="14" t="s">
        <v>1358</v>
      </c>
      <c r="D125" s="14" t="s">
        <v>1359</v>
      </c>
      <c r="E125" s="36">
        <v>277.0</v>
      </c>
      <c r="F125" s="37"/>
      <c r="G125" s="14" t="s">
        <v>785</v>
      </c>
      <c r="H125" s="14" t="s">
        <v>20</v>
      </c>
      <c r="I125" s="38">
        <v>26474.0</v>
      </c>
      <c r="J125" s="38">
        <v>36308.0</v>
      </c>
      <c r="K125" s="14" t="s">
        <v>786</v>
      </c>
      <c r="L125" s="14" t="s">
        <v>787</v>
      </c>
      <c r="M125" s="36">
        <v>22.0</v>
      </c>
      <c r="N125" s="14" t="s">
        <v>791</v>
      </c>
      <c r="O125" s="14" t="s">
        <v>798</v>
      </c>
      <c r="P125" s="14" t="s">
        <v>853</v>
      </c>
      <c r="Q125" s="14" t="s">
        <v>791</v>
      </c>
      <c r="R125" s="37"/>
      <c r="S125" s="14" t="s">
        <v>788</v>
      </c>
      <c r="T125" s="14" t="s">
        <v>788</v>
      </c>
      <c r="U125" s="14" t="s">
        <v>921</v>
      </c>
      <c r="V125" s="37"/>
      <c r="W125" s="37"/>
      <c r="X125" s="37"/>
      <c r="Y125" s="37"/>
      <c r="Z125" s="36">
        <v>97.0</v>
      </c>
      <c r="AA125" s="36">
        <v>40.0</v>
      </c>
      <c r="AB125" s="37"/>
      <c r="AC125" s="37"/>
      <c r="AD125" s="37"/>
      <c r="AE125" s="37"/>
      <c r="AF125" s="37"/>
      <c r="AG125" s="14" t="s">
        <v>1360</v>
      </c>
      <c r="AL125" s="37"/>
      <c r="AM125" s="37"/>
      <c r="AN125" s="14" t="s">
        <v>1361</v>
      </c>
    </row>
    <row r="126">
      <c r="A126" s="14" t="s">
        <v>1362</v>
      </c>
      <c r="B126" s="14" t="s">
        <v>781</v>
      </c>
      <c r="C126" s="14" t="s">
        <v>782</v>
      </c>
      <c r="D126" s="14" t="s">
        <v>783</v>
      </c>
      <c r="E126" s="36">
        <v>612.0</v>
      </c>
      <c r="F126" s="14" t="s">
        <v>784</v>
      </c>
      <c r="G126" s="14" t="s">
        <v>785</v>
      </c>
      <c r="H126" s="14" t="s">
        <v>20</v>
      </c>
      <c r="I126" s="38">
        <v>23643.0</v>
      </c>
      <c r="J126" s="38">
        <v>45239.0</v>
      </c>
      <c r="K126" s="14" t="s">
        <v>786</v>
      </c>
      <c r="L126" s="14" t="s">
        <v>787</v>
      </c>
      <c r="M126" s="36">
        <v>22.0</v>
      </c>
      <c r="N126" s="14" t="s">
        <v>791</v>
      </c>
      <c r="O126" s="14" t="s">
        <v>798</v>
      </c>
      <c r="P126" s="14" t="s">
        <v>853</v>
      </c>
      <c r="Q126" s="14" t="s">
        <v>791</v>
      </c>
      <c r="R126" s="37"/>
      <c r="S126" s="14" t="s">
        <v>788</v>
      </c>
      <c r="T126" s="14" t="s">
        <v>788</v>
      </c>
      <c r="U126" s="14" t="s">
        <v>1363</v>
      </c>
      <c r="V126" s="37"/>
      <c r="W126" s="37"/>
      <c r="X126" s="37"/>
      <c r="Y126" s="37"/>
      <c r="Z126" s="36">
        <v>185.0</v>
      </c>
      <c r="AA126" s="36">
        <v>40.0</v>
      </c>
      <c r="AB126" s="37"/>
      <c r="AC126" s="37"/>
      <c r="AD126" s="37"/>
      <c r="AE126" s="37"/>
      <c r="AF126" s="37"/>
      <c r="AG126" s="14" t="s">
        <v>1364</v>
      </c>
      <c r="AM126" s="37"/>
      <c r="AN126" s="14" t="s">
        <v>1365</v>
      </c>
    </row>
    <row r="127">
      <c r="A127" s="14" t="s">
        <v>1366</v>
      </c>
      <c r="B127" s="14" t="s">
        <v>781</v>
      </c>
      <c r="C127" s="14" t="s">
        <v>1345</v>
      </c>
      <c r="D127" s="14" t="s">
        <v>968</v>
      </c>
      <c r="E127" s="36">
        <v>610.0</v>
      </c>
      <c r="F127" s="14" t="s">
        <v>969</v>
      </c>
      <c r="G127" s="14" t="s">
        <v>1098</v>
      </c>
      <c r="H127" s="14" t="s">
        <v>20</v>
      </c>
      <c r="I127" s="38">
        <v>5652.0</v>
      </c>
      <c r="J127" s="38">
        <v>45164.0</v>
      </c>
      <c r="K127" s="14" t="s">
        <v>786</v>
      </c>
      <c r="L127" s="14" t="s">
        <v>787</v>
      </c>
      <c r="M127" s="36">
        <v>22.0</v>
      </c>
      <c r="N127" s="14" t="s">
        <v>791</v>
      </c>
      <c r="O127" s="14" t="s">
        <v>798</v>
      </c>
      <c r="P127" s="14" t="s">
        <v>799</v>
      </c>
      <c r="Q127" s="14" t="s">
        <v>791</v>
      </c>
      <c r="R127" s="37"/>
      <c r="S127" s="14" t="s">
        <v>791</v>
      </c>
      <c r="T127" s="14" t="s">
        <v>788</v>
      </c>
      <c r="U127" s="14" t="s">
        <v>955</v>
      </c>
      <c r="V127" s="37"/>
      <c r="W127" s="37"/>
      <c r="X127" s="37"/>
      <c r="Y127" s="37"/>
      <c r="Z127" s="36">
        <v>178.0</v>
      </c>
      <c r="AA127" s="36">
        <v>800.0</v>
      </c>
      <c r="AB127" s="37"/>
      <c r="AC127" s="37"/>
      <c r="AD127" s="37"/>
      <c r="AE127" s="37"/>
      <c r="AF127" s="37"/>
      <c r="AG127" s="14" t="s">
        <v>1367</v>
      </c>
      <c r="AN127" s="14" t="s">
        <v>1368</v>
      </c>
    </row>
    <row r="128">
      <c r="A128" s="14" t="s">
        <v>1369</v>
      </c>
      <c r="B128" s="14" t="s">
        <v>781</v>
      </c>
      <c r="C128" s="14" t="s">
        <v>812</v>
      </c>
      <c r="D128" s="14" t="s">
        <v>813</v>
      </c>
      <c r="E128" s="36">
        <v>475.0</v>
      </c>
      <c r="F128" s="37"/>
      <c r="G128" s="14" t="s">
        <v>814</v>
      </c>
      <c r="H128" s="14" t="s">
        <v>20</v>
      </c>
      <c r="I128" s="38">
        <v>42736.0</v>
      </c>
      <c r="J128" s="38">
        <v>42736.0</v>
      </c>
      <c r="K128" s="14" t="s">
        <v>786</v>
      </c>
      <c r="L128" s="14" t="s">
        <v>787</v>
      </c>
      <c r="M128" s="36">
        <v>22.0</v>
      </c>
      <c r="N128" s="14" t="s">
        <v>791</v>
      </c>
      <c r="O128" s="14" t="s">
        <v>798</v>
      </c>
      <c r="P128" s="14" t="s">
        <v>799</v>
      </c>
      <c r="Q128" s="14" t="s">
        <v>791</v>
      </c>
      <c r="R128" s="37"/>
      <c r="S128" s="14" t="s">
        <v>791</v>
      </c>
      <c r="T128" s="14" t="s">
        <v>791</v>
      </c>
      <c r="U128" s="14" t="s">
        <v>1238</v>
      </c>
      <c r="W128" s="37"/>
      <c r="X128" s="37"/>
      <c r="Y128" s="37"/>
      <c r="Z128" s="36">
        <v>111.0</v>
      </c>
      <c r="AA128" s="14" t="s">
        <v>816</v>
      </c>
      <c r="AC128" s="37"/>
      <c r="AD128" s="37"/>
      <c r="AE128" s="37"/>
      <c r="AF128" s="37"/>
      <c r="AG128" s="14" t="s">
        <v>1239</v>
      </c>
      <c r="AK128" s="37"/>
      <c r="AL128" s="37"/>
      <c r="AM128" s="37"/>
      <c r="AN128" s="14" t="s">
        <v>1370</v>
      </c>
    </row>
    <row r="129">
      <c r="A129" s="14" t="s">
        <v>1371</v>
      </c>
      <c r="B129" s="14" t="s">
        <v>781</v>
      </c>
      <c r="C129" s="14" t="s">
        <v>827</v>
      </c>
      <c r="D129" s="14" t="s">
        <v>828</v>
      </c>
      <c r="E129" s="36">
        <v>414.0</v>
      </c>
      <c r="F129" s="37"/>
      <c r="G129" s="14" t="s">
        <v>829</v>
      </c>
      <c r="H129" s="14" t="s">
        <v>20</v>
      </c>
      <c r="I129" s="38">
        <v>28216.0</v>
      </c>
      <c r="J129" s="38">
        <v>38430.0</v>
      </c>
      <c r="K129" s="14" t="s">
        <v>786</v>
      </c>
      <c r="L129" s="14" t="s">
        <v>787</v>
      </c>
      <c r="M129" s="36">
        <v>22.0</v>
      </c>
      <c r="N129" s="14" t="s">
        <v>791</v>
      </c>
      <c r="O129" s="14" t="s">
        <v>798</v>
      </c>
      <c r="P129" s="14" t="s">
        <v>830</v>
      </c>
      <c r="Q129" s="14" t="s">
        <v>791</v>
      </c>
      <c r="R129" s="37"/>
      <c r="S129" s="14" t="s">
        <v>788</v>
      </c>
      <c r="T129" s="14" t="s">
        <v>788</v>
      </c>
      <c r="U129" s="14" t="s">
        <v>906</v>
      </c>
      <c r="V129" s="37"/>
      <c r="W129" s="37"/>
      <c r="X129" s="37"/>
      <c r="Y129" s="37"/>
      <c r="Z129" s="36">
        <v>90.0</v>
      </c>
      <c r="AA129" s="36">
        <v>40.0</v>
      </c>
      <c r="AB129" s="37"/>
      <c r="AC129" s="37"/>
      <c r="AD129" s="37"/>
      <c r="AE129" s="37"/>
      <c r="AF129" s="37"/>
      <c r="AG129" s="14" t="s">
        <v>1223</v>
      </c>
      <c r="AK129" s="37"/>
      <c r="AL129" s="37"/>
      <c r="AM129" s="37"/>
      <c r="AN129" s="14" t="s">
        <v>1372</v>
      </c>
    </row>
    <row r="130">
      <c r="A130" s="14" t="s">
        <v>1373</v>
      </c>
      <c r="B130" s="14" t="s">
        <v>781</v>
      </c>
      <c r="C130" s="14" t="s">
        <v>795</v>
      </c>
      <c r="D130" s="14" t="s">
        <v>796</v>
      </c>
      <c r="E130" s="36">
        <v>471.0</v>
      </c>
      <c r="F130" s="37"/>
      <c r="G130" s="14" t="s">
        <v>797</v>
      </c>
      <c r="H130" s="14" t="s">
        <v>20</v>
      </c>
      <c r="I130" s="38">
        <v>42260.0</v>
      </c>
      <c r="J130" s="38">
        <v>42260.0</v>
      </c>
      <c r="K130" s="14" t="s">
        <v>786</v>
      </c>
      <c r="L130" s="14" t="s">
        <v>787</v>
      </c>
      <c r="M130" s="36">
        <v>22.0</v>
      </c>
      <c r="N130" s="14" t="s">
        <v>791</v>
      </c>
      <c r="O130" s="14" t="s">
        <v>798</v>
      </c>
      <c r="P130" s="14" t="s">
        <v>799</v>
      </c>
      <c r="Q130" s="14" t="s">
        <v>791</v>
      </c>
      <c r="R130" s="37"/>
      <c r="S130" s="14" t="s">
        <v>788</v>
      </c>
      <c r="T130" s="14" t="s">
        <v>788</v>
      </c>
      <c r="U130" s="14" t="s">
        <v>980</v>
      </c>
      <c r="W130" s="37"/>
      <c r="X130" s="37"/>
      <c r="Y130" s="37"/>
      <c r="Z130" s="36">
        <v>283.0</v>
      </c>
      <c r="AA130" s="14" t="s">
        <v>981</v>
      </c>
      <c r="AC130" s="37"/>
      <c r="AD130" s="37"/>
      <c r="AE130" s="37"/>
      <c r="AF130" s="37"/>
      <c r="AG130" s="14" t="s">
        <v>982</v>
      </c>
      <c r="AN130" s="14" t="s">
        <v>1374</v>
      </c>
    </row>
    <row r="131">
      <c r="A131" s="14" t="s">
        <v>1375</v>
      </c>
      <c r="B131" s="14" t="s">
        <v>781</v>
      </c>
      <c r="C131" s="14" t="s">
        <v>1214</v>
      </c>
      <c r="D131" s="14" t="s">
        <v>1215</v>
      </c>
      <c r="E131" s="36">
        <v>198.0</v>
      </c>
      <c r="F131" s="37"/>
      <c r="G131" s="14" t="s">
        <v>1216</v>
      </c>
      <c r="H131" s="14" t="s">
        <v>68</v>
      </c>
      <c r="I131" s="37"/>
      <c r="J131" s="38">
        <v>41086.0</v>
      </c>
      <c r="K131" s="14" t="s">
        <v>786</v>
      </c>
      <c r="L131" s="14" t="s">
        <v>787</v>
      </c>
      <c r="M131" s="36">
        <v>22.0</v>
      </c>
      <c r="N131" s="14" t="s">
        <v>788</v>
      </c>
      <c r="O131" s="14" t="s">
        <v>789</v>
      </c>
      <c r="P131" s="14" t="s">
        <v>799</v>
      </c>
      <c r="Q131" s="14" t="s">
        <v>791</v>
      </c>
      <c r="R131" s="37"/>
      <c r="S131" s="14" t="s">
        <v>788</v>
      </c>
      <c r="T131" s="14" t="s">
        <v>788</v>
      </c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14" t="s">
        <v>1376</v>
      </c>
      <c r="AN131" s="14" t="s">
        <v>1377</v>
      </c>
    </row>
    <row r="132">
      <c r="A132" s="14" t="s">
        <v>1378</v>
      </c>
      <c r="B132" s="14" t="s">
        <v>781</v>
      </c>
      <c r="C132" s="14" t="s">
        <v>967</v>
      </c>
      <c r="D132" s="14" t="s">
        <v>968</v>
      </c>
      <c r="E132" s="36">
        <v>610.0</v>
      </c>
      <c r="F132" s="14" t="s">
        <v>969</v>
      </c>
      <c r="G132" s="14" t="s">
        <v>954</v>
      </c>
      <c r="H132" s="14" t="s">
        <v>20</v>
      </c>
      <c r="I132" s="38">
        <v>23908.0</v>
      </c>
      <c r="J132" s="38">
        <v>45944.0</v>
      </c>
      <c r="K132" s="14" t="s">
        <v>786</v>
      </c>
      <c r="L132" s="14" t="s">
        <v>787</v>
      </c>
      <c r="M132" s="36">
        <v>22.0</v>
      </c>
      <c r="N132" s="14" t="s">
        <v>791</v>
      </c>
      <c r="O132" s="14" t="s">
        <v>798</v>
      </c>
      <c r="P132" s="14" t="s">
        <v>799</v>
      </c>
      <c r="Q132" s="14" t="s">
        <v>791</v>
      </c>
      <c r="R132" s="37"/>
      <c r="S132" s="14" t="s">
        <v>788</v>
      </c>
      <c r="T132" s="14" t="s">
        <v>788</v>
      </c>
      <c r="U132" s="14" t="s">
        <v>1379</v>
      </c>
      <c r="V132" s="37"/>
      <c r="W132" s="37"/>
      <c r="X132" s="37"/>
      <c r="Y132" s="37"/>
      <c r="Z132" s="36">
        <v>81.0</v>
      </c>
      <c r="AA132" s="36">
        <v>40.0</v>
      </c>
      <c r="AB132" s="37"/>
      <c r="AC132" s="37"/>
      <c r="AD132" s="37"/>
      <c r="AE132" s="37"/>
      <c r="AF132" s="37"/>
      <c r="AG132" s="14" t="s">
        <v>1380</v>
      </c>
      <c r="AN132" s="14" t="s">
        <v>1381</v>
      </c>
    </row>
    <row r="133">
      <c r="A133" s="14" t="s">
        <v>1382</v>
      </c>
      <c r="B133" s="14" t="s">
        <v>781</v>
      </c>
      <c r="C133" s="14" t="s">
        <v>991</v>
      </c>
      <c r="D133" s="14" t="s">
        <v>992</v>
      </c>
      <c r="E133" s="36">
        <v>636.0</v>
      </c>
      <c r="F133" s="14" t="s">
        <v>993</v>
      </c>
      <c r="G133" s="14" t="s">
        <v>807</v>
      </c>
      <c r="H133" s="14" t="s">
        <v>103</v>
      </c>
      <c r="I133" s="38">
        <v>21306.0</v>
      </c>
      <c r="J133" s="38">
        <v>44062.0</v>
      </c>
      <c r="K133" s="14" t="s">
        <v>786</v>
      </c>
      <c r="L133" s="14" t="s">
        <v>787</v>
      </c>
      <c r="M133" s="36">
        <v>22.0</v>
      </c>
      <c r="N133" s="14" t="s">
        <v>791</v>
      </c>
      <c r="O133" s="14" t="s">
        <v>798</v>
      </c>
      <c r="P133" s="14" t="s">
        <v>853</v>
      </c>
      <c r="Q133" s="14" t="s">
        <v>791</v>
      </c>
      <c r="R133" s="37"/>
      <c r="S133" s="14" t="s">
        <v>791</v>
      </c>
      <c r="T133" s="14" t="s">
        <v>791</v>
      </c>
      <c r="U133" s="14" t="s">
        <v>994</v>
      </c>
      <c r="V133" s="37"/>
      <c r="W133" s="37"/>
      <c r="X133" s="37"/>
      <c r="Y133" s="37"/>
      <c r="Z133" s="36">
        <v>80.0</v>
      </c>
      <c r="AA133" s="36">
        <v>40.0</v>
      </c>
      <c r="AB133" s="37"/>
      <c r="AC133" s="37"/>
      <c r="AD133" s="37"/>
      <c r="AE133" s="37"/>
      <c r="AF133" s="37"/>
      <c r="AG133" s="14" t="s">
        <v>1383</v>
      </c>
      <c r="AM133" s="37"/>
      <c r="AN133" s="14" t="s">
        <v>1384</v>
      </c>
    </row>
    <row r="134">
      <c r="A134" s="14" t="s">
        <v>1385</v>
      </c>
      <c r="B134" s="14" t="s">
        <v>781</v>
      </c>
      <c r="C134" s="14" t="s">
        <v>1386</v>
      </c>
      <c r="D134" s="14" t="s">
        <v>1387</v>
      </c>
      <c r="E134" s="36">
        <v>627.0</v>
      </c>
      <c r="F134" s="14" t="s">
        <v>1388</v>
      </c>
      <c r="G134" s="14" t="s">
        <v>1389</v>
      </c>
      <c r="H134" s="14" t="s">
        <v>103</v>
      </c>
      <c r="I134" s="38">
        <v>36442.0</v>
      </c>
      <c r="J134" s="38">
        <v>45996.0</v>
      </c>
      <c r="K134" s="14" t="s">
        <v>786</v>
      </c>
      <c r="L134" s="14" t="s">
        <v>787</v>
      </c>
      <c r="M134" s="36">
        <v>22.0</v>
      </c>
      <c r="N134" s="14" t="s">
        <v>791</v>
      </c>
      <c r="O134" s="14" t="s">
        <v>798</v>
      </c>
      <c r="P134" s="14" t="s">
        <v>799</v>
      </c>
      <c r="Q134" s="14" t="s">
        <v>791</v>
      </c>
      <c r="R134" s="37"/>
      <c r="S134" s="14" t="s">
        <v>791</v>
      </c>
      <c r="T134" s="14" t="s">
        <v>791</v>
      </c>
      <c r="U134" s="14" t="s">
        <v>800</v>
      </c>
      <c r="V134" s="37"/>
      <c r="W134" s="37"/>
      <c r="X134" s="37"/>
      <c r="Y134" s="37"/>
      <c r="Z134" s="36">
        <v>110.0</v>
      </c>
      <c r="AA134" s="36">
        <v>40.0</v>
      </c>
      <c r="AB134" s="37"/>
      <c r="AC134" s="37"/>
      <c r="AD134" s="37"/>
      <c r="AE134" s="37"/>
      <c r="AF134" s="37"/>
      <c r="AG134" s="14" t="s">
        <v>1390</v>
      </c>
      <c r="AN134" s="14" t="s">
        <v>1391</v>
      </c>
    </row>
    <row r="135">
      <c r="A135" s="14" t="s">
        <v>1392</v>
      </c>
      <c r="B135" s="14" t="s">
        <v>781</v>
      </c>
      <c r="C135" s="14" t="s">
        <v>925</v>
      </c>
      <c r="D135" s="14" t="s">
        <v>926</v>
      </c>
      <c r="E135" s="36">
        <v>278.0</v>
      </c>
      <c r="F135" s="37"/>
      <c r="G135" s="14" t="s">
        <v>860</v>
      </c>
      <c r="H135" s="14" t="s">
        <v>68</v>
      </c>
      <c r="I135" s="38">
        <v>32478.0</v>
      </c>
      <c r="J135" s="38">
        <v>39685.0</v>
      </c>
      <c r="K135" s="14" t="s">
        <v>786</v>
      </c>
      <c r="L135" s="14" t="s">
        <v>787</v>
      </c>
      <c r="M135" s="36">
        <v>22.0</v>
      </c>
      <c r="N135" s="14" t="s">
        <v>791</v>
      </c>
      <c r="O135" s="14" t="s">
        <v>798</v>
      </c>
      <c r="P135" s="14" t="s">
        <v>799</v>
      </c>
      <c r="Q135" s="14" t="s">
        <v>791</v>
      </c>
      <c r="R135" s="37"/>
      <c r="S135" s="14" t="s">
        <v>791</v>
      </c>
      <c r="T135" s="14" t="s">
        <v>791</v>
      </c>
      <c r="U135" s="14" t="s">
        <v>1123</v>
      </c>
      <c r="V135" s="37"/>
      <c r="W135" s="37"/>
      <c r="X135" s="37"/>
      <c r="Y135" s="37"/>
      <c r="Z135" s="36">
        <v>92.0</v>
      </c>
      <c r="AA135" s="14" t="s">
        <v>1393</v>
      </c>
      <c r="AB135" s="37"/>
      <c r="AC135" s="37"/>
      <c r="AD135" s="37"/>
      <c r="AE135" s="37"/>
      <c r="AF135" s="37"/>
      <c r="AG135" s="14" t="s">
        <v>1059</v>
      </c>
      <c r="AL135" s="37"/>
      <c r="AM135" s="37"/>
      <c r="AN135" s="14" t="s">
        <v>1394</v>
      </c>
    </row>
    <row r="136">
      <c r="A136" s="14" t="s">
        <v>1395</v>
      </c>
      <c r="B136" s="14" t="s">
        <v>781</v>
      </c>
      <c r="C136" s="14" t="s">
        <v>1077</v>
      </c>
      <c r="D136" s="14" t="s">
        <v>1078</v>
      </c>
      <c r="E136" s="36">
        <v>221.0</v>
      </c>
      <c r="F136" s="37"/>
      <c r="G136" s="14" t="s">
        <v>822</v>
      </c>
      <c r="H136" s="14" t="s">
        <v>68</v>
      </c>
      <c r="I136" s="38">
        <v>32782.0</v>
      </c>
      <c r="J136" s="38">
        <v>46137.0</v>
      </c>
      <c r="K136" s="14" t="s">
        <v>786</v>
      </c>
      <c r="L136" s="14" t="s">
        <v>787</v>
      </c>
      <c r="M136" s="36">
        <v>22.0</v>
      </c>
      <c r="N136" s="14" t="s">
        <v>791</v>
      </c>
      <c r="O136" s="14" t="s">
        <v>798</v>
      </c>
      <c r="P136" s="14" t="s">
        <v>799</v>
      </c>
      <c r="Q136" s="14" t="s">
        <v>791</v>
      </c>
      <c r="R136" s="37"/>
      <c r="S136" s="14" t="s">
        <v>788</v>
      </c>
      <c r="T136" s="14" t="s">
        <v>788</v>
      </c>
      <c r="U136" s="14" t="s">
        <v>1079</v>
      </c>
      <c r="V136" s="37"/>
      <c r="W136" s="37"/>
      <c r="X136" s="37"/>
      <c r="Y136" s="37"/>
      <c r="Z136" s="36">
        <v>53.0</v>
      </c>
      <c r="AA136" s="14" t="s">
        <v>1058</v>
      </c>
      <c r="AB136" s="37"/>
      <c r="AC136" s="37"/>
      <c r="AD136" s="37"/>
      <c r="AE136" s="37"/>
      <c r="AF136" s="37"/>
      <c r="AG136" s="14" t="s">
        <v>1396</v>
      </c>
      <c r="AK136" s="37"/>
      <c r="AL136" s="37"/>
      <c r="AM136" s="37"/>
      <c r="AN136" s="14" t="s">
        <v>1397</v>
      </c>
    </row>
    <row r="137">
      <c r="A137" s="14" t="s">
        <v>1398</v>
      </c>
      <c r="B137" s="14" t="s">
        <v>781</v>
      </c>
      <c r="C137" s="14" t="s">
        <v>843</v>
      </c>
      <c r="D137" s="14" t="s">
        <v>844</v>
      </c>
      <c r="E137" s="36">
        <v>607.0</v>
      </c>
      <c r="F137" s="14" t="s">
        <v>845</v>
      </c>
      <c r="G137" s="14" t="s">
        <v>846</v>
      </c>
      <c r="H137" s="14" t="s">
        <v>20</v>
      </c>
      <c r="I137" s="38">
        <v>14960.0</v>
      </c>
      <c r="J137" s="38">
        <v>39460.0</v>
      </c>
      <c r="K137" s="14" t="s">
        <v>786</v>
      </c>
      <c r="L137" s="14" t="s">
        <v>787</v>
      </c>
      <c r="M137" s="36">
        <v>22.0</v>
      </c>
      <c r="N137" s="14" t="s">
        <v>791</v>
      </c>
      <c r="O137" s="14" t="s">
        <v>798</v>
      </c>
      <c r="P137" s="14" t="s">
        <v>830</v>
      </c>
      <c r="Q137" s="14" t="s">
        <v>791</v>
      </c>
      <c r="R137" s="37"/>
      <c r="S137" s="14" t="s">
        <v>788</v>
      </c>
      <c r="T137" s="14" t="s">
        <v>788</v>
      </c>
      <c r="U137" s="14" t="s">
        <v>1070</v>
      </c>
      <c r="V137" s="37"/>
      <c r="W137" s="37"/>
      <c r="X137" s="37"/>
      <c r="Y137" s="37"/>
      <c r="Z137" s="36">
        <v>110.0</v>
      </c>
      <c r="AA137" s="36">
        <v>600.0</v>
      </c>
      <c r="AB137" s="37"/>
      <c r="AC137" s="37"/>
      <c r="AD137" s="37"/>
      <c r="AE137" s="37"/>
      <c r="AF137" s="37"/>
      <c r="AG137" s="14" t="s">
        <v>847</v>
      </c>
      <c r="AK137" s="37"/>
      <c r="AL137" s="37"/>
      <c r="AM137" s="37"/>
      <c r="AN137" s="14" t="s">
        <v>1399</v>
      </c>
    </row>
    <row r="138">
      <c r="A138" s="14" t="s">
        <v>1400</v>
      </c>
      <c r="B138" s="14" t="s">
        <v>781</v>
      </c>
      <c r="C138" s="14" t="s">
        <v>1401</v>
      </c>
      <c r="D138" s="14" t="s">
        <v>1402</v>
      </c>
      <c r="E138" s="36">
        <v>238.0</v>
      </c>
      <c r="F138" s="37"/>
      <c r="G138" s="14" t="s">
        <v>846</v>
      </c>
      <c r="H138" s="14" t="s">
        <v>103</v>
      </c>
      <c r="I138" s="38">
        <v>36194.0</v>
      </c>
      <c r="J138" s="38">
        <v>46023.0</v>
      </c>
      <c r="K138" s="14" t="s">
        <v>786</v>
      </c>
      <c r="L138" s="14" t="s">
        <v>787</v>
      </c>
      <c r="M138" s="36">
        <v>22.0</v>
      </c>
      <c r="N138" s="14" t="s">
        <v>791</v>
      </c>
      <c r="O138" s="14" t="s">
        <v>798</v>
      </c>
      <c r="P138" s="14" t="s">
        <v>799</v>
      </c>
      <c r="Q138" s="14" t="s">
        <v>791</v>
      </c>
      <c r="R138" s="37"/>
      <c r="S138" s="14" t="s">
        <v>791</v>
      </c>
      <c r="T138" s="14" t="s">
        <v>788</v>
      </c>
      <c r="U138" s="14" t="s">
        <v>861</v>
      </c>
      <c r="V138" s="37"/>
      <c r="W138" s="37"/>
      <c r="X138" s="37"/>
      <c r="Y138" s="37"/>
      <c r="Z138" s="36">
        <v>166.0</v>
      </c>
      <c r="AA138" s="14" t="s">
        <v>862</v>
      </c>
      <c r="AB138" s="37"/>
      <c r="AC138" s="37"/>
      <c r="AD138" s="37"/>
      <c r="AE138" s="37"/>
      <c r="AF138" s="37"/>
      <c r="AG138" s="14" t="s">
        <v>1403</v>
      </c>
      <c r="AL138" s="37"/>
      <c r="AM138" s="37"/>
      <c r="AN138" s="14" t="s">
        <v>1404</v>
      </c>
    </row>
    <row r="139">
      <c r="A139" s="14" t="s">
        <v>1405</v>
      </c>
      <c r="B139" s="14" t="s">
        <v>781</v>
      </c>
      <c r="C139" s="14" t="s">
        <v>1406</v>
      </c>
      <c r="D139" s="14" t="s">
        <v>1407</v>
      </c>
      <c r="E139" s="36">
        <v>360.0</v>
      </c>
      <c r="F139" s="37"/>
      <c r="G139" s="14" t="s">
        <v>1408</v>
      </c>
      <c r="H139" s="14" t="s">
        <v>890</v>
      </c>
      <c r="I139" s="38">
        <v>32752.0</v>
      </c>
      <c r="J139" s="38">
        <v>44821.0</v>
      </c>
      <c r="K139" s="14" t="s">
        <v>786</v>
      </c>
      <c r="L139" s="14" t="s">
        <v>787</v>
      </c>
      <c r="M139" s="36">
        <v>22.0</v>
      </c>
      <c r="N139" s="14" t="s">
        <v>791</v>
      </c>
      <c r="O139" s="14" t="s">
        <v>798</v>
      </c>
      <c r="P139" s="14" t="s">
        <v>799</v>
      </c>
      <c r="Q139" s="14" t="s">
        <v>791</v>
      </c>
      <c r="R139" s="37"/>
      <c r="S139" s="14" t="s">
        <v>791</v>
      </c>
      <c r="T139" s="14" t="s">
        <v>791</v>
      </c>
      <c r="U139" s="14" t="s">
        <v>1409</v>
      </c>
      <c r="W139" s="37"/>
      <c r="X139" s="37"/>
      <c r="Y139" s="37"/>
      <c r="Z139" s="36">
        <v>58.0</v>
      </c>
      <c r="AA139" s="14" t="s">
        <v>1410</v>
      </c>
      <c r="AD139" s="37"/>
      <c r="AE139" s="37"/>
      <c r="AF139" s="37"/>
      <c r="AG139" s="14" t="s">
        <v>1411</v>
      </c>
      <c r="AK139" s="37"/>
      <c r="AL139" s="37"/>
      <c r="AM139" s="37"/>
      <c r="AN139" s="14" t="s">
        <v>1412</v>
      </c>
    </row>
    <row r="140">
      <c r="A140" s="14" t="s">
        <v>1413</v>
      </c>
      <c r="B140" s="14" t="s">
        <v>781</v>
      </c>
      <c r="C140" s="14" t="s">
        <v>795</v>
      </c>
      <c r="D140" s="14" t="s">
        <v>796</v>
      </c>
      <c r="E140" s="36">
        <v>471.0</v>
      </c>
      <c r="F140" s="37"/>
      <c r="G140" s="14" t="s">
        <v>797</v>
      </c>
      <c r="H140" s="14" t="s">
        <v>20</v>
      </c>
      <c r="I140" s="38">
        <v>43343.0</v>
      </c>
      <c r="J140" s="38">
        <v>44956.0</v>
      </c>
      <c r="K140" s="14" t="s">
        <v>786</v>
      </c>
      <c r="L140" s="14" t="s">
        <v>787</v>
      </c>
      <c r="M140" s="36">
        <v>22.0</v>
      </c>
      <c r="N140" s="14" t="s">
        <v>791</v>
      </c>
      <c r="O140" s="14" t="s">
        <v>798</v>
      </c>
      <c r="P140" s="14" t="s">
        <v>868</v>
      </c>
      <c r="Q140" s="14" t="s">
        <v>791</v>
      </c>
      <c r="R140" s="37"/>
      <c r="S140" s="14" t="s">
        <v>788</v>
      </c>
      <c r="T140" s="14" t="s">
        <v>788</v>
      </c>
      <c r="U140" s="14" t="s">
        <v>861</v>
      </c>
      <c r="V140" s="37"/>
      <c r="W140" s="37"/>
      <c r="X140" s="37"/>
      <c r="Y140" s="37"/>
      <c r="Z140" s="36">
        <v>109.0</v>
      </c>
      <c r="AA140" s="36">
        <v>600.0</v>
      </c>
      <c r="AB140" s="37"/>
      <c r="AC140" s="37"/>
      <c r="AD140" s="37"/>
      <c r="AE140" s="37"/>
      <c r="AF140" s="37"/>
      <c r="AG140" s="14" t="s">
        <v>1002</v>
      </c>
      <c r="AL140" s="37"/>
      <c r="AM140" s="37"/>
      <c r="AN140" s="14" t="s">
        <v>1414</v>
      </c>
    </row>
    <row r="141">
      <c r="A141" s="14" t="s">
        <v>1415</v>
      </c>
      <c r="B141" s="14" t="s">
        <v>781</v>
      </c>
      <c r="C141" s="14" t="s">
        <v>858</v>
      </c>
      <c r="D141" s="14" t="s">
        <v>859</v>
      </c>
      <c r="E141" s="36">
        <v>280.0</v>
      </c>
      <c r="F141" s="37"/>
      <c r="G141" s="14" t="s">
        <v>860</v>
      </c>
      <c r="H141" s="14" t="s">
        <v>68</v>
      </c>
      <c r="I141" s="38">
        <v>39798.0</v>
      </c>
      <c r="J141" s="38">
        <v>39798.0</v>
      </c>
      <c r="K141" s="14" t="s">
        <v>786</v>
      </c>
      <c r="L141" s="14" t="s">
        <v>787</v>
      </c>
      <c r="M141" s="36">
        <v>22.0</v>
      </c>
      <c r="N141" s="14" t="s">
        <v>791</v>
      </c>
      <c r="O141" s="14" t="s">
        <v>798</v>
      </c>
      <c r="P141" s="14" t="s">
        <v>799</v>
      </c>
      <c r="Q141" s="14" t="s">
        <v>791</v>
      </c>
      <c r="R141" s="37"/>
      <c r="S141" s="14" t="s">
        <v>788</v>
      </c>
      <c r="T141" s="14" t="s">
        <v>788</v>
      </c>
      <c r="U141" s="14" t="s">
        <v>1285</v>
      </c>
      <c r="V141" s="37"/>
      <c r="W141" s="37"/>
      <c r="X141" s="37"/>
      <c r="Y141" s="37"/>
      <c r="Z141" s="36">
        <v>57.0</v>
      </c>
      <c r="AA141" s="14" t="s">
        <v>1058</v>
      </c>
      <c r="AB141" s="37"/>
      <c r="AC141" s="37"/>
      <c r="AD141" s="37"/>
      <c r="AE141" s="37"/>
      <c r="AF141" s="37"/>
      <c r="AG141" s="14" t="s">
        <v>1416</v>
      </c>
      <c r="AL141" s="37"/>
      <c r="AM141" s="37"/>
      <c r="AN141" s="14" t="s">
        <v>1417</v>
      </c>
    </row>
    <row r="142">
      <c r="A142" s="14" t="s">
        <v>1418</v>
      </c>
      <c r="B142" s="14" t="s">
        <v>781</v>
      </c>
      <c r="C142" s="14" t="s">
        <v>1419</v>
      </c>
      <c r="D142" s="14" t="s">
        <v>1041</v>
      </c>
      <c r="E142" s="36">
        <v>617.0</v>
      </c>
      <c r="F142" s="14" t="s">
        <v>1042</v>
      </c>
      <c r="G142" s="14" t="s">
        <v>987</v>
      </c>
      <c r="H142" s="14" t="s">
        <v>103</v>
      </c>
      <c r="I142" s="38">
        <v>8185.0</v>
      </c>
      <c r="J142" s="38">
        <v>37425.0</v>
      </c>
      <c r="K142" s="14" t="s">
        <v>786</v>
      </c>
      <c r="L142" s="14" t="s">
        <v>787</v>
      </c>
      <c r="M142" s="36">
        <v>22.0</v>
      </c>
      <c r="N142" s="14" t="s">
        <v>791</v>
      </c>
      <c r="O142" s="14" t="s">
        <v>798</v>
      </c>
      <c r="P142" s="14" t="s">
        <v>853</v>
      </c>
      <c r="Q142" s="14" t="s">
        <v>791</v>
      </c>
      <c r="R142" s="37"/>
      <c r="S142" s="14" t="s">
        <v>788</v>
      </c>
      <c r="T142" s="14" t="s">
        <v>788</v>
      </c>
      <c r="U142" s="14" t="s">
        <v>800</v>
      </c>
      <c r="V142" s="37"/>
      <c r="W142" s="37"/>
      <c r="X142" s="37"/>
      <c r="Y142" s="37"/>
      <c r="Z142" s="36">
        <v>109.0</v>
      </c>
      <c r="AA142" s="36">
        <v>40.0</v>
      </c>
      <c r="AB142" s="37"/>
      <c r="AC142" s="37"/>
      <c r="AD142" s="37"/>
      <c r="AE142" s="37"/>
      <c r="AF142" s="37"/>
      <c r="AG142" s="14" t="s">
        <v>1420</v>
      </c>
      <c r="AN142" s="14" t="s">
        <v>1421</v>
      </c>
    </row>
    <row r="143">
      <c r="A143" s="14" t="s">
        <v>1422</v>
      </c>
      <c r="B143" s="14" t="s">
        <v>781</v>
      </c>
      <c r="C143" s="14" t="s">
        <v>1423</v>
      </c>
      <c r="D143" s="14" t="s">
        <v>1424</v>
      </c>
      <c r="E143" s="36">
        <v>210.0</v>
      </c>
      <c r="F143" s="37"/>
      <c r="G143" s="14" t="s">
        <v>1425</v>
      </c>
      <c r="H143" s="14" t="s">
        <v>890</v>
      </c>
      <c r="I143" s="38">
        <v>17348.0</v>
      </c>
      <c r="J143" s="38">
        <v>37141.0</v>
      </c>
      <c r="K143" s="14" t="s">
        <v>786</v>
      </c>
      <c r="L143" s="14" t="s">
        <v>787</v>
      </c>
      <c r="M143" s="36">
        <v>22.0</v>
      </c>
      <c r="N143" s="14" t="s">
        <v>791</v>
      </c>
      <c r="O143" s="14" t="s">
        <v>798</v>
      </c>
      <c r="P143" s="14" t="s">
        <v>790</v>
      </c>
      <c r="Q143" s="14" t="s">
        <v>791</v>
      </c>
      <c r="R143" s="37"/>
      <c r="S143" s="14" t="s">
        <v>788</v>
      </c>
      <c r="T143" s="14" t="s">
        <v>788</v>
      </c>
      <c r="U143" s="14" t="s">
        <v>1117</v>
      </c>
      <c r="V143" s="37"/>
      <c r="W143" s="37"/>
      <c r="X143" s="37"/>
      <c r="Y143" s="37"/>
      <c r="Z143" s="36">
        <v>97.0</v>
      </c>
      <c r="AA143" s="36">
        <v>40.0</v>
      </c>
      <c r="AB143" s="37"/>
      <c r="AC143" s="37"/>
      <c r="AD143" s="37"/>
      <c r="AE143" s="37"/>
      <c r="AF143" s="37"/>
      <c r="AG143" s="14" t="s">
        <v>1426</v>
      </c>
      <c r="AL143" s="37"/>
      <c r="AM143" s="37"/>
      <c r="AN143" s="14" t="s">
        <v>1427</v>
      </c>
    </row>
    <row r="144">
      <c r="A144" s="14" t="s">
        <v>1428</v>
      </c>
      <c r="B144" s="14" t="s">
        <v>781</v>
      </c>
      <c r="C144" s="14" t="s">
        <v>967</v>
      </c>
      <c r="D144" s="14" t="s">
        <v>968</v>
      </c>
      <c r="E144" s="36">
        <v>610.0</v>
      </c>
      <c r="F144" s="14" t="s">
        <v>969</v>
      </c>
      <c r="G144" s="14" t="s">
        <v>954</v>
      </c>
      <c r="H144" s="14" t="s">
        <v>20</v>
      </c>
      <c r="I144" s="38">
        <v>24202.0</v>
      </c>
      <c r="J144" s="38">
        <v>45705.0</v>
      </c>
      <c r="K144" s="14" t="s">
        <v>786</v>
      </c>
      <c r="L144" s="14" t="s">
        <v>787</v>
      </c>
      <c r="M144" s="36">
        <v>22.0</v>
      </c>
      <c r="N144" s="14" t="s">
        <v>791</v>
      </c>
      <c r="O144" s="14" t="s">
        <v>798</v>
      </c>
      <c r="P144" s="14" t="s">
        <v>799</v>
      </c>
      <c r="Q144" s="14" t="s">
        <v>791</v>
      </c>
      <c r="R144" s="37"/>
      <c r="S144" s="14" t="s">
        <v>788</v>
      </c>
      <c r="T144" s="14" t="s">
        <v>788</v>
      </c>
      <c r="U144" s="14" t="s">
        <v>1429</v>
      </c>
      <c r="V144" s="37"/>
      <c r="W144" s="37"/>
      <c r="X144" s="37"/>
      <c r="Y144" s="37"/>
      <c r="Z144" s="36">
        <v>81.0</v>
      </c>
      <c r="AA144" s="14" t="s">
        <v>1058</v>
      </c>
      <c r="AB144" s="37"/>
      <c r="AC144" s="37"/>
      <c r="AD144" s="37"/>
      <c r="AE144" s="37"/>
      <c r="AF144" s="37"/>
      <c r="AG144" s="14" t="s">
        <v>1430</v>
      </c>
      <c r="AL144" s="37"/>
      <c r="AM144" s="37"/>
      <c r="AN144" s="14" t="s">
        <v>1431</v>
      </c>
    </row>
    <row r="145">
      <c r="A145" s="14" t="s">
        <v>1432</v>
      </c>
      <c r="B145" s="14" t="s">
        <v>781</v>
      </c>
      <c r="C145" s="14" t="s">
        <v>914</v>
      </c>
      <c r="D145" s="14" t="s">
        <v>915</v>
      </c>
      <c r="E145" s="36">
        <v>146.0</v>
      </c>
      <c r="F145" s="37"/>
      <c r="G145" s="14" t="s">
        <v>807</v>
      </c>
      <c r="H145" s="14" t="s">
        <v>20</v>
      </c>
      <c r="I145" s="38">
        <v>13656.0</v>
      </c>
      <c r="J145" s="38">
        <v>45016.0</v>
      </c>
      <c r="K145" s="14" t="s">
        <v>786</v>
      </c>
      <c r="L145" s="14" t="s">
        <v>787</v>
      </c>
      <c r="M145" s="36">
        <v>22.0</v>
      </c>
      <c r="N145" s="14" t="s">
        <v>791</v>
      </c>
      <c r="O145" s="14" t="s">
        <v>798</v>
      </c>
      <c r="P145" s="14" t="s">
        <v>799</v>
      </c>
      <c r="Q145" s="14" t="s">
        <v>791</v>
      </c>
      <c r="R145" s="37"/>
      <c r="S145" s="14" t="s">
        <v>788</v>
      </c>
      <c r="T145" s="14" t="s">
        <v>788</v>
      </c>
      <c r="U145" s="14" t="s">
        <v>916</v>
      </c>
      <c r="W145" s="37"/>
      <c r="X145" s="37"/>
      <c r="Y145" s="37"/>
      <c r="Z145" s="36">
        <v>112.0</v>
      </c>
      <c r="AA145" s="36">
        <v>800.0</v>
      </c>
      <c r="AB145" s="37"/>
      <c r="AC145" s="37"/>
      <c r="AD145" s="37"/>
      <c r="AE145" s="37"/>
      <c r="AF145" s="37"/>
      <c r="AG145" s="14" t="s">
        <v>1433</v>
      </c>
      <c r="AM145" s="37"/>
      <c r="AN145" s="14" t="s">
        <v>1434</v>
      </c>
    </row>
    <row r="146">
      <c r="A146" s="14" t="s">
        <v>1435</v>
      </c>
      <c r="B146" s="14" t="s">
        <v>781</v>
      </c>
      <c r="C146" s="14" t="s">
        <v>1436</v>
      </c>
      <c r="D146" s="14" t="s">
        <v>1437</v>
      </c>
      <c r="E146" s="36">
        <v>635.0</v>
      </c>
      <c r="F146" s="14" t="s">
        <v>961</v>
      </c>
      <c r="G146" s="14" t="s">
        <v>1028</v>
      </c>
      <c r="H146" s="14" t="s">
        <v>20</v>
      </c>
      <c r="I146" s="38">
        <v>30864.0</v>
      </c>
      <c r="J146" s="38">
        <v>41471.0</v>
      </c>
      <c r="K146" s="14" t="s">
        <v>786</v>
      </c>
      <c r="L146" s="14" t="s">
        <v>787</v>
      </c>
      <c r="M146" s="36">
        <v>22.0</v>
      </c>
      <c r="N146" s="14" t="s">
        <v>791</v>
      </c>
      <c r="O146" s="14" t="s">
        <v>798</v>
      </c>
      <c r="P146" s="14" t="s">
        <v>799</v>
      </c>
      <c r="Q146" s="14" t="s">
        <v>791</v>
      </c>
      <c r="R146" s="37"/>
      <c r="S146" s="14" t="s">
        <v>788</v>
      </c>
      <c r="T146" s="14" t="s">
        <v>788</v>
      </c>
      <c r="U146" s="14" t="s">
        <v>1438</v>
      </c>
      <c r="V146" s="37"/>
      <c r="W146" s="37"/>
      <c r="X146" s="37"/>
      <c r="Y146" s="37"/>
      <c r="Z146" s="36">
        <v>104.0</v>
      </c>
      <c r="AA146" s="14" t="s">
        <v>1058</v>
      </c>
      <c r="AB146" s="37"/>
      <c r="AC146" s="37"/>
      <c r="AD146" s="37"/>
      <c r="AE146" s="37"/>
      <c r="AF146" s="37"/>
      <c r="AG146" s="14" t="s">
        <v>1439</v>
      </c>
      <c r="AM146" s="37"/>
      <c r="AN146" s="14" t="s">
        <v>1440</v>
      </c>
    </row>
    <row r="147">
      <c r="A147" s="14" t="s">
        <v>1441</v>
      </c>
      <c r="B147" s="14" t="s">
        <v>781</v>
      </c>
      <c r="C147" s="14" t="s">
        <v>1442</v>
      </c>
      <c r="D147" s="14" t="s">
        <v>1443</v>
      </c>
      <c r="E147" s="36">
        <v>619.0</v>
      </c>
      <c r="F147" s="14" t="s">
        <v>1444</v>
      </c>
      <c r="G147" s="14" t="s">
        <v>846</v>
      </c>
      <c r="H147" s="14" t="s">
        <v>20</v>
      </c>
      <c r="I147" s="38">
        <v>41177.0</v>
      </c>
      <c r="J147" s="38">
        <v>41177.0</v>
      </c>
      <c r="K147" s="14" t="s">
        <v>786</v>
      </c>
      <c r="L147" s="14" t="s">
        <v>787</v>
      </c>
      <c r="M147" s="36">
        <v>22.0</v>
      </c>
      <c r="N147" s="14" t="s">
        <v>791</v>
      </c>
      <c r="O147" s="14" t="s">
        <v>798</v>
      </c>
      <c r="P147" s="14" t="s">
        <v>853</v>
      </c>
      <c r="Q147" s="14" t="s">
        <v>791</v>
      </c>
      <c r="R147" s="37"/>
      <c r="S147" s="14" t="s">
        <v>788</v>
      </c>
      <c r="T147" s="14" t="s">
        <v>788</v>
      </c>
      <c r="U147" s="14" t="s">
        <v>1445</v>
      </c>
      <c r="V147" s="37"/>
      <c r="W147" s="37"/>
      <c r="X147" s="37"/>
      <c r="Y147" s="37"/>
      <c r="Z147" s="36">
        <v>93.0</v>
      </c>
      <c r="AA147" s="14" t="s">
        <v>1339</v>
      </c>
      <c r="AB147" s="37"/>
      <c r="AC147" s="37"/>
      <c r="AD147" s="37"/>
      <c r="AE147" s="37"/>
      <c r="AF147" s="37"/>
      <c r="AG147" s="14" t="s">
        <v>1446</v>
      </c>
      <c r="AM147" s="37"/>
      <c r="AN147" s="14" t="s">
        <v>1447</v>
      </c>
    </row>
    <row r="148">
      <c r="A148" s="14" t="s">
        <v>1448</v>
      </c>
      <c r="B148" s="14" t="s">
        <v>781</v>
      </c>
      <c r="C148" s="14" t="s">
        <v>1401</v>
      </c>
      <c r="D148" s="14" t="s">
        <v>1402</v>
      </c>
      <c r="E148" s="36">
        <v>238.0</v>
      </c>
      <c r="F148" s="37"/>
      <c r="G148" s="14" t="s">
        <v>846</v>
      </c>
      <c r="H148" s="14" t="s">
        <v>103</v>
      </c>
      <c r="I148" s="38">
        <v>36179.0</v>
      </c>
      <c r="J148" s="38">
        <v>46038.0</v>
      </c>
      <c r="K148" s="14" t="s">
        <v>786</v>
      </c>
      <c r="L148" s="14" t="s">
        <v>787</v>
      </c>
      <c r="M148" s="36">
        <v>22.0</v>
      </c>
      <c r="N148" s="14" t="s">
        <v>791</v>
      </c>
      <c r="O148" s="14" t="s">
        <v>798</v>
      </c>
      <c r="P148" s="14" t="s">
        <v>799</v>
      </c>
      <c r="Q148" s="14" t="s">
        <v>791</v>
      </c>
      <c r="R148" s="37"/>
      <c r="S148" s="14" t="s">
        <v>788</v>
      </c>
      <c r="T148" s="14" t="s">
        <v>788</v>
      </c>
      <c r="U148" s="14" t="s">
        <v>861</v>
      </c>
      <c r="V148" s="37"/>
      <c r="W148" s="37"/>
      <c r="X148" s="37"/>
      <c r="Y148" s="37"/>
      <c r="Z148" s="36">
        <v>166.0</v>
      </c>
      <c r="AA148" s="36">
        <v>32.0</v>
      </c>
      <c r="AB148" s="37"/>
      <c r="AC148" s="37"/>
      <c r="AD148" s="37"/>
      <c r="AE148" s="37"/>
      <c r="AF148" s="37"/>
      <c r="AG148" s="14" t="s">
        <v>1449</v>
      </c>
      <c r="AK148" s="37"/>
      <c r="AL148" s="37"/>
      <c r="AM148" s="37"/>
      <c r="AN148" s="14" t="s">
        <v>1450</v>
      </c>
    </row>
    <row r="149">
      <c r="A149" s="14" t="s">
        <v>1451</v>
      </c>
      <c r="B149" s="14" t="s">
        <v>781</v>
      </c>
      <c r="C149" s="14" t="s">
        <v>820</v>
      </c>
      <c r="D149" s="14" t="s">
        <v>821</v>
      </c>
      <c r="E149" s="36">
        <v>222.0</v>
      </c>
      <c r="F149" s="37"/>
      <c r="G149" s="14" t="s">
        <v>822</v>
      </c>
      <c r="H149" s="14" t="s">
        <v>20</v>
      </c>
      <c r="I149" s="38">
        <v>32782.0</v>
      </c>
      <c r="J149" s="38">
        <v>39379.0</v>
      </c>
      <c r="K149" s="14" t="s">
        <v>786</v>
      </c>
      <c r="L149" s="14" t="s">
        <v>787</v>
      </c>
      <c r="M149" s="36">
        <v>22.0</v>
      </c>
      <c r="N149" s="14" t="s">
        <v>791</v>
      </c>
      <c r="O149" s="14" t="s">
        <v>798</v>
      </c>
      <c r="P149" s="14" t="s">
        <v>799</v>
      </c>
      <c r="Q149" s="14" t="s">
        <v>791</v>
      </c>
      <c r="R149" s="37"/>
      <c r="S149" s="14" t="s">
        <v>788</v>
      </c>
      <c r="T149" s="14" t="s">
        <v>788</v>
      </c>
      <c r="U149" s="14" t="s">
        <v>902</v>
      </c>
      <c r="V149" s="37"/>
      <c r="W149" s="37"/>
      <c r="X149" s="37"/>
      <c r="Y149" s="37"/>
      <c r="Z149" s="36">
        <v>56.0</v>
      </c>
      <c r="AA149" s="36">
        <v>40.0</v>
      </c>
      <c r="AB149" s="37"/>
      <c r="AC149" s="37"/>
      <c r="AD149" s="37"/>
      <c r="AE149" s="37"/>
      <c r="AF149" s="37"/>
      <c r="AG149" s="14" t="s">
        <v>903</v>
      </c>
      <c r="AK149" s="37"/>
      <c r="AL149" s="37"/>
      <c r="AM149" s="37"/>
      <c r="AN149" s="14" t="s">
        <v>1452</v>
      </c>
    </row>
    <row r="150">
      <c r="A150" s="14" t="s">
        <v>1453</v>
      </c>
      <c r="B150" s="14" t="s">
        <v>781</v>
      </c>
      <c r="C150" s="14" t="s">
        <v>795</v>
      </c>
      <c r="D150" s="14" t="s">
        <v>796</v>
      </c>
      <c r="E150" s="36">
        <v>471.0</v>
      </c>
      <c r="F150" s="37"/>
      <c r="G150" s="14" t="s">
        <v>797</v>
      </c>
      <c r="H150" s="14" t="s">
        <v>20</v>
      </c>
      <c r="I150" s="38">
        <v>42260.0</v>
      </c>
      <c r="J150" s="38">
        <v>42260.0</v>
      </c>
      <c r="K150" s="14" t="s">
        <v>786</v>
      </c>
      <c r="L150" s="14" t="s">
        <v>787</v>
      </c>
      <c r="M150" s="36">
        <v>22.0</v>
      </c>
      <c r="N150" s="14" t="s">
        <v>791</v>
      </c>
      <c r="O150" s="14" t="s">
        <v>798</v>
      </c>
      <c r="P150" s="14" t="s">
        <v>799</v>
      </c>
      <c r="Q150" s="14" t="s">
        <v>791</v>
      </c>
      <c r="R150" s="37"/>
      <c r="S150" s="14" t="s">
        <v>791</v>
      </c>
      <c r="T150" s="14" t="s">
        <v>791</v>
      </c>
      <c r="U150" s="14" t="s">
        <v>1021</v>
      </c>
      <c r="V150" s="37"/>
      <c r="W150" s="37"/>
      <c r="X150" s="37"/>
      <c r="Y150" s="37"/>
      <c r="Z150" s="36">
        <v>55.0</v>
      </c>
      <c r="AA150" s="36">
        <v>24.0</v>
      </c>
      <c r="AB150" s="37"/>
      <c r="AC150" s="37"/>
      <c r="AD150" s="37"/>
      <c r="AE150" s="37"/>
      <c r="AF150" s="37"/>
      <c r="AG150" s="14" t="s">
        <v>801</v>
      </c>
      <c r="AL150" s="37"/>
      <c r="AM150" s="37"/>
      <c r="AN150" s="14" t="s">
        <v>1454</v>
      </c>
    </row>
    <row r="151">
      <c r="A151" s="14" t="s">
        <v>1455</v>
      </c>
      <c r="B151" s="14" t="s">
        <v>781</v>
      </c>
      <c r="C151" s="14" t="s">
        <v>967</v>
      </c>
      <c r="D151" s="14" t="s">
        <v>968</v>
      </c>
      <c r="E151" s="36">
        <v>610.0</v>
      </c>
      <c r="F151" s="14" t="s">
        <v>969</v>
      </c>
      <c r="G151" s="14" t="s">
        <v>954</v>
      </c>
      <c r="H151" s="14" t="s">
        <v>20</v>
      </c>
      <c r="I151" s="38">
        <v>32690.0</v>
      </c>
      <c r="J151" s="38">
        <v>43987.0</v>
      </c>
      <c r="K151" s="14" t="s">
        <v>786</v>
      </c>
      <c r="L151" s="14" t="s">
        <v>787</v>
      </c>
      <c r="M151" s="36">
        <v>22.0</v>
      </c>
      <c r="N151" s="14" t="s">
        <v>791</v>
      </c>
      <c r="O151" s="14" t="s">
        <v>798</v>
      </c>
      <c r="P151" s="14" t="s">
        <v>853</v>
      </c>
      <c r="Q151" s="14" t="s">
        <v>791</v>
      </c>
      <c r="R151" s="37"/>
      <c r="S151" s="14" t="s">
        <v>791</v>
      </c>
      <c r="T151" s="14" t="s">
        <v>788</v>
      </c>
      <c r="U151" s="14" t="s">
        <v>973</v>
      </c>
      <c r="V151" s="37"/>
      <c r="W151" s="37"/>
      <c r="X151" s="37"/>
      <c r="Y151" s="37"/>
      <c r="Z151" s="36">
        <v>77.0</v>
      </c>
      <c r="AA151" s="36">
        <v>40.0</v>
      </c>
      <c r="AB151" s="37"/>
      <c r="AC151" s="37"/>
      <c r="AD151" s="37"/>
      <c r="AE151" s="37"/>
      <c r="AF151" s="37"/>
      <c r="AG151" s="14" t="s">
        <v>1456</v>
      </c>
      <c r="AL151" s="37"/>
      <c r="AM151" s="37"/>
      <c r="AN151" s="14" t="s">
        <v>1457</v>
      </c>
    </row>
    <row r="152">
      <c r="A152" s="14" t="s">
        <v>1458</v>
      </c>
      <c r="B152" s="14" t="s">
        <v>781</v>
      </c>
      <c r="C152" s="14" t="s">
        <v>1214</v>
      </c>
      <c r="D152" s="14" t="s">
        <v>1215</v>
      </c>
      <c r="E152" s="36">
        <v>198.0</v>
      </c>
      <c r="F152" s="37"/>
      <c r="G152" s="14" t="s">
        <v>1216</v>
      </c>
      <c r="H152" s="14" t="s">
        <v>68</v>
      </c>
      <c r="I152" s="37"/>
      <c r="J152" s="38">
        <v>40862.0</v>
      </c>
      <c r="K152" s="14" t="s">
        <v>786</v>
      </c>
      <c r="L152" s="14" t="s">
        <v>787</v>
      </c>
      <c r="M152" s="36">
        <v>22.0</v>
      </c>
      <c r="N152" s="14" t="s">
        <v>788</v>
      </c>
      <c r="O152" s="14" t="s">
        <v>789</v>
      </c>
      <c r="P152" s="14" t="s">
        <v>790</v>
      </c>
      <c r="Q152" s="14" t="s">
        <v>791</v>
      </c>
      <c r="R152" s="37"/>
      <c r="S152" s="14" t="s">
        <v>788</v>
      </c>
      <c r="T152" s="14" t="s">
        <v>788</v>
      </c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14" t="s">
        <v>1459</v>
      </c>
      <c r="AM152" s="37"/>
      <c r="AN152" s="14" t="s">
        <v>1460</v>
      </c>
    </row>
    <row r="153">
      <c r="A153" s="14" t="s">
        <v>1461</v>
      </c>
      <c r="B153" s="14" t="s">
        <v>781</v>
      </c>
      <c r="C153" s="14" t="s">
        <v>1462</v>
      </c>
      <c r="D153" s="14" t="s">
        <v>1463</v>
      </c>
      <c r="E153" s="36">
        <v>604.0</v>
      </c>
      <c r="F153" s="14" t="s">
        <v>1464</v>
      </c>
      <c r="G153" s="14" t="s">
        <v>1425</v>
      </c>
      <c r="H153" s="14" t="s">
        <v>890</v>
      </c>
      <c r="I153" s="38">
        <v>22555.0</v>
      </c>
      <c r="J153" s="38">
        <v>45738.0</v>
      </c>
      <c r="K153" s="14" t="s">
        <v>786</v>
      </c>
      <c r="L153" s="14" t="s">
        <v>787</v>
      </c>
      <c r="M153" s="36">
        <v>22.0</v>
      </c>
      <c r="N153" s="14" t="s">
        <v>791</v>
      </c>
      <c r="O153" s="14" t="s">
        <v>798</v>
      </c>
      <c r="P153" s="14" t="s">
        <v>799</v>
      </c>
      <c r="Q153" s="14" t="s">
        <v>791</v>
      </c>
      <c r="R153" s="37"/>
      <c r="S153" s="14" t="s">
        <v>788</v>
      </c>
      <c r="T153" s="14" t="s">
        <v>788</v>
      </c>
      <c r="U153" s="14" t="s">
        <v>1465</v>
      </c>
      <c r="V153" s="37"/>
      <c r="W153" s="37"/>
      <c r="X153" s="37"/>
      <c r="Y153" s="37"/>
      <c r="Z153" s="36">
        <v>119.0</v>
      </c>
      <c r="AA153" s="14" t="s">
        <v>1058</v>
      </c>
      <c r="AB153" s="37"/>
      <c r="AC153" s="37"/>
      <c r="AD153" s="37"/>
      <c r="AE153" s="37"/>
      <c r="AF153" s="37"/>
      <c r="AG153" s="14" t="s">
        <v>1466</v>
      </c>
      <c r="AL153" s="37"/>
      <c r="AM153" s="37"/>
      <c r="AN153" s="14" t="s">
        <v>1467</v>
      </c>
    </row>
    <row r="154">
      <c r="A154" s="14" t="s">
        <v>1468</v>
      </c>
      <c r="B154" s="14" t="s">
        <v>781</v>
      </c>
      <c r="C154" s="14" t="s">
        <v>873</v>
      </c>
      <c r="D154" s="14" t="s">
        <v>874</v>
      </c>
      <c r="E154" s="36">
        <v>279.0</v>
      </c>
      <c r="F154" s="37"/>
      <c r="G154" s="14" t="s">
        <v>860</v>
      </c>
      <c r="H154" s="14" t="s">
        <v>68</v>
      </c>
      <c r="I154" s="38">
        <v>32478.0</v>
      </c>
      <c r="J154" s="38">
        <v>45676.0</v>
      </c>
      <c r="K154" s="14" t="s">
        <v>786</v>
      </c>
      <c r="L154" s="14" t="s">
        <v>787</v>
      </c>
      <c r="M154" s="36">
        <v>22.0</v>
      </c>
      <c r="N154" s="14" t="s">
        <v>791</v>
      </c>
      <c r="O154" s="14" t="s">
        <v>798</v>
      </c>
      <c r="P154" s="37"/>
      <c r="Q154" s="14" t="s">
        <v>791</v>
      </c>
      <c r="R154" s="37"/>
      <c r="S154" s="14" t="s">
        <v>788</v>
      </c>
      <c r="T154" s="14" t="s">
        <v>788</v>
      </c>
      <c r="U154" s="14" t="s">
        <v>1469</v>
      </c>
      <c r="V154" s="37"/>
      <c r="W154" s="37"/>
      <c r="X154" s="37"/>
      <c r="Y154" s="37"/>
      <c r="Z154" s="36">
        <v>53.0</v>
      </c>
      <c r="AA154" s="14" t="s">
        <v>1058</v>
      </c>
      <c r="AB154" s="37"/>
      <c r="AC154" s="37"/>
      <c r="AD154" s="37"/>
      <c r="AE154" s="37"/>
      <c r="AF154" s="37"/>
      <c r="AG154" s="14" t="s">
        <v>1470</v>
      </c>
      <c r="AL154" s="37"/>
      <c r="AM154" s="37"/>
      <c r="AN154" s="14" t="s">
        <v>1471</v>
      </c>
    </row>
    <row r="155">
      <c r="A155" s="14" t="s">
        <v>1472</v>
      </c>
      <c r="B155" s="14" t="s">
        <v>781</v>
      </c>
      <c r="C155" s="14" t="s">
        <v>850</v>
      </c>
      <c r="D155" s="14" t="s">
        <v>851</v>
      </c>
      <c r="E155" s="36">
        <v>621.0</v>
      </c>
      <c r="F155" s="14" t="s">
        <v>852</v>
      </c>
      <c r="G155" s="14" t="s">
        <v>807</v>
      </c>
      <c r="H155" s="14" t="s">
        <v>103</v>
      </c>
      <c r="I155" s="38">
        <v>17715.0</v>
      </c>
      <c r="J155" s="38">
        <v>34950.0</v>
      </c>
      <c r="K155" s="14" t="s">
        <v>786</v>
      </c>
      <c r="L155" s="14" t="s">
        <v>787</v>
      </c>
      <c r="M155" s="36">
        <v>22.0</v>
      </c>
      <c r="N155" s="14" t="s">
        <v>791</v>
      </c>
      <c r="O155" s="14" t="s">
        <v>798</v>
      </c>
      <c r="P155" s="14" t="s">
        <v>853</v>
      </c>
      <c r="Q155" s="14" t="s">
        <v>791</v>
      </c>
      <c r="R155" s="37"/>
      <c r="S155" s="14" t="s">
        <v>791</v>
      </c>
      <c r="T155" s="14" t="s">
        <v>788</v>
      </c>
      <c r="U155" s="14" t="s">
        <v>854</v>
      </c>
      <c r="V155" s="37"/>
      <c r="W155" s="37"/>
      <c r="X155" s="37"/>
      <c r="Y155" s="37"/>
      <c r="Z155" s="36">
        <v>150.0</v>
      </c>
      <c r="AA155" s="36">
        <v>32.0</v>
      </c>
      <c r="AB155" s="37"/>
      <c r="AC155" s="37"/>
      <c r="AD155" s="37"/>
      <c r="AE155" s="37"/>
      <c r="AF155" s="37"/>
      <c r="AG155" s="14" t="s">
        <v>1473</v>
      </c>
      <c r="AN155" s="14" t="s">
        <v>1474</v>
      </c>
    </row>
    <row r="156">
      <c r="A156" s="14" t="s">
        <v>1475</v>
      </c>
      <c r="B156" s="14" t="s">
        <v>781</v>
      </c>
      <c r="C156" s="14" t="s">
        <v>873</v>
      </c>
      <c r="D156" s="14" t="s">
        <v>874</v>
      </c>
      <c r="E156" s="36">
        <v>279.0</v>
      </c>
      <c r="F156" s="37"/>
      <c r="G156" s="14" t="s">
        <v>860</v>
      </c>
      <c r="H156" s="14" t="s">
        <v>68</v>
      </c>
      <c r="I156" s="38">
        <v>32478.0</v>
      </c>
      <c r="J156" s="38">
        <v>45676.0</v>
      </c>
      <c r="K156" s="14" t="s">
        <v>786</v>
      </c>
      <c r="L156" s="14" t="s">
        <v>787</v>
      </c>
      <c r="M156" s="36">
        <v>22.0</v>
      </c>
      <c r="N156" s="14" t="s">
        <v>791</v>
      </c>
      <c r="O156" s="14" t="s">
        <v>798</v>
      </c>
      <c r="P156" s="37"/>
      <c r="Q156" s="14" t="s">
        <v>791</v>
      </c>
      <c r="R156" s="37"/>
      <c r="S156" s="14" t="s">
        <v>788</v>
      </c>
      <c r="T156" s="14" t="s">
        <v>788</v>
      </c>
      <c r="U156" s="14" t="s">
        <v>1469</v>
      </c>
      <c r="V156" s="37"/>
      <c r="W156" s="37"/>
      <c r="X156" s="37"/>
      <c r="Y156" s="37"/>
      <c r="Z156" s="36">
        <v>53.0</v>
      </c>
      <c r="AA156" s="14" t="s">
        <v>1058</v>
      </c>
      <c r="AB156" s="37"/>
      <c r="AC156" s="37"/>
      <c r="AD156" s="37"/>
      <c r="AE156" s="37"/>
      <c r="AF156" s="37"/>
      <c r="AG156" s="14" t="s">
        <v>1476</v>
      </c>
      <c r="AN156" s="14" t="s">
        <v>1477</v>
      </c>
    </row>
    <row r="157">
      <c r="A157" s="14" t="s">
        <v>1478</v>
      </c>
      <c r="B157" s="14" t="s">
        <v>781</v>
      </c>
      <c r="C157" s="14" t="s">
        <v>858</v>
      </c>
      <c r="D157" s="14" t="s">
        <v>859</v>
      </c>
      <c r="E157" s="36">
        <v>280.0</v>
      </c>
      <c r="F157" s="37"/>
      <c r="G157" s="14" t="s">
        <v>860</v>
      </c>
      <c r="H157" s="14" t="s">
        <v>68</v>
      </c>
      <c r="I157" s="38">
        <v>39798.0</v>
      </c>
      <c r="J157" s="38">
        <v>39798.0</v>
      </c>
      <c r="K157" s="14" t="s">
        <v>786</v>
      </c>
      <c r="L157" s="14" t="s">
        <v>787</v>
      </c>
      <c r="M157" s="36">
        <v>22.0</v>
      </c>
      <c r="N157" s="14" t="s">
        <v>791</v>
      </c>
      <c r="O157" s="14" t="s">
        <v>798</v>
      </c>
      <c r="P157" s="14" t="s">
        <v>799</v>
      </c>
      <c r="Q157" s="14" t="s">
        <v>791</v>
      </c>
      <c r="R157" s="37"/>
      <c r="S157" s="14" t="s">
        <v>788</v>
      </c>
      <c r="T157" s="14" t="s">
        <v>788</v>
      </c>
      <c r="U157" s="14" t="s">
        <v>1285</v>
      </c>
      <c r="V157" s="37"/>
      <c r="W157" s="37"/>
      <c r="X157" s="37"/>
      <c r="Y157" s="37"/>
      <c r="Z157" s="36">
        <v>57.0</v>
      </c>
      <c r="AA157" s="14" t="s">
        <v>1058</v>
      </c>
      <c r="AB157" s="37"/>
      <c r="AC157" s="37"/>
      <c r="AD157" s="37"/>
      <c r="AE157" s="37"/>
      <c r="AF157" s="37"/>
      <c r="AG157" s="14" t="s">
        <v>1479</v>
      </c>
      <c r="AL157" s="37"/>
      <c r="AM157" s="37"/>
      <c r="AN157" s="14" t="s">
        <v>1480</v>
      </c>
    </row>
    <row r="158">
      <c r="A158" s="14" t="s">
        <v>1481</v>
      </c>
      <c r="B158" s="14" t="s">
        <v>781</v>
      </c>
      <c r="C158" s="14" t="s">
        <v>1011</v>
      </c>
      <c r="D158" s="14" t="s">
        <v>1012</v>
      </c>
      <c r="E158" s="36">
        <v>476.0</v>
      </c>
      <c r="F158" s="37"/>
      <c r="G158" s="14" t="s">
        <v>814</v>
      </c>
      <c r="H158" s="14" t="s">
        <v>20</v>
      </c>
      <c r="I158" s="38">
        <v>42736.0</v>
      </c>
      <c r="J158" s="38">
        <v>42736.0</v>
      </c>
      <c r="K158" s="14" t="s">
        <v>786</v>
      </c>
      <c r="L158" s="14" t="s">
        <v>787</v>
      </c>
      <c r="M158" s="36">
        <v>22.0</v>
      </c>
      <c r="N158" s="14" t="s">
        <v>791</v>
      </c>
      <c r="O158" s="14" t="s">
        <v>798</v>
      </c>
      <c r="P158" s="14" t="s">
        <v>799</v>
      </c>
      <c r="Q158" s="14" t="s">
        <v>791</v>
      </c>
      <c r="R158" s="37"/>
      <c r="S158" s="14" t="s">
        <v>788</v>
      </c>
      <c r="T158" s="14" t="s">
        <v>788</v>
      </c>
      <c r="U158" s="14" t="s">
        <v>1482</v>
      </c>
      <c r="W158" s="37"/>
      <c r="X158" s="37"/>
      <c r="Y158" s="37"/>
      <c r="Z158" s="36">
        <v>75.0</v>
      </c>
      <c r="AA158" s="14" t="s">
        <v>963</v>
      </c>
      <c r="AC158" s="37"/>
      <c r="AD158" s="37"/>
      <c r="AE158" s="37"/>
      <c r="AF158" s="37"/>
      <c r="AG158" s="14" t="s">
        <v>1018</v>
      </c>
      <c r="AJ158" s="37"/>
      <c r="AK158" s="37"/>
      <c r="AL158" s="37"/>
      <c r="AM158" s="37"/>
      <c r="AN158" s="14" t="s">
        <v>1483</v>
      </c>
    </row>
    <row r="159">
      <c r="A159" s="14" t="s">
        <v>1484</v>
      </c>
      <c r="B159" s="14" t="s">
        <v>781</v>
      </c>
      <c r="C159" s="14" t="s">
        <v>1051</v>
      </c>
      <c r="D159" s="14" t="s">
        <v>1052</v>
      </c>
      <c r="E159" s="36">
        <v>606.0</v>
      </c>
      <c r="F159" s="14" t="s">
        <v>1053</v>
      </c>
      <c r="G159" s="14" t="s">
        <v>1054</v>
      </c>
      <c r="H159" s="14" t="s">
        <v>68</v>
      </c>
      <c r="I159" s="38">
        <v>3.0</v>
      </c>
      <c r="J159" s="38">
        <v>40697.0</v>
      </c>
      <c r="K159" s="14" t="s">
        <v>786</v>
      </c>
      <c r="L159" s="14" t="s">
        <v>787</v>
      </c>
      <c r="M159" s="36">
        <v>22.0</v>
      </c>
      <c r="N159" s="14" t="s">
        <v>788</v>
      </c>
      <c r="O159" s="14" t="s">
        <v>789</v>
      </c>
      <c r="P159" s="14" t="s">
        <v>799</v>
      </c>
      <c r="Q159" s="14" t="s">
        <v>791</v>
      </c>
      <c r="R159" s="37"/>
      <c r="S159" s="14" t="s">
        <v>788</v>
      </c>
      <c r="T159" s="14" t="s">
        <v>788</v>
      </c>
      <c r="U159" s="37"/>
      <c r="V159" s="37"/>
      <c r="W159" s="37"/>
      <c r="X159" s="37"/>
      <c r="Y159" s="37"/>
      <c r="Z159" s="36">
        <v>0.0</v>
      </c>
      <c r="AA159" s="37"/>
      <c r="AB159" s="37"/>
      <c r="AC159" s="37"/>
      <c r="AD159" s="37"/>
      <c r="AE159" s="37"/>
      <c r="AF159" s="37"/>
      <c r="AG159" s="14" t="s">
        <v>1485</v>
      </c>
      <c r="AK159" s="37"/>
      <c r="AL159" s="37"/>
      <c r="AM159" s="37"/>
      <c r="AN159" s="14" t="s">
        <v>1486</v>
      </c>
    </row>
    <row r="160">
      <c r="A160" s="14" t="s">
        <v>1487</v>
      </c>
      <c r="B160" s="14" t="s">
        <v>781</v>
      </c>
      <c r="C160" s="14" t="s">
        <v>1062</v>
      </c>
      <c r="D160" s="14" t="s">
        <v>805</v>
      </c>
      <c r="E160" s="36">
        <v>628.0</v>
      </c>
      <c r="F160" s="14" t="s">
        <v>806</v>
      </c>
      <c r="G160" s="14" t="s">
        <v>829</v>
      </c>
      <c r="H160" s="14" t="s">
        <v>20</v>
      </c>
      <c r="I160" s="37"/>
      <c r="J160" s="38">
        <v>41953.0</v>
      </c>
      <c r="K160" s="14" t="s">
        <v>786</v>
      </c>
      <c r="L160" s="14" t="s">
        <v>787</v>
      </c>
      <c r="M160" s="36">
        <v>22.0</v>
      </c>
      <c r="N160" s="14" t="s">
        <v>788</v>
      </c>
      <c r="O160" s="14" t="s">
        <v>789</v>
      </c>
      <c r="P160" s="14" t="s">
        <v>1066</v>
      </c>
      <c r="Q160" s="14" t="s">
        <v>791</v>
      </c>
      <c r="R160" s="37"/>
      <c r="S160" s="14" t="s">
        <v>788</v>
      </c>
      <c r="T160" s="14" t="s">
        <v>788</v>
      </c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14" t="s">
        <v>1488</v>
      </c>
      <c r="AN160" s="14" t="s">
        <v>1489</v>
      </c>
    </row>
    <row r="161">
      <c r="A161" s="14" t="s">
        <v>1490</v>
      </c>
      <c r="B161" s="14" t="s">
        <v>781</v>
      </c>
      <c r="C161" s="14" t="s">
        <v>835</v>
      </c>
      <c r="D161" s="14" t="s">
        <v>836</v>
      </c>
      <c r="E161" s="36">
        <v>611.0</v>
      </c>
      <c r="F161" s="14" t="s">
        <v>837</v>
      </c>
      <c r="G161" s="14" t="s">
        <v>838</v>
      </c>
      <c r="H161" s="14" t="s">
        <v>20</v>
      </c>
      <c r="I161" s="37"/>
      <c r="J161" s="38">
        <v>33086.0</v>
      </c>
      <c r="K161" s="14" t="s">
        <v>786</v>
      </c>
      <c r="L161" s="14" t="s">
        <v>787</v>
      </c>
      <c r="M161" s="36">
        <v>22.0</v>
      </c>
      <c r="N161" s="14" t="s">
        <v>788</v>
      </c>
      <c r="O161" s="14" t="s">
        <v>789</v>
      </c>
      <c r="P161" s="14" t="s">
        <v>790</v>
      </c>
      <c r="Q161" s="14" t="s">
        <v>791</v>
      </c>
      <c r="R161" s="37"/>
      <c r="S161" s="14" t="s">
        <v>788</v>
      </c>
      <c r="T161" s="14" t="s">
        <v>788</v>
      </c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14" t="s">
        <v>1491</v>
      </c>
      <c r="AK161" s="37"/>
      <c r="AL161" s="37"/>
      <c r="AM161" s="37"/>
      <c r="AN161" s="14" t="s">
        <v>1492</v>
      </c>
    </row>
    <row r="162">
      <c r="A162" s="14" t="s">
        <v>1493</v>
      </c>
      <c r="B162" s="14" t="s">
        <v>781</v>
      </c>
      <c r="C162" s="14" t="s">
        <v>1062</v>
      </c>
      <c r="D162" s="14" t="s">
        <v>805</v>
      </c>
      <c r="E162" s="36">
        <v>628.0</v>
      </c>
      <c r="F162" s="14" t="s">
        <v>806</v>
      </c>
      <c r="G162" s="14" t="s">
        <v>829</v>
      </c>
      <c r="H162" s="14" t="s">
        <v>20</v>
      </c>
      <c r="I162" s="38">
        <v>41953.0</v>
      </c>
      <c r="J162" s="38">
        <v>41953.0</v>
      </c>
      <c r="K162" s="14" t="s">
        <v>786</v>
      </c>
      <c r="L162" s="14" t="s">
        <v>787</v>
      </c>
      <c r="M162" s="36">
        <v>22.0</v>
      </c>
      <c r="N162" s="14" t="s">
        <v>791</v>
      </c>
      <c r="O162" s="14" t="s">
        <v>798</v>
      </c>
      <c r="P162" s="14" t="s">
        <v>790</v>
      </c>
      <c r="Q162" s="14" t="s">
        <v>791</v>
      </c>
      <c r="R162" s="37"/>
      <c r="S162" s="14" t="s">
        <v>788</v>
      </c>
      <c r="T162" s="14" t="s">
        <v>788</v>
      </c>
      <c r="U162" s="14" t="s">
        <v>1494</v>
      </c>
      <c r="V162" s="37"/>
      <c r="W162" s="37"/>
      <c r="X162" s="37"/>
      <c r="Y162" s="37"/>
      <c r="Z162" s="36">
        <v>80.0</v>
      </c>
      <c r="AA162" s="14" t="s">
        <v>1495</v>
      </c>
      <c r="AC162" s="37"/>
      <c r="AD162" s="37"/>
      <c r="AE162" s="37"/>
      <c r="AF162" s="37"/>
      <c r="AG162" s="14" t="s">
        <v>1496</v>
      </c>
      <c r="AL162" s="37"/>
      <c r="AM162" s="37"/>
      <c r="AN162" s="14" t="s">
        <v>1497</v>
      </c>
    </row>
    <row r="163">
      <c r="A163" s="14" t="s">
        <v>1498</v>
      </c>
      <c r="B163" s="14" t="s">
        <v>781</v>
      </c>
      <c r="C163" s="14" t="s">
        <v>820</v>
      </c>
      <c r="D163" s="14" t="s">
        <v>821</v>
      </c>
      <c r="E163" s="36">
        <v>222.0</v>
      </c>
      <c r="F163" s="37"/>
      <c r="G163" s="14" t="s">
        <v>822</v>
      </c>
      <c r="H163" s="14" t="s">
        <v>20</v>
      </c>
      <c r="I163" s="38">
        <v>35258.0</v>
      </c>
      <c r="J163" s="38">
        <v>45207.0</v>
      </c>
      <c r="K163" s="14" t="s">
        <v>786</v>
      </c>
      <c r="L163" s="14" t="s">
        <v>787</v>
      </c>
      <c r="M163" s="36">
        <v>22.0</v>
      </c>
      <c r="N163" s="14" t="s">
        <v>791</v>
      </c>
      <c r="O163" s="14" t="s">
        <v>798</v>
      </c>
      <c r="P163" s="14" t="s">
        <v>853</v>
      </c>
      <c r="Q163" s="14" t="s">
        <v>791</v>
      </c>
      <c r="R163" s="37"/>
      <c r="S163" s="14" t="s">
        <v>791</v>
      </c>
      <c r="T163" s="14" t="s">
        <v>788</v>
      </c>
      <c r="U163" s="14" t="s">
        <v>1234</v>
      </c>
      <c r="V163" s="37"/>
      <c r="W163" s="37"/>
      <c r="X163" s="37"/>
      <c r="Y163" s="37"/>
      <c r="Z163" s="36">
        <v>136.0</v>
      </c>
      <c r="AA163" s="36">
        <v>40.0</v>
      </c>
      <c r="AB163" s="37"/>
      <c r="AC163" s="37"/>
      <c r="AD163" s="37"/>
      <c r="AE163" s="37"/>
      <c r="AF163" s="37"/>
      <c r="AG163" s="14" t="s">
        <v>1296</v>
      </c>
      <c r="AJ163" s="37"/>
      <c r="AK163" s="37"/>
      <c r="AL163" s="37"/>
      <c r="AM163" s="37"/>
      <c r="AN163" s="14" t="s">
        <v>1499</v>
      </c>
    </row>
    <row r="164">
      <c r="A164" s="14" t="s">
        <v>1500</v>
      </c>
      <c r="B164" s="14" t="s">
        <v>781</v>
      </c>
      <c r="C164" s="14" t="s">
        <v>1501</v>
      </c>
      <c r="D164" s="14" t="s">
        <v>836</v>
      </c>
      <c r="E164" s="36">
        <v>611.0</v>
      </c>
      <c r="F164" s="14" t="s">
        <v>837</v>
      </c>
      <c r="G164" s="14" t="s">
        <v>1098</v>
      </c>
      <c r="H164" s="14" t="s">
        <v>20</v>
      </c>
      <c r="I164" s="38">
        <v>9935.0</v>
      </c>
      <c r="J164" s="38">
        <v>38742.0</v>
      </c>
      <c r="K164" s="14" t="s">
        <v>786</v>
      </c>
      <c r="L164" s="14" t="s">
        <v>787</v>
      </c>
      <c r="M164" s="36">
        <v>22.0</v>
      </c>
      <c r="N164" s="14" t="s">
        <v>791</v>
      </c>
      <c r="O164" s="14" t="s">
        <v>798</v>
      </c>
      <c r="P164" s="14" t="s">
        <v>799</v>
      </c>
      <c r="Q164" s="14" t="s">
        <v>791</v>
      </c>
      <c r="R164" s="37"/>
      <c r="S164" s="14" t="s">
        <v>788</v>
      </c>
      <c r="T164" s="14" t="s">
        <v>788</v>
      </c>
      <c r="U164" s="14" t="s">
        <v>1305</v>
      </c>
      <c r="V164" s="37"/>
      <c r="W164" s="37"/>
      <c r="X164" s="37"/>
      <c r="Y164" s="37"/>
      <c r="Z164" s="36">
        <v>135.0</v>
      </c>
      <c r="AA164" s="36">
        <v>40.0</v>
      </c>
      <c r="AB164" s="37"/>
      <c r="AC164" s="37"/>
      <c r="AD164" s="37"/>
      <c r="AE164" s="37"/>
      <c r="AF164" s="37"/>
      <c r="AG164" s="14" t="s">
        <v>1502</v>
      </c>
      <c r="AN164" s="14" t="s">
        <v>1503</v>
      </c>
    </row>
    <row r="165">
      <c r="A165" s="14" t="s">
        <v>1504</v>
      </c>
      <c r="B165" s="14" t="s">
        <v>781</v>
      </c>
      <c r="C165" s="14" t="s">
        <v>1505</v>
      </c>
      <c r="D165" s="14" t="s">
        <v>1506</v>
      </c>
      <c r="E165" s="36">
        <v>173.0</v>
      </c>
      <c r="F165" s="37"/>
      <c r="G165" s="14" t="s">
        <v>807</v>
      </c>
      <c r="H165" s="14" t="s">
        <v>103</v>
      </c>
      <c r="I165" s="38">
        <v>12229.0</v>
      </c>
      <c r="J165" s="38">
        <v>45792.0</v>
      </c>
      <c r="K165" s="14" t="s">
        <v>786</v>
      </c>
      <c r="L165" s="14" t="s">
        <v>787</v>
      </c>
      <c r="M165" s="36">
        <v>22.0</v>
      </c>
      <c r="N165" s="14" t="s">
        <v>791</v>
      </c>
      <c r="O165" s="14" t="s">
        <v>798</v>
      </c>
      <c r="P165" s="14" t="s">
        <v>799</v>
      </c>
      <c r="Q165" s="14" t="s">
        <v>791</v>
      </c>
      <c r="R165" s="37"/>
      <c r="S165" s="14" t="s">
        <v>788</v>
      </c>
      <c r="T165" s="14" t="s">
        <v>788</v>
      </c>
      <c r="U165" s="14" t="s">
        <v>1507</v>
      </c>
      <c r="V165" s="37"/>
      <c r="W165" s="37"/>
      <c r="X165" s="37"/>
      <c r="Y165" s="37"/>
      <c r="Z165" s="36">
        <v>140.0</v>
      </c>
      <c r="AA165" s="36">
        <v>24.0</v>
      </c>
      <c r="AB165" s="37"/>
      <c r="AC165" s="37"/>
      <c r="AD165" s="37"/>
      <c r="AE165" s="37"/>
      <c r="AF165" s="37"/>
      <c r="AG165" s="14" t="s">
        <v>1508</v>
      </c>
      <c r="AN165" s="14" t="s">
        <v>1509</v>
      </c>
    </row>
    <row r="166">
      <c r="A166" s="14" t="s">
        <v>1510</v>
      </c>
      <c r="B166" s="14" t="s">
        <v>781</v>
      </c>
      <c r="C166" s="14" t="s">
        <v>1011</v>
      </c>
      <c r="D166" s="14" t="s">
        <v>1012</v>
      </c>
      <c r="E166" s="36">
        <v>476.0</v>
      </c>
      <c r="F166" s="37"/>
      <c r="G166" s="14" t="s">
        <v>814</v>
      </c>
      <c r="H166" s="14" t="s">
        <v>20</v>
      </c>
      <c r="I166" s="38">
        <v>42736.0</v>
      </c>
      <c r="J166" s="38">
        <v>42736.0</v>
      </c>
      <c r="K166" s="14" t="s">
        <v>786</v>
      </c>
      <c r="L166" s="14" t="s">
        <v>787</v>
      </c>
      <c r="M166" s="36">
        <v>22.0</v>
      </c>
      <c r="N166" s="14" t="s">
        <v>791</v>
      </c>
      <c r="O166" s="14" t="s">
        <v>798</v>
      </c>
      <c r="P166" s="14" t="s">
        <v>799</v>
      </c>
      <c r="Q166" s="14" t="s">
        <v>791</v>
      </c>
      <c r="R166" s="37"/>
      <c r="S166" s="14" t="s">
        <v>788</v>
      </c>
      <c r="T166" s="14" t="s">
        <v>788</v>
      </c>
      <c r="U166" s="14" t="s">
        <v>1013</v>
      </c>
      <c r="W166" s="37"/>
      <c r="X166" s="37"/>
      <c r="Y166" s="37"/>
      <c r="Z166" s="36">
        <v>164.0</v>
      </c>
      <c r="AA166" s="14" t="s">
        <v>963</v>
      </c>
      <c r="AC166" s="37"/>
      <c r="AD166" s="37"/>
      <c r="AE166" s="37"/>
      <c r="AF166" s="37"/>
      <c r="AG166" s="14" t="s">
        <v>1511</v>
      </c>
      <c r="AL166" s="37"/>
      <c r="AM166" s="37"/>
      <c r="AN166" s="14" t="s">
        <v>1512</v>
      </c>
    </row>
    <row r="167">
      <c r="A167" s="14" t="s">
        <v>1513</v>
      </c>
      <c r="B167" s="14" t="s">
        <v>781</v>
      </c>
      <c r="C167" s="14" t="s">
        <v>1514</v>
      </c>
      <c r="D167" s="14" t="s">
        <v>1515</v>
      </c>
      <c r="E167" s="36">
        <v>611.0</v>
      </c>
      <c r="F167" s="14" t="s">
        <v>837</v>
      </c>
      <c r="G167" s="14" t="s">
        <v>807</v>
      </c>
      <c r="H167" s="14" t="s">
        <v>20</v>
      </c>
      <c r="I167" s="37"/>
      <c r="J167" s="38">
        <v>40787.0</v>
      </c>
      <c r="K167" s="14" t="s">
        <v>786</v>
      </c>
      <c r="L167" s="14" t="s">
        <v>787</v>
      </c>
      <c r="M167" s="36">
        <v>22.0</v>
      </c>
      <c r="N167" s="14" t="s">
        <v>788</v>
      </c>
      <c r="O167" s="14" t="s">
        <v>789</v>
      </c>
      <c r="P167" s="14" t="s">
        <v>790</v>
      </c>
      <c r="Q167" s="14" t="s">
        <v>791</v>
      </c>
      <c r="R167" s="37"/>
      <c r="S167" s="14" t="s">
        <v>788</v>
      </c>
      <c r="T167" s="14" t="s">
        <v>788</v>
      </c>
      <c r="U167" s="37"/>
      <c r="V167" s="37"/>
      <c r="W167" s="37"/>
      <c r="X167" s="37"/>
      <c r="Y167" s="37"/>
      <c r="Z167" s="36">
        <v>0.0</v>
      </c>
      <c r="AA167" s="37"/>
      <c r="AB167" s="37"/>
      <c r="AC167" s="37"/>
      <c r="AD167" s="37"/>
      <c r="AE167" s="37"/>
      <c r="AF167" s="37"/>
      <c r="AG167" s="14" t="s">
        <v>1516</v>
      </c>
      <c r="AN167" s="14" t="s">
        <v>1517</v>
      </c>
    </row>
    <row r="168">
      <c r="A168" s="14" t="s">
        <v>1518</v>
      </c>
      <c r="B168" s="14" t="s">
        <v>781</v>
      </c>
      <c r="C168" s="14" t="s">
        <v>1519</v>
      </c>
      <c r="D168" s="14" t="s">
        <v>1520</v>
      </c>
      <c r="E168" s="36">
        <v>162.0</v>
      </c>
      <c r="F168" s="37"/>
      <c r="G168" s="14" t="s">
        <v>807</v>
      </c>
      <c r="H168" s="14" t="s">
        <v>20</v>
      </c>
      <c r="I168" s="38">
        <v>3.0</v>
      </c>
      <c r="J168" s="38">
        <v>40330.0</v>
      </c>
      <c r="K168" s="14" t="s">
        <v>786</v>
      </c>
      <c r="L168" s="14" t="s">
        <v>787</v>
      </c>
      <c r="M168" s="36">
        <v>22.0</v>
      </c>
      <c r="N168" s="14" t="s">
        <v>788</v>
      </c>
      <c r="O168" s="14" t="s">
        <v>789</v>
      </c>
      <c r="P168" s="14" t="s">
        <v>790</v>
      </c>
      <c r="Q168" s="14" t="s">
        <v>791</v>
      </c>
      <c r="R168" s="37"/>
      <c r="S168" s="14" t="s">
        <v>788</v>
      </c>
      <c r="T168" s="14" t="s">
        <v>788</v>
      </c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14" t="s">
        <v>1521</v>
      </c>
      <c r="AM168" s="37"/>
      <c r="AN168" s="14" t="s">
        <v>1522</v>
      </c>
    </row>
    <row r="169">
      <c r="A169" s="14" t="s">
        <v>1523</v>
      </c>
      <c r="B169" s="14" t="s">
        <v>781</v>
      </c>
      <c r="C169" s="14" t="s">
        <v>866</v>
      </c>
      <c r="D169" s="14" t="s">
        <v>867</v>
      </c>
      <c r="E169" s="36">
        <v>477.0</v>
      </c>
      <c r="F169" s="37"/>
      <c r="G169" s="14" t="s">
        <v>814</v>
      </c>
      <c r="H169" s="14" t="s">
        <v>20</v>
      </c>
      <c r="I169" s="38">
        <v>42736.0</v>
      </c>
      <c r="J169" s="38">
        <v>42736.0</v>
      </c>
      <c r="K169" s="14" t="s">
        <v>786</v>
      </c>
      <c r="L169" s="14" t="s">
        <v>787</v>
      </c>
      <c r="M169" s="36">
        <v>22.0</v>
      </c>
      <c r="N169" s="14" t="s">
        <v>791</v>
      </c>
      <c r="O169" s="14" t="s">
        <v>798</v>
      </c>
      <c r="P169" s="14" t="s">
        <v>868</v>
      </c>
      <c r="Q169" s="14" t="s">
        <v>791</v>
      </c>
      <c r="R169" s="37"/>
      <c r="S169" s="14" t="s">
        <v>791</v>
      </c>
      <c r="T169" s="14" t="s">
        <v>791</v>
      </c>
      <c r="U169" s="14" t="s">
        <v>910</v>
      </c>
      <c r="W169" s="37"/>
      <c r="X169" s="37"/>
      <c r="Y169" s="37"/>
      <c r="Z169" s="36">
        <v>0.0</v>
      </c>
      <c r="AA169" s="37"/>
      <c r="AB169" s="37"/>
      <c r="AC169" s="37"/>
      <c r="AD169" s="37"/>
      <c r="AE169" s="37"/>
      <c r="AF169" s="37"/>
      <c r="AG169" s="14" t="s">
        <v>1524</v>
      </c>
      <c r="AK169" s="37"/>
      <c r="AL169" s="37"/>
      <c r="AM169" s="37"/>
      <c r="AN169" s="14" t="s">
        <v>1525</v>
      </c>
    </row>
    <row r="170">
      <c r="A170" s="14" t="s">
        <v>1526</v>
      </c>
      <c r="B170" s="14" t="s">
        <v>781</v>
      </c>
      <c r="C170" s="14" t="s">
        <v>782</v>
      </c>
      <c r="D170" s="14" t="s">
        <v>783</v>
      </c>
      <c r="E170" s="36">
        <v>612.0</v>
      </c>
      <c r="F170" s="14" t="s">
        <v>784</v>
      </c>
      <c r="G170" s="14" t="s">
        <v>785</v>
      </c>
      <c r="H170" s="14" t="s">
        <v>20</v>
      </c>
      <c r="I170" s="38">
        <v>23268.0</v>
      </c>
      <c r="J170" s="38">
        <v>45883.0</v>
      </c>
      <c r="K170" s="14" t="s">
        <v>786</v>
      </c>
      <c r="L170" s="14" t="s">
        <v>787</v>
      </c>
      <c r="M170" s="36">
        <v>22.0</v>
      </c>
      <c r="N170" s="14" t="s">
        <v>791</v>
      </c>
      <c r="O170" s="14" t="s">
        <v>798</v>
      </c>
      <c r="P170" s="14" t="s">
        <v>799</v>
      </c>
      <c r="Q170" s="14" t="s">
        <v>791</v>
      </c>
      <c r="R170" s="37"/>
      <c r="S170" s="14" t="s">
        <v>788</v>
      </c>
      <c r="T170" s="14" t="s">
        <v>788</v>
      </c>
      <c r="U170" s="14" t="s">
        <v>1527</v>
      </c>
      <c r="V170" s="37"/>
      <c r="W170" s="37"/>
      <c r="X170" s="37"/>
      <c r="Y170" s="37"/>
      <c r="Z170" s="36">
        <v>217.0</v>
      </c>
      <c r="AA170" s="36">
        <v>40.0</v>
      </c>
      <c r="AB170" s="37"/>
      <c r="AC170" s="37"/>
      <c r="AD170" s="37"/>
      <c r="AE170" s="37"/>
      <c r="AF170" s="37"/>
      <c r="AG170" s="14" t="s">
        <v>1528</v>
      </c>
      <c r="AM170" s="37"/>
      <c r="AN170" s="14" t="s">
        <v>1529</v>
      </c>
    </row>
    <row r="171">
      <c r="A171" s="14" t="s">
        <v>1530</v>
      </c>
      <c r="B171" s="14" t="s">
        <v>781</v>
      </c>
      <c r="C171" s="14" t="s">
        <v>959</v>
      </c>
      <c r="D171" s="14" t="s">
        <v>960</v>
      </c>
      <c r="E171" s="36">
        <v>635.0</v>
      </c>
      <c r="F171" s="14" t="s">
        <v>961</v>
      </c>
      <c r="G171" s="14" t="s">
        <v>838</v>
      </c>
      <c r="H171" s="14" t="s">
        <v>20</v>
      </c>
      <c r="I171" s="38">
        <v>39888.0</v>
      </c>
      <c r="J171" s="38">
        <v>42913.0</v>
      </c>
      <c r="K171" s="14" t="s">
        <v>786</v>
      </c>
      <c r="L171" s="14" t="s">
        <v>787</v>
      </c>
      <c r="M171" s="36">
        <v>22.0</v>
      </c>
      <c r="N171" s="14" t="s">
        <v>791</v>
      </c>
      <c r="O171" s="14" t="s">
        <v>798</v>
      </c>
      <c r="P171" s="14" t="s">
        <v>799</v>
      </c>
      <c r="Q171" s="14" t="s">
        <v>791</v>
      </c>
      <c r="R171" s="37"/>
      <c r="S171" s="14" t="s">
        <v>788</v>
      </c>
      <c r="T171" s="14" t="s">
        <v>788</v>
      </c>
      <c r="U171" s="14" t="s">
        <v>1531</v>
      </c>
      <c r="W171" s="37"/>
      <c r="X171" s="37"/>
      <c r="Y171" s="37"/>
      <c r="Z171" s="36">
        <v>87.0</v>
      </c>
      <c r="AA171" s="14" t="s">
        <v>963</v>
      </c>
      <c r="AC171" s="37"/>
      <c r="AD171" s="37"/>
      <c r="AE171" s="37"/>
      <c r="AF171" s="37"/>
      <c r="AG171" s="14" t="s">
        <v>1532</v>
      </c>
      <c r="AL171" s="37"/>
      <c r="AM171" s="37"/>
      <c r="AN171" s="14" t="s">
        <v>1533</v>
      </c>
    </row>
    <row r="172">
      <c r="A172" s="14" t="s">
        <v>1534</v>
      </c>
      <c r="B172" s="14" t="s">
        <v>781</v>
      </c>
      <c r="C172" s="14" t="s">
        <v>925</v>
      </c>
      <c r="D172" s="14" t="s">
        <v>926</v>
      </c>
      <c r="E172" s="36">
        <v>278.0</v>
      </c>
      <c r="F172" s="37"/>
      <c r="G172" s="14" t="s">
        <v>860</v>
      </c>
      <c r="H172" s="14" t="s">
        <v>68</v>
      </c>
      <c r="I172" s="38">
        <v>32478.0</v>
      </c>
      <c r="J172" s="38">
        <v>39643.0</v>
      </c>
      <c r="K172" s="14" t="s">
        <v>786</v>
      </c>
      <c r="L172" s="14" t="s">
        <v>787</v>
      </c>
      <c r="M172" s="36">
        <v>22.0</v>
      </c>
      <c r="N172" s="14" t="s">
        <v>791</v>
      </c>
      <c r="O172" s="14" t="s">
        <v>798</v>
      </c>
      <c r="P172" s="14" t="s">
        <v>799</v>
      </c>
      <c r="Q172" s="14" t="s">
        <v>791</v>
      </c>
      <c r="R172" s="37"/>
      <c r="S172" s="14" t="s">
        <v>788</v>
      </c>
      <c r="T172" s="14" t="s">
        <v>788</v>
      </c>
      <c r="U172" s="14" t="s">
        <v>1079</v>
      </c>
      <c r="V172" s="37"/>
      <c r="W172" s="37"/>
      <c r="X172" s="37"/>
      <c r="Y172" s="37"/>
      <c r="Z172" s="36">
        <v>53.0</v>
      </c>
      <c r="AA172" s="14" t="s">
        <v>1058</v>
      </c>
      <c r="AB172" s="37"/>
      <c r="AC172" s="37"/>
      <c r="AD172" s="37"/>
      <c r="AE172" s="37"/>
      <c r="AF172" s="37"/>
      <c r="AG172" s="14" t="s">
        <v>1535</v>
      </c>
      <c r="AM172" s="37"/>
      <c r="AN172" s="14" t="s">
        <v>1536</v>
      </c>
    </row>
    <row r="173">
      <c r="A173" s="14" t="s">
        <v>1537</v>
      </c>
      <c r="B173" s="14" t="s">
        <v>781</v>
      </c>
      <c r="C173" s="14" t="s">
        <v>1214</v>
      </c>
      <c r="D173" s="14" t="s">
        <v>1215</v>
      </c>
      <c r="E173" s="36">
        <v>198.0</v>
      </c>
      <c r="F173" s="37"/>
      <c r="G173" s="14" t="s">
        <v>1216</v>
      </c>
      <c r="H173" s="14" t="s">
        <v>68</v>
      </c>
      <c r="I173" s="37"/>
      <c r="J173" s="38">
        <v>40852.0</v>
      </c>
      <c r="K173" s="14" t="s">
        <v>786</v>
      </c>
      <c r="L173" s="14" t="s">
        <v>787</v>
      </c>
      <c r="M173" s="36">
        <v>22.0</v>
      </c>
      <c r="N173" s="14" t="s">
        <v>788</v>
      </c>
      <c r="O173" s="14" t="s">
        <v>789</v>
      </c>
      <c r="P173" s="14" t="s">
        <v>790</v>
      </c>
      <c r="Q173" s="14" t="s">
        <v>791</v>
      </c>
      <c r="R173" s="37"/>
      <c r="S173" s="14" t="s">
        <v>788</v>
      </c>
      <c r="T173" s="14" t="s">
        <v>788</v>
      </c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14" t="s">
        <v>1538</v>
      </c>
      <c r="AN173" s="14" t="s">
        <v>1539</v>
      </c>
    </row>
    <row r="174">
      <c r="A174" s="14" t="s">
        <v>1540</v>
      </c>
      <c r="B174" s="14" t="s">
        <v>781</v>
      </c>
      <c r="C174" s="14" t="s">
        <v>1160</v>
      </c>
      <c r="D174" s="14" t="s">
        <v>1161</v>
      </c>
      <c r="E174" s="36">
        <v>306.0</v>
      </c>
      <c r="F174" s="37"/>
      <c r="G174" s="14" t="s">
        <v>1162</v>
      </c>
      <c r="H174" s="14" t="s">
        <v>20</v>
      </c>
      <c r="I174" s="38">
        <v>1995.0</v>
      </c>
      <c r="J174" s="38">
        <v>37260.0</v>
      </c>
      <c r="K174" s="14" t="s">
        <v>786</v>
      </c>
      <c r="L174" s="14" t="s">
        <v>787</v>
      </c>
      <c r="M174" s="36">
        <v>22.0</v>
      </c>
      <c r="N174" s="14" t="s">
        <v>791</v>
      </c>
      <c r="O174" s="14" t="s">
        <v>798</v>
      </c>
      <c r="P174" s="14" t="s">
        <v>830</v>
      </c>
      <c r="Q174" s="14" t="s">
        <v>791</v>
      </c>
      <c r="R174" s="37"/>
      <c r="S174" s="14" t="s">
        <v>791</v>
      </c>
      <c r="T174" s="14" t="s">
        <v>791</v>
      </c>
      <c r="U174" s="14" t="s">
        <v>955</v>
      </c>
      <c r="V174" s="37"/>
      <c r="W174" s="37"/>
      <c r="X174" s="37"/>
      <c r="Y174" s="37"/>
      <c r="Z174" s="36">
        <v>169.0</v>
      </c>
      <c r="AA174" s="36">
        <v>600.0</v>
      </c>
      <c r="AB174" s="37"/>
      <c r="AC174" s="37"/>
      <c r="AD174" s="37"/>
      <c r="AE174" s="37"/>
      <c r="AF174" s="37"/>
      <c r="AG174" s="14" t="s">
        <v>1541</v>
      </c>
      <c r="AK174" s="37"/>
      <c r="AL174" s="37"/>
      <c r="AM174" s="37"/>
      <c r="AN174" s="14" t="s">
        <v>1542</v>
      </c>
    </row>
    <row r="175">
      <c r="A175" s="14" t="s">
        <v>1543</v>
      </c>
      <c r="B175" s="14" t="s">
        <v>781</v>
      </c>
      <c r="C175" s="14" t="s">
        <v>795</v>
      </c>
      <c r="D175" s="14" t="s">
        <v>796</v>
      </c>
      <c r="E175" s="36">
        <v>471.0</v>
      </c>
      <c r="F175" s="37"/>
      <c r="G175" s="14" t="s">
        <v>797</v>
      </c>
      <c r="H175" s="14" t="s">
        <v>20</v>
      </c>
      <c r="I175" s="38">
        <v>43343.0</v>
      </c>
      <c r="J175" s="38">
        <v>43343.0</v>
      </c>
      <c r="K175" s="14" t="s">
        <v>786</v>
      </c>
      <c r="L175" s="14" t="s">
        <v>787</v>
      </c>
      <c r="M175" s="36">
        <v>22.0</v>
      </c>
      <c r="N175" s="14" t="s">
        <v>791</v>
      </c>
      <c r="O175" s="14" t="s">
        <v>798</v>
      </c>
      <c r="P175" s="14" t="s">
        <v>868</v>
      </c>
      <c r="Q175" s="14" t="s">
        <v>791</v>
      </c>
      <c r="R175" s="37"/>
      <c r="S175" s="14" t="s">
        <v>791</v>
      </c>
      <c r="T175" s="14" t="s">
        <v>791</v>
      </c>
      <c r="U175" s="14" t="s">
        <v>800</v>
      </c>
      <c r="V175" s="37"/>
      <c r="W175" s="37"/>
      <c r="X175" s="37"/>
      <c r="Y175" s="37"/>
      <c r="Z175" s="36">
        <v>109.0</v>
      </c>
      <c r="AA175" s="36">
        <v>24.0</v>
      </c>
      <c r="AB175" s="37"/>
      <c r="AC175" s="37"/>
      <c r="AD175" s="37"/>
      <c r="AE175" s="37"/>
      <c r="AF175" s="37"/>
      <c r="AG175" s="14" t="s">
        <v>1544</v>
      </c>
      <c r="AL175" s="37"/>
      <c r="AM175" s="37"/>
      <c r="AN175" s="14" t="s">
        <v>1545</v>
      </c>
    </row>
    <row r="176">
      <c r="A176" s="14" t="s">
        <v>1546</v>
      </c>
      <c r="B176" s="14" t="s">
        <v>781</v>
      </c>
      <c r="C176" s="14" t="s">
        <v>795</v>
      </c>
      <c r="D176" s="14" t="s">
        <v>796</v>
      </c>
      <c r="E176" s="36">
        <v>471.0</v>
      </c>
      <c r="F176" s="37"/>
      <c r="G176" s="14" t="s">
        <v>797</v>
      </c>
      <c r="H176" s="14" t="s">
        <v>20</v>
      </c>
      <c r="I176" s="38">
        <v>42260.0</v>
      </c>
      <c r="J176" s="38">
        <v>42260.0</v>
      </c>
      <c r="K176" s="14" t="s">
        <v>786</v>
      </c>
      <c r="L176" s="14" t="s">
        <v>787</v>
      </c>
      <c r="M176" s="36">
        <v>22.0</v>
      </c>
      <c r="N176" s="14" t="s">
        <v>791</v>
      </c>
      <c r="O176" s="14" t="s">
        <v>798</v>
      </c>
      <c r="P176" s="14" t="s">
        <v>799</v>
      </c>
      <c r="Q176" s="14" t="s">
        <v>791</v>
      </c>
      <c r="R176" s="37"/>
      <c r="S176" s="14" t="s">
        <v>791</v>
      </c>
      <c r="T176" s="14" t="s">
        <v>791</v>
      </c>
      <c r="U176" s="14" t="s">
        <v>800</v>
      </c>
      <c r="V176" s="37"/>
      <c r="W176" s="37"/>
      <c r="X176" s="37"/>
      <c r="Y176" s="37"/>
      <c r="Z176" s="36">
        <v>110.0</v>
      </c>
      <c r="AA176" s="36">
        <v>24.0</v>
      </c>
      <c r="AB176" s="37"/>
      <c r="AC176" s="37"/>
      <c r="AD176" s="37"/>
      <c r="AE176" s="37"/>
      <c r="AF176" s="37"/>
      <c r="AG176" s="14" t="s">
        <v>1109</v>
      </c>
      <c r="AL176" s="37"/>
      <c r="AM176" s="37"/>
      <c r="AN176" s="14" t="s">
        <v>1547</v>
      </c>
    </row>
    <row r="177">
      <c r="A177" s="14" t="s">
        <v>1548</v>
      </c>
      <c r="B177" s="14" t="s">
        <v>781</v>
      </c>
      <c r="C177" s="14" t="s">
        <v>835</v>
      </c>
      <c r="D177" s="14" t="s">
        <v>836</v>
      </c>
      <c r="E177" s="36">
        <v>611.0</v>
      </c>
      <c r="F177" s="14" t="s">
        <v>837</v>
      </c>
      <c r="G177" s="14" t="s">
        <v>838</v>
      </c>
      <c r="H177" s="14" t="s">
        <v>20</v>
      </c>
      <c r="I177" s="37"/>
      <c r="J177" s="38">
        <v>40452.0</v>
      </c>
      <c r="K177" s="14" t="s">
        <v>786</v>
      </c>
      <c r="L177" s="14" t="s">
        <v>787</v>
      </c>
      <c r="M177" s="36">
        <v>22.0</v>
      </c>
      <c r="N177" s="14" t="s">
        <v>788</v>
      </c>
      <c r="O177" s="14" t="s">
        <v>789</v>
      </c>
      <c r="P177" s="14" t="s">
        <v>790</v>
      </c>
      <c r="Q177" s="14" t="s">
        <v>791</v>
      </c>
      <c r="R177" s="37"/>
      <c r="S177" s="14" t="s">
        <v>788</v>
      </c>
      <c r="T177" s="14" t="s">
        <v>788</v>
      </c>
      <c r="U177" s="37"/>
      <c r="V177" s="37"/>
      <c r="W177" s="37"/>
      <c r="X177" s="37"/>
      <c r="Y177" s="37"/>
      <c r="Z177" s="36">
        <v>0.0</v>
      </c>
      <c r="AA177" s="37"/>
      <c r="AB177" s="37"/>
      <c r="AC177" s="37"/>
      <c r="AD177" s="37"/>
      <c r="AE177" s="37"/>
      <c r="AF177" s="37"/>
      <c r="AG177" s="14" t="s">
        <v>1549</v>
      </c>
      <c r="AN177" s="14" t="s">
        <v>1550</v>
      </c>
    </row>
    <row r="178">
      <c r="A178" s="14" t="s">
        <v>1551</v>
      </c>
      <c r="B178" s="14" t="s">
        <v>781</v>
      </c>
      <c r="C178" s="14" t="s">
        <v>1552</v>
      </c>
      <c r="D178" s="14" t="s">
        <v>1553</v>
      </c>
      <c r="E178" s="36">
        <v>630.0</v>
      </c>
      <c r="F178" s="14" t="s">
        <v>1554</v>
      </c>
      <c r="G178" s="14" t="s">
        <v>1555</v>
      </c>
      <c r="H178" s="14" t="s">
        <v>103</v>
      </c>
      <c r="I178" s="38">
        <v>10393.0</v>
      </c>
      <c r="J178" s="38">
        <v>37666.0</v>
      </c>
      <c r="K178" s="14" t="s">
        <v>786</v>
      </c>
      <c r="L178" s="14" t="s">
        <v>787</v>
      </c>
      <c r="M178" s="36">
        <v>22.0</v>
      </c>
      <c r="N178" s="14" t="s">
        <v>791</v>
      </c>
      <c r="O178" s="14" t="s">
        <v>798</v>
      </c>
      <c r="P178" s="14" t="s">
        <v>830</v>
      </c>
      <c r="Q178" s="14" t="s">
        <v>791</v>
      </c>
      <c r="R178" s="37"/>
      <c r="S178" s="14" t="s">
        <v>788</v>
      </c>
      <c r="T178" s="14" t="s">
        <v>788</v>
      </c>
      <c r="U178" s="14" t="s">
        <v>1123</v>
      </c>
      <c r="V178" s="37"/>
      <c r="W178" s="37"/>
      <c r="X178" s="37"/>
      <c r="Y178" s="37"/>
      <c r="Z178" s="36">
        <v>94.0</v>
      </c>
      <c r="AA178" s="36">
        <v>32.0</v>
      </c>
      <c r="AB178" s="37"/>
      <c r="AC178" s="37"/>
      <c r="AD178" s="37"/>
      <c r="AE178" s="37"/>
      <c r="AF178" s="37"/>
      <c r="AG178" s="14" t="s">
        <v>1556</v>
      </c>
      <c r="AL178" s="37"/>
      <c r="AM178" s="37"/>
      <c r="AN178" s="14" t="s">
        <v>1557</v>
      </c>
    </row>
    <row r="179">
      <c r="A179" s="14" t="s">
        <v>1558</v>
      </c>
      <c r="B179" s="14" t="s">
        <v>781</v>
      </c>
      <c r="C179" s="14" t="s">
        <v>940</v>
      </c>
      <c r="D179" s="14" t="s">
        <v>941</v>
      </c>
      <c r="E179" s="36">
        <v>223.0</v>
      </c>
      <c r="F179" s="37"/>
      <c r="G179" s="14" t="s">
        <v>822</v>
      </c>
      <c r="H179" s="14" t="s">
        <v>20</v>
      </c>
      <c r="I179" s="38">
        <v>32782.0</v>
      </c>
      <c r="J179" s="38">
        <v>46115.0</v>
      </c>
      <c r="K179" s="14" t="s">
        <v>786</v>
      </c>
      <c r="L179" s="14" t="s">
        <v>787</v>
      </c>
      <c r="M179" s="36">
        <v>22.0</v>
      </c>
      <c r="N179" s="14" t="s">
        <v>791</v>
      </c>
      <c r="O179" s="14" t="s">
        <v>798</v>
      </c>
      <c r="P179" s="14" t="s">
        <v>799</v>
      </c>
      <c r="Q179" s="14" t="s">
        <v>791</v>
      </c>
      <c r="R179" s="37"/>
      <c r="S179" s="14" t="s">
        <v>788</v>
      </c>
      <c r="T179" s="14" t="s">
        <v>788</v>
      </c>
      <c r="U179" s="14" t="s">
        <v>861</v>
      </c>
      <c r="V179" s="37"/>
      <c r="W179" s="37"/>
      <c r="X179" s="37"/>
      <c r="Y179" s="37"/>
      <c r="Z179" s="36">
        <v>99.0</v>
      </c>
      <c r="AA179" s="36">
        <v>40.0</v>
      </c>
      <c r="AB179" s="37"/>
      <c r="AC179" s="37"/>
      <c r="AD179" s="37"/>
      <c r="AE179" s="37"/>
      <c r="AF179" s="37"/>
      <c r="AG179" s="14" t="s">
        <v>1559</v>
      </c>
      <c r="AM179" s="37"/>
      <c r="AN179" s="14" t="s">
        <v>1560</v>
      </c>
    </row>
    <row r="180">
      <c r="A180" s="14" t="s">
        <v>1561</v>
      </c>
      <c r="B180" s="14" t="s">
        <v>781</v>
      </c>
      <c r="C180" s="14" t="s">
        <v>827</v>
      </c>
      <c r="D180" s="14" t="s">
        <v>828</v>
      </c>
      <c r="E180" s="36">
        <v>414.0</v>
      </c>
      <c r="F180" s="37"/>
      <c r="G180" s="14" t="s">
        <v>829</v>
      </c>
      <c r="H180" s="14" t="s">
        <v>20</v>
      </c>
      <c r="I180" s="38">
        <v>28216.0</v>
      </c>
      <c r="J180" s="38">
        <v>38062.0</v>
      </c>
      <c r="K180" s="14" t="s">
        <v>786</v>
      </c>
      <c r="L180" s="14" t="s">
        <v>787</v>
      </c>
      <c r="M180" s="36">
        <v>22.0</v>
      </c>
      <c r="N180" s="14" t="s">
        <v>791</v>
      </c>
      <c r="O180" s="14" t="s">
        <v>798</v>
      </c>
      <c r="P180" s="14" t="s">
        <v>830</v>
      </c>
      <c r="Q180" s="14" t="s">
        <v>791</v>
      </c>
      <c r="R180" s="37"/>
      <c r="S180" s="14" t="s">
        <v>788</v>
      </c>
      <c r="T180" s="14" t="s">
        <v>788</v>
      </c>
      <c r="U180" s="14" t="s">
        <v>831</v>
      </c>
      <c r="V180" s="37"/>
      <c r="W180" s="37"/>
      <c r="X180" s="37"/>
      <c r="Y180" s="37"/>
      <c r="Z180" s="36">
        <v>80.0</v>
      </c>
      <c r="AA180" s="36">
        <v>40.0</v>
      </c>
      <c r="AB180" s="37"/>
      <c r="AC180" s="37"/>
      <c r="AD180" s="37"/>
      <c r="AE180" s="37"/>
      <c r="AF180" s="37"/>
      <c r="AG180" s="14" t="s">
        <v>1562</v>
      </c>
      <c r="AL180" s="37"/>
      <c r="AM180" s="37"/>
      <c r="AN180" s="14" t="s">
        <v>1563</v>
      </c>
    </row>
    <row r="181">
      <c r="A181" s="14" t="s">
        <v>1564</v>
      </c>
      <c r="B181" s="14" t="s">
        <v>781</v>
      </c>
      <c r="C181" s="14" t="s">
        <v>925</v>
      </c>
      <c r="D181" s="14" t="s">
        <v>926</v>
      </c>
      <c r="E181" s="36">
        <v>278.0</v>
      </c>
      <c r="F181" s="37"/>
      <c r="G181" s="14" t="s">
        <v>860</v>
      </c>
      <c r="H181" s="14" t="s">
        <v>68</v>
      </c>
      <c r="I181" s="38">
        <v>32478.0</v>
      </c>
      <c r="J181" s="38">
        <v>39953.0</v>
      </c>
      <c r="K181" s="14" t="s">
        <v>786</v>
      </c>
      <c r="L181" s="14" t="s">
        <v>787</v>
      </c>
      <c r="M181" s="36">
        <v>22.0</v>
      </c>
      <c r="N181" s="14" t="s">
        <v>791</v>
      </c>
      <c r="O181" s="14" t="s">
        <v>798</v>
      </c>
      <c r="P181" s="14" t="s">
        <v>799</v>
      </c>
      <c r="Q181" s="14" t="s">
        <v>791</v>
      </c>
      <c r="R181" s="37"/>
      <c r="S181" s="14" t="s">
        <v>788</v>
      </c>
      <c r="T181" s="14" t="s">
        <v>788</v>
      </c>
      <c r="U181" s="14" t="s">
        <v>1070</v>
      </c>
      <c r="V181" s="37"/>
      <c r="W181" s="37"/>
      <c r="X181" s="37"/>
      <c r="Y181" s="37"/>
      <c r="Z181" s="36">
        <v>107.0</v>
      </c>
      <c r="AA181" s="14" t="s">
        <v>1058</v>
      </c>
      <c r="AB181" s="37"/>
      <c r="AC181" s="37"/>
      <c r="AD181" s="37"/>
      <c r="AE181" s="37"/>
      <c r="AF181" s="37"/>
      <c r="AG181" s="14" t="s">
        <v>1565</v>
      </c>
      <c r="AL181" s="37"/>
      <c r="AM181" s="37"/>
      <c r="AN181" s="14" t="s">
        <v>1566</v>
      </c>
    </row>
    <row r="182">
      <c r="A182" s="14" t="s">
        <v>1567</v>
      </c>
      <c r="B182" s="14" t="s">
        <v>781</v>
      </c>
      <c r="C182" s="14" t="s">
        <v>1345</v>
      </c>
      <c r="D182" s="14" t="s">
        <v>968</v>
      </c>
      <c r="E182" s="36">
        <v>610.0</v>
      </c>
      <c r="F182" s="14" t="s">
        <v>969</v>
      </c>
      <c r="G182" s="14" t="s">
        <v>1098</v>
      </c>
      <c r="H182" s="14" t="s">
        <v>20</v>
      </c>
      <c r="I182" s="38">
        <v>23911.0</v>
      </c>
      <c r="J182" s="38">
        <v>45705.0</v>
      </c>
      <c r="K182" s="14" t="s">
        <v>786</v>
      </c>
      <c r="L182" s="14" t="s">
        <v>787</v>
      </c>
      <c r="M182" s="36">
        <v>22.0</v>
      </c>
      <c r="N182" s="14" t="s">
        <v>791</v>
      </c>
      <c r="O182" s="14" t="s">
        <v>798</v>
      </c>
      <c r="P182" s="14" t="s">
        <v>799</v>
      </c>
      <c r="Q182" s="14" t="s">
        <v>791</v>
      </c>
      <c r="R182" s="37"/>
      <c r="S182" s="14" t="s">
        <v>788</v>
      </c>
      <c r="T182" s="14" t="s">
        <v>788</v>
      </c>
      <c r="U182" s="14" t="s">
        <v>1568</v>
      </c>
      <c r="V182" s="37"/>
      <c r="W182" s="37"/>
      <c r="X182" s="37"/>
      <c r="Y182" s="37"/>
      <c r="Z182" s="36">
        <v>116.0</v>
      </c>
      <c r="AA182" s="14" t="s">
        <v>1058</v>
      </c>
      <c r="AB182" s="37"/>
      <c r="AC182" s="37"/>
      <c r="AD182" s="37"/>
      <c r="AE182" s="37"/>
      <c r="AF182" s="37"/>
      <c r="AG182" s="14" t="s">
        <v>1569</v>
      </c>
      <c r="AL182" s="37"/>
      <c r="AM182" s="37"/>
      <c r="AN182" s="14" t="s">
        <v>1570</v>
      </c>
    </row>
    <row r="183">
      <c r="A183" s="14" t="s">
        <v>1571</v>
      </c>
      <c r="B183" s="14" t="s">
        <v>781</v>
      </c>
      <c r="C183" s="14" t="s">
        <v>1127</v>
      </c>
      <c r="D183" s="14" t="s">
        <v>968</v>
      </c>
      <c r="E183" s="36">
        <v>610.0</v>
      </c>
      <c r="F183" s="14" t="s">
        <v>969</v>
      </c>
      <c r="G183" s="14" t="s">
        <v>933</v>
      </c>
      <c r="H183" s="14" t="s">
        <v>20</v>
      </c>
      <c r="I183" s="37"/>
      <c r="J183" s="38">
        <v>40695.0</v>
      </c>
      <c r="K183" s="14" t="s">
        <v>786</v>
      </c>
      <c r="L183" s="14" t="s">
        <v>787</v>
      </c>
      <c r="M183" s="36">
        <v>22.0</v>
      </c>
      <c r="N183" s="14" t="s">
        <v>788</v>
      </c>
      <c r="O183" s="14" t="s">
        <v>789</v>
      </c>
      <c r="P183" s="14" t="s">
        <v>790</v>
      </c>
      <c r="Q183" s="14" t="s">
        <v>791</v>
      </c>
      <c r="R183" s="37"/>
      <c r="S183" s="14" t="s">
        <v>788</v>
      </c>
      <c r="T183" s="14" t="s">
        <v>788</v>
      </c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14" t="s">
        <v>1572</v>
      </c>
      <c r="AK183" s="37"/>
      <c r="AL183" s="37"/>
      <c r="AM183" s="37"/>
      <c r="AN183" s="14" t="s">
        <v>1129</v>
      </c>
    </row>
    <row r="184">
      <c r="A184" s="14" t="s">
        <v>1573</v>
      </c>
      <c r="B184" s="14" t="s">
        <v>781</v>
      </c>
      <c r="C184" s="14" t="s">
        <v>858</v>
      </c>
      <c r="D184" s="14" t="s">
        <v>859</v>
      </c>
      <c r="E184" s="36">
        <v>280.0</v>
      </c>
      <c r="F184" s="37"/>
      <c r="G184" s="14" t="s">
        <v>860</v>
      </c>
      <c r="H184" s="14" t="s">
        <v>68</v>
      </c>
      <c r="I184" s="38">
        <v>32478.0</v>
      </c>
      <c r="J184" s="38">
        <v>39584.0</v>
      </c>
      <c r="K184" s="14" t="s">
        <v>786</v>
      </c>
      <c r="L184" s="14" t="s">
        <v>787</v>
      </c>
      <c r="M184" s="36">
        <v>22.0</v>
      </c>
      <c r="N184" s="14" t="s">
        <v>791</v>
      </c>
      <c r="O184" s="14" t="s">
        <v>798</v>
      </c>
      <c r="P184" s="14" t="s">
        <v>799</v>
      </c>
      <c r="Q184" s="14" t="s">
        <v>791</v>
      </c>
      <c r="R184" s="37"/>
      <c r="S184" s="14" t="s">
        <v>791</v>
      </c>
      <c r="T184" s="14" t="s">
        <v>791</v>
      </c>
      <c r="U184" s="14" t="s">
        <v>861</v>
      </c>
      <c r="V184" s="37"/>
      <c r="W184" s="37"/>
      <c r="X184" s="37"/>
      <c r="Y184" s="37"/>
      <c r="Z184" s="36">
        <v>106.0</v>
      </c>
      <c r="AA184" s="14" t="s">
        <v>862</v>
      </c>
      <c r="AB184" s="37"/>
      <c r="AC184" s="37"/>
      <c r="AD184" s="37"/>
      <c r="AE184" s="37"/>
      <c r="AF184" s="37"/>
      <c r="AG184" s="14" t="s">
        <v>1574</v>
      </c>
      <c r="AL184" s="37"/>
      <c r="AM184" s="37"/>
      <c r="AN184" s="14" t="s">
        <v>1575</v>
      </c>
    </row>
    <row r="185">
      <c r="A185" s="14" t="s">
        <v>1576</v>
      </c>
      <c r="B185" s="14" t="s">
        <v>781</v>
      </c>
      <c r="C185" s="14" t="s">
        <v>873</v>
      </c>
      <c r="D185" s="14" t="s">
        <v>874</v>
      </c>
      <c r="E185" s="36">
        <v>279.0</v>
      </c>
      <c r="F185" s="37"/>
      <c r="G185" s="14" t="s">
        <v>860</v>
      </c>
      <c r="H185" s="14" t="s">
        <v>68</v>
      </c>
      <c r="I185" s="37"/>
      <c r="J185" s="38">
        <v>40760.0</v>
      </c>
      <c r="K185" s="14" t="s">
        <v>786</v>
      </c>
      <c r="L185" s="14" t="s">
        <v>787</v>
      </c>
      <c r="M185" s="36">
        <v>22.0</v>
      </c>
      <c r="N185" s="14" t="s">
        <v>788</v>
      </c>
      <c r="O185" s="14" t="s">
        <v>789</v>
      </c>
      <c r="P185" s="14" t="s">
        <v>790</v>
      </c>
      <c r="Q185" s="14" t="s">
        <v>791</v>
      </c>
      <c r="R185" s="37"/>
      <c r="S185" s="14" t="s">
        <v>788</v>
      </c>
      <c r="T185" s="14" t="s">
        <v>788</v>
      </c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14" t="s">
        <v>1577</v>
      </c>
      <c r="AN185" s="14" t="s">
        <v>1578</v>
      </c>
    </row>
    <row r="186">
      <c r="A186" s="14" t="s">
        <v>1579</v>
      </c>
      <c r="B186" s="14" t="s">
        <v>781</v>
      </c>
      <c r="C186" s="14" t="s">
        <v>1505</v>
      </c>
      <c r="D186" s="14" t="s">
        <v>1506</v>
      </c>
      <c r="E186" s="36">
        <v>173.0</v>
      </c>
      <c r="F186" s="37"/>
      <c r="G186" s="14" t="s">
        <v>807</v>
      </c>
      <c r="H186" s="14" t="s">
        <v>103</v>
      </c>
      <c r="I186" s="38">
        <v>15342.0</v>
      </c>
      <c r="J186" s="38">
        <v>45189.0</v>
      </c>
      <c r="K186" s="14" t="s">
        <v>786</v>
      </c>
      <c r="L186" s="14" t="s">
        <v>787</v>
      </c>
      <c r="M186" s="36">
        <v>22.0</v>
      </c>
      <c r="N186" s="14" t="s">
        <v>791</v>
      </c>
      <c r="O186" s="14" t="s">
        <v>798</v>
      </c>
      <c r="P186" s="14" t="s">
        <v>853</v>
      </c>
      <c r="Q186" s="14" t="s">
        <v>791</v>
      </c>
      <c r="R186" s="37"/>
      <c r="S186" s="14" t="s">
        <v>788</v>
      </c>
      <c r="T186" s="14" t="s">
        <v>788</v>
      </c>
      <c r="U186" s="14" t="s">
        <v>839</v>
      </c>
      <c r="V186" s="37"/>
      <c r="W186" s="37"/>
      <c r="X186" s="37"/>
      <c r="Y186" s="37"/>
      <c r="Z186" s="36">
        <v>127.0</v>
      </c>
      <c r="AA186" s="36">
        <v>24.0</v>
      </c>
      <c r="AB186" s="37"/>
      <c r="AC186" s="37"/>
      <c r="AD186" s="37"/>
      <c r="AE186" s="37"/>
      <c r="AF186" s="37"/>
      <c r="AG186" s="14" t="s">
        <v>1580</v>
      </c>
      <c r="AL186" s="37"/>
      <c r="AM186" s="37"/>
      <c r="AN186" s="14" t="s">
        <v>1581</v>
      </c>
    </row>
    <row r="187">
      <c r="A187" s="14" t="s">
        <v>1582</v>
      </c>
      <c r="B187" s="14" t="s">
        <v>781</v>
      </c>
      <c r="C187" s="14" t="s">
        <v>835</v>
      </c>
      <c r="D187" s="14" t="s">
        <v>836</v>
      </c>
      <c r="E187" s="36">
        <v>611.0</v>
      </c>
      <c r="F187" s="14" t="s">
        <v>837</v>
      </c>
      <c r="G187" s="14" t="s">
        <v>838</v>
      </c>
      <c r="H187" s="14" t="s">
        <v>20</v>
      </c>
      <c r="I187" s="38">
        <v>9935.0</v>
      </c>
      <c r="J187" s="38">
        <v>38934.0</v>
      </c>
      <c r="K187" s="14" t="s">
        <v>786</v>
      </c>
      <c r="L187" s="14" t="s">
        <v>787</v>
      </c>
      <c r="M187" s="36">
        <v>22.0</v>
      </c>
      <c r="N187" s="14" t="s">
        <v>791</v>
      </c>
      <c r="O187" s="14" t="s">
        <v>798</v>
      </c>
      <c r="P187" s="14" t="s">
        <v>799</v>
      </c>
      <c r="Q187" s="14" t="s">
        <v>791</v>
      </c>
      <c r="R187" s="37"/>
      <c r="S187" s="14" t="s">
        <v>788</v>
      </c>
      <c r="T187" s="14" t="s">
        <v>788</v>
      </c>
      <c r="U187" s="14" t="s">
        <v>839</v>
      </c>
      <c r="V187" s="37"/>
      <c r="W187" s="37"/>
      <c r="X187" s="37"/>
      <c r="Y187" s="37"/>
      <c r="Z187" s="36">
        <v>134.0</v>
      </c>
      <c r="AA187" s="36">
        <v>40.0</v>
      </c>
      <c r="AB187" s="37"/>
      <c r="AC187" s="37"/>
      <c r="AD187" s="37"/>
      <c r="AE187" s="37"/>
      <c r="AF187" s="37"/>
      <c r="AG187" s="14" t="s">
        <v>1502</v>
      </c>
      <c r="AN187" s="14" t="s">
        <v>1583</v>
      </c>
    </row>
    <row r="188">
      <c r="A188" s="14" t="s">
        <v>1584</v>
      </c>
      <c r="B188" s="14" t="s">
        <v>781</v>
      </c>
      <c r="C188" s="14" t="s">
        <v>1585</v>
      </c>
      <c r="D188" s="14" t="s">
        <v>1586</v>
      </c>
      <c r="E188" s="36">
        <v>328.0</v>
      </c>
      <c r="F188" s="37"/>
      <c r="G188" s="14" t="s">
        <v>838</v>
      </c>
      <c r="H188" s="14" t="s">
        <v>20</v>
      </c>
      <c r="I188" s="38">
        <v>43351.0</v>
      </c>
      <c r="J188" s="38">
        <v>43351.0</v>
      </c>
      <c r="K188" s="14" t="s">
        <v>786</v>
      </c>
      <c r="L188" s="14" t="s">
        <v>787</v>
      </c>
      <c r="M188" s="36">
        <v>22.0</v>
      </c>
      <c r="N188" s="14" t="s">
        <v>791</v>
      </c>
      <c r="O188" s="14" t="s">
        <v>798</v>
      </c>
      <c r="P188" s="14" t="s">
        <v>799</v>
      </c>
      <c r="Q188" s="14" t="s">
        <v>791</v>
      </c>
      <c r="R188" s="37"/>
      <c r="S188" s="14" t="s">
        <v>788</v>
      </c>
      <c r="T188" s="14" t="s">
        <v>788</v>
      </c>
      <c r="U188" s="37"/>
      <c r="V188" s="37"/>
      <c r="W188" s="37"/>
      <c r="X188" s="37"/>
      <c r="Y188" s="37"/>
      <c r="Z188" s="36">
        <v>84.0</v>
      </c>
      <c r="AA188" s="14" t="s">
        <v>1587</v>
      </c>
      <c r="AC188" s="37"/>
      <c r="AD188" s="37"/>
      <c r="AE188" s="37"/>
      <c r="AF188" s="37"/>
      <c r="AG188" s="14" t="s">
        <v>1588</v>
      </c>
      <c r="AK188" s="37"/>
      <c r="AL188" s="37"/>
      <c r="AM188" s="37"/>
      <c r="AN188" s="14" t="s">
        <v>1589</v>
      </c>
    </row>
    <row r="189">
      <c r="A189" s="14" t="s">
        <v>1590</v>
      </c>
      <c r="B189" s="14" t="s">
        <v>781</v>
      </c>
      <c r="C189" s="14" t="s">
        <v>1436</v>
      </c>
      <c r="D189" s="14" t="s">
        <v>1437</v>
      </c>
      <c r="E189" s="36">
        <v>635.0</v>
      </c>
      <c r="F189" s="14" t="s">
        <v>961</v>
      </c>
      <c r="G189" s="14" t="s">
        <v>1028</v>
      </c>
      <c r="H189" s="14" t="s">
        <v>20</v>
      </c>
      <c r="I189" s="38">
        <v>7842.0</v>
      </c>
      <c r="J189" s="38">
        <v>37139.0</v>
      </c>
      <c r="K189" s="14" t="s">
        <v>786</v>
      </c>
      <c r="L189" s="14" t="s">
        <v>787</v>
      </c>
      <c r="M189" s="36">
        <v>22.0</v>
      </c>
      <c r="N189" s="14" t="s">
        <v>791</v>
      </c>
      <c r="O189" s="14" t="s">
        <v>798</v>
      </c>
      <c r="P189" s="14" t="s">
        <v>853</v>
      </c>
      <c r="Q189" s="14" t="s">
        <v>791</v>
      </c>
      <c r="R189" s="37"/>
      <c r="S189" s="14" t="s">
        <v>788</v>
      </c>
      <c r="T189" s="14" t="s">
        <v>788</v>
      </c>
      <c r="U189" s="14" t="s">
        <v>1029</v>
      </c>
      <c r="V189" s="37"/>
      <c r="W189" s="37"/>
      <c r="X189" s="37"/>
      <c r="Y189" s="37"/>
      <c r="Z189" s="36">
        <v>85.0</v>
      </c>
      <c r="AA189" s="36">
        <v>40.0</v>
      </c>
      <c r="AB189" s="37"/>
      <c r="AC189" s="37"/>
      <c r="AD189" s="37"/>
      <c r="AE189" s="37"/>
      <c r="AF189" s="37"/>
      <c r="AG189" s="14" t="s">
        <v>1591</v>
      </c>
      <c r="AN189" s="14" t="s">
        <v>1592</v>
      </c>
    </row>
    <row r="190">
      <c r="A190" s="14" t="s">
        <v>1593</v>
      </c>
      <c r="B190" s="14" t="s">
        <v>781</v>
      </c>
      <c r="C190" s="14" t="s">
        <v>827</v>
      </c>
      <c r="D190" s="14" t="s">
        <v>828</v>
      </c>
      <c r="E190" s="36">
        <v>414.0</v>
      </c>
      <c r="F190" s="37"/>
      <c r="G190" s="14" t="s">
        <v>829</v>
      </c>
      <c r="H190" s="14" t="s">
        <v>20</v>
      </c>
      <c r="I190" s="38">
        <v>28216.0</v>
      </c>
      <c r="J190" s="38">
        <v>37723.0</v>
      </c>
      <c r="K190" s="14" t="s">
        <v>786</v>
      </c>
      <c r="L190" s="14" t="s">
        <v>787</v>
      </c>
      <c r="M190" s="36">
        <v>22.0</v>
      </c>
      <c r="N190" s="14" t="s">
        <v>791</v>
      </c>
      <c r="O190" s="14" t="s">
        <v>798</v>
      </c>
      <c r="P190" s="14" t="s">
        <v>830</v>
      </c>
      <c r="Q190" s="14" t="s">
        <v>791</v>
      </c>
      <c r="R190" s="37"/>
      <c r="S190" s="14" t="s">
        <v>788</v>
      </c>
      <c r="T190" s="14" t="s">
        <v>788</v>
      </c>
      <c r="U190" s="14" t="s">
        <v>921</v>
      </c>
      <c r="V190" s="37"/>
      <c r="W190" s="37"/>
      <c r="X190" s="37"/>
      <c r="Y190" s="37"/>
      <c r="Z190" s="36">
        <v>90.0</v>
      </c>
      <c r="AA190" s="36">
        <v>40.0</v>
      </c>
      <c r="AB190" s="37"/>
      <c r="AC190" s="37"/>
      <c r="AD190" s="37"/>
      <c r="AE190" s="37"/>
      <c r="AF190" s="37"/>
      <c r="AG190" s="14" t="s">
        <v>1594</v>
      </c>
      <c r="AM190" s="37"/>
      <c r="AN190" s="14" t="s">
        <v>1595</v>
      </c>
    </row>
    <row r="191">
      <c r="A191" s="14" t="s">
        <v>1596</v>
      </c>
      <c r="B191" s="14" t="s">
        <v>781</v>
      </c>
      <c r="C191" s="14" t="s">
        <v>1462</v>
      </c>
      <c r="D191" s="14" t="s">
        <v>1463</v>
      </c>
      <c r="E191" s="36">
        <v>604.0</v>
      </c>
      <c r="F191" s="14" t="s">
        <v>1464</v>
      </c>
      <c r="G191" s="14" t="s">
        <v>1425</v>
      </c>
      <c r="H191" s="14" t="s">
        <v>890</v>
      </c>
      <c r="I191" s="38">
        <v>22555.0</v>
      </c>
      <c r="J191" s="38">
        <v>45738.0</v>
      </c>
      <c r="K191" s="14" t="s">
        <v>786</v>
      </c>
      <c r="L191" s="14" t="s">
        <v>787</v>
      </c>
      <c r="M191" s="36">
        <v>22.0</v>
      </c>
      <c r="N191" s="14" t="s">
        <v>791</v>
      </c>
      <c r="O191" s="14" t="s">
        <v>798</v>
      </c>
      <c r="P191" s="14" t="s">
        <v>799</v>
      </c>
      <c r="Q191" s="14" t="s">
        <v>791</v>
      </c>
      <c r="R191" s="37"/>
      <c r="S191" s="14" t="s">
        <v>788</v>
      </c>
      <c r="T191" s="14" t="s">
        <v>788</v>
      </c>
      <c r="U191" s="14" t="s">
        <v>1597</v>
      </c>
      <c r="V191" s="37"/>
      <c r="W191" s="37"/>
      <c r="X191" s="37"/>
      <c r="Y191" s="37"/>
      <c r="Z191" s="36">
        <v>119.0</v>
      </c>
      <c r="AA191" s="14" t="s">
        <v>1058</v>
      </c>
      <c r="AB191" s="37"/>
      <c r="AC191" s="37"/>
      <c r="AD191" s="37"/>
      <c r="AE191" s="37"/>
      <c r="AF191" s="37"/>
      <c r="AG191" s="14" t="s">
        <v>1598</v>
      </c>
      <c r="AL191" s="37"/>
      <c r="AM191" s="37"/>
      <c r="AN191" s="14" t="s">
        <v>1599</v>
      </c>
    </row>
    <row r="192">
      <c r="A192" s="14" t="s">
        <v>1600</v>
      </c>
      <c r="B192" s="14" t="s">
        <v>781</v>
      </c>
      <c r="C192" s="14" t="s">
        <v>812</v>
      </c>
      <c r="D192" s="14" t="s">
        <v>813</v>
      </c>
      <c r="E192" s="36">
        <v>475.0</v>
      </c>
      <c r="F192" s="37"/>
      <c r="G192" s="14" t="s">
        <v>814</v>
      </c>
      <c r="H192" s="14" t="s">
        <v>20</v>
      </c>
      <c r="I192" s="38">
        <v>42736.0</v>
      </c>
      <c r="J192" s="38">
        <v>42736.0</v>
      </c>
      <c r="K192" s="14" t="s">
        <v>786</v>
      </c>
      <c r="L192" s="14" t="s">
        <v>787</v>
      </c>
      <c r="M192" s="36">
        <v>22.0</v>
      </c>
      <c r="N192" s="14" t="s">
        <v>791</v>
      </c>
      <c r="O192" s="14" t="s">
        <v>798</v>
      </c>
      <c r="P192" s="14" t="s">
        <v>799</v>
      </c>
      <c r="Q192" s="14" t="s">
        <v>791</v>
      </c>
      <c r="R192" s="37"/>
      <c r="S192" s="14" t="s">
        <v>791</v>
      </c>
      <c r="T192" s="14" t="s">
        <v>791</v>
      </c>
      <c r="U192" s="14" t="s">
        <v>1601</v>
      </c>
      <c r="W192" s="37"/>
      <c r="X192" s="37"/>
      <c r="Y192" s="37"/>
      <c r="Z192" s="36">
        <v>108.0</v>
      </c>
      <c r="AA192" s="14" t="s">
        <v>816</v>
      </c>
      <c r="AC192" s="37"/>
      <c r="AD192" s="37"/>
      <c r="AE192" s="37"/>
      <c r="AF192" s="37"/>
      <c r="AG192" s="14" t="s">
        <v>1602</v>
      </c>
      <c r="AK192" s="37"/>
      <c r="AL192" s="37"/>
      <c r="AM192" s="37"/>
      <c r="AN192" s="14" t="s">
        <v>1603</v>
      </c>
    </row>
    <row r="193">
      <c r="A193" s="14" t="s">
        <v>1604</v>
      </c>
      <c r="B193" s="14" t="s">
        <v>781</v>
      </c>
      <c r="C193" s="14" t="s">
        <v>1605</v>
      </c>
      <c r="D193" s="14" t="s">
        <v>1606</v>
      </c>
      <c r="E193" s="36">
        <v>421.0</v>
      </c>
      <c r="F193" s="37"/>
      <c r="G193" s="14" t="s">
        <v>889</v>
      </c>
      <c r="H193" s="14" t="s">
        <v>890</v>
      </c>
      <c r="I193" s="38">
        <v>38653.0</v>
      </c>
      <c r="J193" s="38">
        <v>38653.0</v>
      </c>
      <c r="K193" s="14" t="s">
        <v>786</v>
      </c>
      <c r="L193" s="14" t="s">
        <v>787</v>
      </c>
      <c r="M193" s="36">
        <v>22.0</v>
      </c>
      <c r="N193" s="14" t="s">
        <v>791</v>
      </c>
      <c r="O193" s="14" t="s">
        <v>798</v>
      </c>
      <c r="P193" s="14" t="s">
        <v>830</v>
      </c>
      <c r="Q193" s="14" t="s">
        <v>791</v>
      </c>
      <c r="R193" s="37"/>
      <c r="S193" s="14" t="s">
        <v>791</v>
      </c>
      <c r="T193" s="14" t="s">
        <v>788</v>
      </c>
      <c r="U193" s="14" t="s">
        <v>1192</v>
      </c>
      <c r="V193" s="37"/>
      <c r="W193" s="37"/>
      <c r="X193" s="37"/>
      <c r="Y193" s="37"/>
      <c r="Z193" s="36">
        <v>115.0</v>
      </c>
      <c r="AA193" s="36">
        <v>40.0</v>
      </c>
      <c r="AB193" s="37"/>
      <c r="AC193" s="37"/>
      <c r="AD193" s="37"/>
      <c r="AE193" s="37"/>
      <c r="AF193" s="37"/>
      <c r="AG193" s="14" t="s">
        <v>1607</v>
      </c>
      <c r="AL193" s="37"/>
      <c r="AM193" s="37"/>
      <c r="AN193" s="14" t="s">
        <v>1608</v>
      </c>
    </row>
    <row r="194">
      <c r="A194" s="14" t="s">
        <v>1609</v>
      </c>
      <c r="B194" s="14" t="s">
        <v>781</v>
      </c>
      <c r="C194" s="14" t="s">
        <v>1610</v>
      </c>
      <c r="D194" s="14" t="s">
        <v>1611</v>
      </c>
      <c r="E194" s="36">
        <v>624.0</v>
      </c>
      <c r="F194" s="14" t="s">
        <v>1612</v>
      </c>
      <c r="G194" s="14" t="s">
        <v>1183</v>
      </c>
      <c r="H194" s="14" t="s">
        <v>20</v>
      </c>
      <c r="I194" s="38">
        <v>24259.0</v>
      </c>
      <c r="J194" s="38">
        <v>45975.0</v>
      </c>
      <c r="K194" s="14" t="s">
        <v>786</v>
      </c>
      <c r="L194" s="14" t="s">
        <v>787</v>
      </c>
      <c r="M194" s="36">
        <v>22.0</v>
      </c>
      <c r="N194" s="14" t="s">
        <v>791</v>
      </c>
      <c r="O194" s="14" t="s">
        <v>798</v>
      </c>
      <c r="P194" s="14" t="s">
        <v>799</v>
      </c>
      <c r="Q194" s="14" t="s">
        <v>791</v>
      </c>
      <c r="R194" s="37"/>
      <c r="S194" s="14" t="s">
        <v>788</v>
      </c>
      <c r="T194" s="14" t="s">
        <v>788</v>
      </c>
      <c r="U194" s="14" t="s">
        <v>800</v>
      </c>
      <c r="V194" s="37"/>
      <c r="W194" s="37"/>
      <c r="X194" s="37"/>
      <c r="Y194" s="37"/>
      <c r="Z194" s="36">
        <v>110.0</v>
      </c>
      <c r="AA194" s="14" t="s">
        <v>943</v>
      </c>
      <c r="AB194" s="37"/>
      <c r="AC194" s="37"/>
      <c r="AD194" s="37"/>
      <c r="AE194" s="37"/>
      <c r="AF194" s="37"/>
      <c r="AG194" s="14" t="s">
        <v>1613</v>
      </c>
      <c r="AL194" s="37"/>
      <c r="AM194" s="37"/>
      <c r="AN194" s="14" t="s">
        <v>1614</v>
      </c>
    </row>
    <row r="195">
      <c r="A195" s="14" t="s">
        <v>1615</v>
      </c>
      <c r="B195" s="14" t="s">
        <v>781</v>
      </c>
      <c r="C195" s="14" t="s">
        <v>1275</v>
      </c>
      <c r="D195" s="14" t="s">
        <v>1276</v>
      </c>
      <c r="E195" s="36">
        <v>447.0</v>
      </c>
      <c r="F195" s="37"/>
      <c r="G195" s="14" t="s">
        <v>1098</v>
      </c>
      <c r="H195" s="14" t="s">
        <v>68</v>
      </c>
      <c r="I195" s="38">
        <v>36235.0</v>
      </c>
      <c r="J195" s="38">
        <v>44247.0</v>
      </c>
      <c r="K195" s="14" t="s">
        <v>786</v>
      </c>
      <c r="L195" s="14" t="s">
        <v>787</v>
      </c>
      <c r="M195" s="36">
        <v>22.0</v>
      </c>
      <c r="N195" s="14" t="s">
        <v>791</v>
      </c>
      <c r="O195" s="14" t="s">
        <v>798</v>
      </c>
      <c r="P195" s="14" t="s">
        <v>799</v>
      </c>
      <c r="Q195" s="14" t="s">
        <v>791</v>
      </c>
      <c r="R195" s="37"/>
      <c r="S195" s="14" t="s">
        <v>791</v>
      </c>
      <c r="T195" s="14" t="s">
        <v>791</v>
      </c>
      <c r="U195" s="14" t="s">
        <v>943</v>
      </c>
      <c r="V195" s="37"/>
      <c r="W195" s="37"/>
      <c r="X195" s="37"/>
      <c r="Y195" s="37"/>
      <c r="Z195" s="36">
        <v>150.0</v>
      </c>
      <c r="AA195" s="14" t="s">
        <v>1058</v>
      </c>
      <c r="AB195" s="37"/>
      <c r="AC195" s="37"/>
      <c r="AD195" s="37"/>
      <c r="AE195" s="37"/>
      <c r="AF195" s="37"/>
      <c r="AG195" s="14" t="s">
        <v>1300</v>
      </c>
      <c r="AK195" s="37"/>
      <c r="AL195" s="37"/>
      <c r="AM195" s="37"/>
      <c r="AN195" s="14" t="s">
        <v>1616</v>
      </c>
    </row>
    <row r="196">
      <c r="A196" s="14" t="s">
        <v>1617</v>
      </c>
      <c r="B196" s="14" t="s">
        <v>781</v>
      </c>
      <c r="C196" s="14" t="s">
        <v>1033</v>
      </c>
      <c r="D196" s="14" t="s">
        <v>1034</v>
      </c>
      <c r="E196" s="36">
        <v>613.0</v>
      </c>
      <c r="F196" s="14" t="s">
        <v>953</v>
      </c>
      <c r="G196" s="14" t="s">
        <v>1035</v>
      </c>
      <c r="H196" s="14" t="s">
        <v>20</v>
      </c>
      <c r="I196" s="38">
        <v>26967.0</v>
      </c>
      <c r="J196" s="38">
        <v>37738.0</v>
      </c>
      <c r="K196" s="14" t="s">
        <v>786</v>
      </c>
      <c r="L196" s="14" t="s">
        <v>787</v>
      </c>
      <c r="M196" s="36">
        <v>22.0</v>
      </c>
      <c r="N196" s="14" t="s">
        <v>791</v>
      </c>
      <c r="O196" s="14" t="s">
        <v>798</v>
      </c>
      <c r="P196" s="14" t="s">
        <v>830</v>
      </c>
      <c r="Q196" s="14" t="s">
        <v>791</v>
      </c>
      <c r="R196" s="37"/>
      <c r="S196" s="14" t="s">
        <v>788</v>
      </c>
      <c r="T196" s="14" t="s">
        <v>788</v>
      </c>
      <c r="U196" s="14" t="s">
        <v>1036</v>
      </c>
      <c r="V196" s="37"/>
      <c r="W196" s="37"/>
      <c r="X196" s="37"/>
      <c r="Y196" s="37"/>
      <c r="Z196" s="36">
        <v>117.0</v>
      </c>
      <c r="AA196" s="36">
        <v>40.0</v>
      </c>
      <c r="AB196" s="37"/>
      <c r="AC196" s="37"/>
      <c r="AD196" s="37"/>
      <c r="AE196" s="37"/>
      <c r="AF196" s="37"/>
      <c r="AG196" s="14" t="s">
        <v>1618</v>
      </c>
      <c r="AM196" s="37"/>
      <c r="AN196" s="14" t="s">
        <v>1619</v>
      </c>
    </row>
    <row r="197">
      <c r="A197" s="14" t="s">
        <v>1620</v>
      </c>
      <c r="B197" s="14" t="s">
        <v>781</v>
      </c>
      <c r="C197" s="14" t="s">
        <v>1206</v>
      </c>
      <c r="D197" s="14" t="s">
        <v>1207</v>
      </c>
      <c r="E197" s="36">
        <v>625.0</v>
      </c>
      <c r="F197" s="14" t="s">
        <v>1208</v>
      </c>
      <c r="G197" s="14" t="s">
        <v>846</v>
      </c>
      <c r="H197" s="14" t="s">
        <v>20</v>
      </c>
      <c r="I197" s="38">
        <v>21337.0</v>
      </c>
      <c r="J197" s="38">
        <v>36286.0</v>
      </c>
      <c r="K197" s="14" t="s">
        <v>786</v>
      </c>
      <c r="L197" s="14" t="s">
        <v>787</v>
      </c>
      <c r="M197" s="36">
        <v>22.0</v>
      </c>
      <c r="N197" s="14" t="s">
        <v>791</v>
      </c>
      <c r="O197" s="14" t="s">
        <v>798</v>
      </c>
      <c r="P197" s="14" t="s">
        <v>853</v>
      </c>
      <c r="Q197" s="14" t="s">
        <v>791</v>
      </c>
      <c r="R197" s="37"/>
      <c r="S197" s="14" t="s">
        <v>791</v>
      </c>
      <c r="T197" s="14" t="s">
        <v>791</v>
      </c>
      <c r="U197" s="14" t="s">
        <v>1234</v>
      </c>
      <c r="V197" s="37"/>
      <c r="W197" s="37"/>
      <c r="X197" s="37"/>
      <c r="Y197" s="37"/>
      <c r="Z197" s="36">
        <v>131.0</v>
      </c>
      <c r="AA197" s="36">
        <v>24.0</v>
      </c>
      <c r="AB197" s="37"/>
      <c r="AC197" s="37"/>
      <c r="AD197" s="37"/>
      <c r="AE197" s="37"/>
      <c r="AF197" s="37"/>
      <c r="AG197" s="14" t="s">
        <v>1621</v>
      </c>
      <c r="AL197" s="37"/>
      <c r="AM197" s="37"/>
      <c r="AN197" s="14" t="s">
        <v>1622</v>
      </c>
    </row>
    <row r="198">
      <c r="A198" s="14" t="s">
        <v>1623</v>
      </c>
      <c r="B198" s="14" t="s">
        <v>781</v>
      </c>
      <c r="C198" s="14" t="s">
        <v>1160</v>
      </c>
      <c r="D198" s="14" t="s">
        <v>1161</v>
      </c>
      <c r="E198" s="36">
        <v>306.0</v>
      </c>
      <c r="F198" s="37"/>
      <c r="G198" s="14" t="s">
        <v>1162</v>
      </c>
      <c r="H198" s="14" t="s">
        <v>20</v>
      </c>
      <c r="I198" s="38">
        <v>1995.0</v>
      </c>
      <c r="J198" s="38">
        <v>37246.0</v>
      </c>
      <c r="K198" s="14" t="s">
        <v>786</v>
      </c>
      <c r="L198" s="14" t="s">
        <v>787</v>
      </c>
      <c r="M198" s="36">
        <v>22.0</v>
      </c>
      <c r="N198" s="14" t="s">
        <v>791</v>
      </c>
      <c r="O198" s="14" t="s">
        <v>798</v>
      </c>
      <c r="P198" s="14" t="s">
        <v>830</v>
      </c>
      <c r="Q198" s="14" t="s">
        <v>791</v>
      </c>
      <c r="R198" s="37"/>
      <c r="S198" s="14" t="s">
        <v>791</v>
      </c>
      <c r="T198" s="14" t="s">
        <v>791</v>
      </c>
      <c r="U198" s="14" t="s">
        <v>1070</v>
      </c>
      <c r="V198" s="37"/>
      <c r="W198" s="37"/>
      <c r="X198" s="37"/>
      <c r="Y198" s="37"/>
      <c r="Z198" s="36">
        <v>101.0</v>
      </c>
      <c r="AA198" s="36">
        <v>600.0</v>
      </c>
      <c r="AB198" s="37"/>
      <c r="AC198" s="37"/>
      <c r="AD198" s="37"/>
      <c r="AE198" s="37"/>
      <c r="AF198" s="37"/>
      <c r="AG198" s="14" t="s">
        <v>1624</v>
      </c>
      <c r="AK198" s="37"/>
      <c r="AL198" s="37"/>
      <c r="AM198" s="37"/>
      <c r="AN198" s="14" t="s">
        <v>1625</v>
      </c>
    </row>
    <row r="199">
      <c r="A199" s="14" t="s">
        <v>1626</v>
      </c>
      <c r="B199" s="14" t="s">
        <v>781</v>
      </c>
      <c r="C199" s="14" t="s">
        <v>959</v>
      </c>
      <c r="D199" s="14" t="s">
        <v>960</v>
      </c>
      <c r="E199" s="36">
        <v>635.0</v>
      </c>
      <c r="F199" s="14" t="s">
        <v>961</v>
      </c>
      <c r="G199" s="14" t="s">
        <v>838</v>
      </c>
      <c r="H199" s="14" t="s">
        <v>20</v>
      </c>
      <c r="I199" s="38">
        <v>39888.0</v>
      </c>
      <c r="J199" s="38">
        <v>42913.0</v>
      </c>
      <c r="K199" s="14" t="s">
        <v>786</v>
      </c>
      <c r="L199" s="14" t="s">
        <v>787</v>
      </c>
      <c r="M199" s="36">
        <v>22.0</v>
      </c>
      <c r="N199" s="14" t="s">
        <v>791</v>
      </c>
      <c r="O199" s="14" t="s">
        <v>798</v>
      </c>
      <c r="P199" s="14" t="s">
        <v>799</v>
      </c>
      <c r="Q199" s="14" t="s">
        <v>791</v>
      </c>
      <c r="R199" s="37"/>
      <c r="S199" s="14" t="s">
        <v>791</v>
      </c>
      <c r="T199" s="14" t="s">
        <v>791</v>
      </c>
      <c r="U199" s="14" t="s">
        <v>1627</v>
      </c>
      <c r="W199" s="37"/>
      <c r="X199" s="37"/>
      <c r="Y199" s="37"/>
      <c r="Z199" s="36">
        <v>128.0</v>
      </c>
      <c r="AA199" s="14" t="s">
        <v>963</v>
      </c>
      <c r="AC199" s="37"/>
      <c r="AD199" s="37"/>
      <c r="AE199" s="37"/>
      <c r="AF199" s="37"/>
      <c r="AG199" s="14" t="s">
        <v>1628</v>
      </c>
      <c r="AJ199" s="37"/>
      <c r="AK199" s="37"/>
      <c r="AL199" s="37"/>
      <c r="AM199" s="37"/>
      <c r="AN199" s="14" t="s">
        <v>1629</v>
      </c>
    </row>
    <row r="200">
      <c r="A200" s="14" t="s">
        <v>1630</v>
      </c>
      <c r="B200" s="14" t="s">
        <v>781</v>
      </c>
      <c r="C200" s="14" t="s">
        <v>812</v>
      </c>
      <c r="D200" s="14" t="s">
        <v>813</v>
      </c>
      <c r="E200" s="36">
        <v>475.0</v>
      </c>
      <c r="F200" s="37"/>
      <c r="G200" s="14" t="s">
        <v>814</v>
      </c>
      <c r="H200" s="14" t="s">
        <v>20</v>
      </c>
      <c r="I200" s="38">
        <v>42736.0</v>
      </c>
      <c r="J200" s="38">
        <v>42736.0</v>
      </c>
      <c r="K200" s="14" t="s">
        <v>786</v>
      </c>
      <c r="L200" s="14" t="s">
        <v>787</v>
      </c>
      <c r="M200" s="36">
        <v>22.0</v>
      </c>
      <c r="N200" s="14" t="s">
        <v>791</v>
      </c>
      <c r="O200" s="14" t="s">
        <v>798</v>
      </c>
      <c r="P200" s="14" t="s">
        <v>799</v>
      </c>
      <c r="Q200" s="14" t="s">
        <v>791</v>
      </c>
      <c r="R200" s="37"/>
      <c r="S200" s="14" t="s">
        <v>788</v>
      </c>
      <c r="T200" s="14" t="s">
        <v>788</v>
      </c>
      <c r="U200" s="14" t="s">
        <v>1631</v>
      </c>
      <c r="W200" s="37"/>
      <c r="X200" s="37"/>
      <c r="Y200" s="37"/>
      <c r="Z200" s="36">
        <v>76.0</v>
      </c>
      <c r="AA200" s="14" t="s">
        <v>816</v>
      </c>
      <c r="AC200" s="37"/>
      <c r="AD200" s="37"/>
      <c r="AE200" s="37"/>
      <c r="AF200" s="37"/>
      <c r="AG200" s="14" t="s">
        <v>1632</v>
      </c>
      <c r="AL200" s="37"/>
      <c r="AM200" s="37"/>
      <c r="AN200" s="14" t="s">
        <v>1633</v>
      </c>
    </row>
    <row r="201">
      <c r="A201" s="14" t="s">
        <v>1634</v>
      </c>
      <c r="B201" s="14" t="s">
        <v>781</v>
      </c>
      <c r="C201" s="14" t="s">
        <v>835</v>
      </c>
      <c r="D201" s="14" t="s">
        <v>836</v>
      </c>
      <c r="E201" s="36">
        <v>611.0</v>
      </c>
      <c r="F201" s="14" t="s">
        <v>837</v>
      </c>
      <c r="G201" s="14" t="s">
        <v>838</v>
      </c>
      <c r="H201" s="14" t="s">
        <v>20</v>
      </c>
      <c r="I201" s="37"/>
      <c r="J201" s="38">
        <v>33086.0</v>
      </c>
      <c r="K201" s="14" t="s">
        <v>786</v>
      </c>
      <c r="L201" s="14" t="s">
        <v>787</v>
      </c>
      <c r="M201" s="36">
        <v>22.0</v>
      </c>
      <c r="N201" s="14" t="s">
        <v>788</v>
      </c>
      <c r="O201" s="14" t="s">
        <v>789</v>
      </c>
      <c r="P201" s="14" t="s">
        <v>790</v>
      </c>
      <c r="Q201" s="14" t="s">
        <v>791</v>
      </c>
      <c r="R201" s="37"/>
      <c r="S201" s="14" t="s">
        <v>788</v>
      </c>
      <c r="T201" s="14" t="s">
        <v>788</v>
      </c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14" t="s">
        <v>1635</v>
      </c>
      <c r="AN201" s="14" t="s">
        <v>1636</v>
      </c>
    </row>
    <row r="202">
      <c r="A202" s="14" t="s">
        <v>1637</v>
      </c>
      <c r="B202" s="14" t="s">
        <v>781</v>
      </c>
      <c r="C202" s="14" t="s">
        <v>812</v>
      </c>
      <c r="D202" s="14" t="s">
        <v>813</v>
      </c>
      <c r="E202" s="36">
        <v>475.0</v>
      </c>
      <c r="F202" s="37"/>
      <c r="G202" s="14" t="s">
        <v>814</v>
      </c>
      <c r="H202" s="14" t="s">
        <v>20</v>
      </c>
      <c r="I202" s="38">
        <v>42736.0</v>
      </c>
      <c r="J202" s="38">
        <v>42736.0</v>
      </c>
      <c r="K202" s="14" t="s">
        <v>786</v>
      </c>
      <c r="L202" s="14" t="s">
        <v>787</v>
      </c>
      <c r="M202" s="36">
        <v>22.0</v>
      </c>
      <c r="N202" s="14" t="s">
        <v>791</v>
      </c>
      <c r="O202" s="14" t="s">
        <v>798</v>
      </c>
      <c r="P202" s="14" t="s">
        <v>799</v>
      </c>
      <c r="Q202" s="14" t="s">
        <v>791</v>
      </c>
      <c r="R202" s="37"/>
      <c r="S202" s="14" t="s">
        <v>791</v>
      </c>
      <c r="T202" s="14" t="s">
        <v>791</v>
      </c>
      <c r="U202" s="14" t="s">
        <v>1601</v>
      </c>
      <c r="W202" s="37"/>
      <c r="X202" s="37"/>
      <c r="Y202" s="37"/>
      <c r="Z202" s="36">
        <v>108.0</v>
      </c>
      <c r="AA202" s="14" t="s">
        <v>816</v>
      </c>
      <c r="AC202" s="37"/>
      <c r="AD202" s="37"/>
      <c r="AE202" s="37"/>
      <c r="AF202" s="37"/>
      <c r="AG202" s="14" t="s">
        <v>1638</v>
      </c>
      <c r="AK202" s="37"/>
      <c r="AL202" s="37"/>
      <c r="AM202" s="37"/>
      <c r="AN202" s="14" t="s">
        <v>1639</v>
      </c>
    </row>
    <row r="203">
      <c r="A203" s="14" t="s">
        <v>1640</v>
      </c>
      <c r="B203" s="14" t="s">
        <v>781</v>
      </c>
      <c r="C203" s="14" t="s">
        <v>967</v>
      </c>
      <c r="D203" s="14" t="s">
        <v>968</v>
      </c>
      <c r="E203" s="36">
        <v>610.0</v>
      </c>
      <c r="F203" s="14" t="s">
        <v>969</v>
      </c>
      <c r="G203" s="14" t="s">
        <v>954</v>
      </c>
      <c r="H203" s="14" t="s">
        <v>20</v>
      </c>
      <c r="I203" s="37"/>
      <c r="J203" s="38">
        <v>41091.0</v>
      </c>
      <c r="K203" s="14" t="s">
        <v>786</v>
      </c>
      <c r="L203" s="14" t="s">
        <v>787</v>
      </c>
      <c r="M203" s="36">
        <v>22.0</v>
      </c>
      <c r="N203" s="14" t="s">
        <v>788</v>
      </c>
      <c r="O203" s="14" t="s">
        <v>789</v>
      </c>
      <c r="P203" s="14" t="s">
        <v>790</v>
      </c>
      <c r="Q203" s="14" t="s">
        <v>791</v>
      </c>
      <c r="R203" s="37"/>
      <c r="S203" s="14" t="s">
        <v>788</v>
      </c>
      <c r="T203" s="14" t="s">
        <v>788</v>
      </c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14" t="s">
        <v>1641</v>
      </c>
      <c r="AM203" s="37"/>
      <c r="AN203" s="37"/>
    </row>
    <row r="204">
      <c r="A204" s="14" t="s">
        <v>1642</v>
      </c>
      <c r="B204" s="14" t="s">
        <v>781</v>
      </c>
      <c r="C204" s="14" t="s">
        <v>1514</v>
      </c>
      <c r="D204" s="14" t="s">
        <v>1515</v>
      </c>
      <c r="E204" s="36">
        <v>611.0</v>
      </c>
      <c r="F204" s="14" t="s">
        <v>837</v>
      </c>
      <c r="G204" s="14" t="s">
        <v>807</v>
      </c>
      <c r="H204" s="14" t="s">
        <v>20</v>
      </c>
      <c r="I204" s="37"/>
      <c r="J204" s="38">
        <v>41064.0</v>
      </c>
      <c r="K204" s="14" t="s">
        <v>786</v>
      </c>
      <c r="L204" s="14" t="s">
        <v>787</v>
      </c>
      <c r="M204" s="36">
        <v>22.0</v>
      </c>
      <c r="N204" s="14" t="s">
        <v>788</v>
      </c>
      <c r="O204" s="14" t="s">
        <v>789</v>
      </c>
      <c r="P204" s="14" t="s">
        <v>799</v>
      </c>
      <c r="Q204" s="14" t="s">
        <v>791</v>
      </c>
      <c r="R204" s="37"/>
      <c r="S204" s="14" t="s">
        <v>788</v>
      </c>
      <c r="T204" s="14" t="s">
        <v>788</v>
      </c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14" t="s">
        <v>1643</v>
      </c>
      <c r="AL204" s="37"/>
      <c r="AM204" s="37"/>
      <c r="AN204" s="14" t="s">
        <v>1644</v>
      </c>
    </row>
    <row r="205">
      <c r="A205" s="14" t="s">
        <v>1645</v>
      </c>
      <c r="B205" s="14" t="s">
        <v>781</v>
      </c>
      <c r="C205" s="14" t="s">
        <v>1011</v>
      </c>
      <c r="D205" s="14" t="s">
        <v>1012</v>
      </c>
      <c r="E205" s="36">
        <v>476.0</v>
      </c>
      <c r="F205" s="37"/>
      <c r="G205" s="14" t="s">
        <v>814</v>
      </c>
      <c r="H205" s="14" t="s">
        <v>20</v>
      </c>
      <c r="I205" s="38">
        <v>42736.0</v>
      </c>
      <c r="J205" s="38">
        <v>42736.0</v>
      </c>
      <c r="K205" s="14" t="s">
        <v>786</v>
      </c>
      <c r="L205" s="14" t="s">
        <v>787</v>
      </c>
      <c r="M205" s="36">
        <v>22.0</v>
      </c>
      <c r="N205" s="14" t="s">
        <v>791</v>
      </c>
      <c r="O205" s="14" t="s">
        <v>798</v>
      </c>
      <c r="P205" s="14" t="s">
        <v>799</v>
      </c>
      <c r="Q205" s="14" t="s">
        <v>791</v>
      </c>
      <c r="R205" s="37"/>
      <c r="S205" s="14" t="s">
        <v>791</v>
      </c>
      <c r="T205" s="14" t="s">
        <v>791</v>
      </c>
      <c r="U205" s="14" t="s">
        <v>1646</v>
      </c>
      <c r="W205" s="37"/>
      <c r="X205" s="37"/>
      <c r="Y205" s="37"/>
      <c r="Z205" s="36">
        <v>113.0</v>
      </c>
      <c r="AA205" s="37"/>
      <c r="AB205" s="37"/>
      <c r="AC205" s="37"/>
      <c r="AD205" s="37"/>
      <c r="AE205" s="37"/>
      <c r="AF205" s="37"/>
      <c r="AG205" s="14" t="s">
        <v>1647</v>
      </c>
      <c r="AK205" s="37"/>
      <c r="AL205" s="37"/>
      <c r="AM205" s="37"/>
      <c r="AN205" s="14" t="s">
        <v>1648</v>
      </c>
    </row>
    <row r="206">
      <c r="A206" s="14" t="s">
        <v>1649</v>
      </c>
      <c r="B206" s="14" t="s">
        <v>781</v>
      </c>
      <c r="C206" s="14" t="s">
        <v>896</v>
      </c>
      <c r="D206" s="14" t="s">
        <v>897</v>
      </c>
      <c r="E206" s="36">
        <v>614.0</v>
      </c>
      <c r="F206" s="14" t="s">
        <v>898</v>
      </c>
      <c r="G206" s="14" t="s">
        <v>807</v>
      </c>
      <c r="H206" s="14" t="s">
        <v>20</v>
      </c>
      <c r="I206" s="37"/>
      <c r="J206" s="38">
        <v>40674.0</v>
      </c>
      <c r="K206" s="14" t="s">
        <v>786</v>
      </c>
      <c r="L206" s="14" t="s">
        <v>787</v>
      </c>
      <c r="M206" s="36">
        <v>22.0</v>
      </c>
      <c r="N206" s="14" t="s">
        <v>788</v>
      </c>
      <c r="O206" s="14" t="s">
        <v>789</v>
      </c>
      <c r="P206" s="14" t="s">
        <v>790</v>
      </c>
      <c r="Q206" s="14" t="s">
        <v>791</v>
      </c>
      <c r="R206" s="37"/>
      <c r="S206" s="14" t="s">
        <v>788</v>
      </c>
      <c r="T206" s="14" t="s">
        <v>788</v>
      </c>
      <c r="U206" s="37"/>
      <c r="V206" s="37"/>
      <c r="W206" s="37"/>
      <c r="X206" s="37"/>
      <c r="Y206" s="37"/>
      <c r="Z206" s="36">
        <v>0.0</v>
      </c>
      <c r="AA206" s="37"/>
      <c r="AB206" s="37"/>
      <c r="AC206" s="37"/>
      <c r="AD206" s="37"/>
      <c r="AE206" s="37"/>
      <c r="AF206" s="37"/>
      <c r="AG206" s="14" t="s">
        <v>1650</v>
      </c>
      <c r="AN206" s="14" t="s">
        <v>1651</v>
      </c>
    </row>
    <row r="207">
      <c r="A207" s="14" t="s">
        <v>1652</v>
      </c>
      <c r="B207" s="14" t="s">
        <v>781</v>
      </c>
      <c r="C207" s="14" t="s">
        <v>1011</v>
      </c>
      <c r="D207" s="14" t="s">
        <v>1012</v>
      </c>
      <c r="E207" s="36">
        <v>476.0</v>
      </c>
      <c r="F207" s="37"/>
      <c r="G207" s="14" t="s">
        <v>814</v>
      </c>
      <c r="H207" s="14" t="s">
        <v>20</v>
      </c>
      <c r="I207" s="38">
        <v>42736.0</v>
      </c>
      <c r="J207" s="38">
        <v>42736.0</v>
      </c>
      <c r="K207" s="14" t="s">
        <v>786</v>
      </c>
      <c r="L207" s="14" t="s">
        <v>787</v>
      </c>
      <c r="M207" s="36">
        <v>22.0</v>
      </c>
      <c r="N207" s="14" t="s">
        <v>791</v>
      </c>
      <c r="O207" s="14" t="s">
        <v>798</v>
      </c>
      <c r="P207" s="14" t="s">
        <v>799</v>
      </c>
      <c r="Q207" s="14" t="s">
        <v>791</v>
      </c>
      <c r="R207" s="37"/>
      <c r="S207" s="14" t="s">
        <v>788</v>
      </c>
      <c r="T207" s="14" t="s">
        <v>788</v>
      </c>
      <c r="U207" s="14" t="s">
        <v>1482</v>
      </c>
      <c r="W207" s="37"/>
      <c r="X207" s="37"/>
      <c r="Y207" s="37"/>
      <c r="Z207" s="36">
        <v>75.0</v>
      </c>
      <c r="AA207" s="14" t="s">
        <v>963</v>
      </c>
      <c r="AC207" s="37"/>
      <c r="AD207" s="37"/>
      <c r="AE207" s="37"/>
      <c r="AF207" s="37"/>
      <c r="AG207" s="14" t="s">
        <v>1653</v>
      </c>
      <c r="AL207" s="37"/>
      <c r="AM207" s="37"/>
      <c r="AN207" s="14" t="s">
        <v>1654</v>
      </c>
    </row>
    <row r="208">
      <c r="A208" s="14" t="s">
        <v>1655</v>
      </c>
      <c r="B208" s="14" t="s">
        <v>781</v>
      </c>
      <c r="C208" s="14" t="s">
        <v>873</v>
      </c>
      <c r="D208" s="14" t="s">
        <v>874</v>
      </c>
      <c r="E208" s="36">
        <v>279.0</v>
      </c>
      <c r="F208" s="37"/>
      <c r="G208" s="14" t="s">
        <v>860</v>
      </c>
      <c r="H208" s="14" t="s">
        <v>68</v>
      </c>
      <c r="I208" s="38">
        <v>32478.0</v>
      </c>
      <c r="J208" s="38">
        <v>45859.0</v>
      </c>
      <c r="K208" s="14" t="s">
        <v>786</v>
      </c>
      <c r="L208" s="14" t="s">
        <v>787</v>
      </c>
      <c r="M208" s="36">
        <v>22.0</v>
      </c>
      <c r="N208" s="14" t="s">
        <v>791</v>
      </c>
      <c r="O208" s="14" t="s">
        <v>798</v>
      </c>
      <c r="P208" s="14" t="s">
        <v>799</v>
      </c>
      <c r="Q208" s="14" t="s">
        <v>791</v>
      </c>
      <c r="R208" s="37"/>
      <c r="S208" s="14" t="s">
        <v>788</v>
      </c>
      <c r="T208" s="14" t="s">
        <v>788</v>
      </c>
      <c r="U208" s="14" t="s">
        <v>1656</v>
      </c>
      <c r="V208" s="37"/>
      <c r="W208" s="37"/>
      <c r="X208" s="37"/>
      <c r="Y208" s="37"/>
      <c r="Z208" s="36">
        <v>71.0</v>
      </c>
      <c r="AA208" s="14" t="s">
        <v>1058</v>
      </c>
      <c r="AB208" s="37"/>
      <c r="AC208" s="37"/>
      <c r="AD208" s="37"/>
      <c r="AE208" s="37"/>
      <c r="AF208" s="37"/>
      <c r="AG208" s="14" t="s">
        <v>1657</v>
      </c>
      <c r="AN208" s="14" t="s">
        <v>1658</v>
      </c>
    </row>
    <row r="209">
      <c r="A209" s="14" t="s">
        <v>1659</v>
      </c>
      <c r="B209" s="14" t="s">
        <v>781</v>
      </c>
      <c r="C209" s="14" t="s">
        <v>959</v>
      </c>
      <c r="D209" s="14" t="s">
        <v>960</v>
      </c>
      <c r="E209" s="36">
        <v>635.0</v>
      </c>
      <c r="F209" s="14" t="s">
        <v>961</v>
      </c>
      <c r="G209" s="14" t="s">
        <v>838</v>
      </c>
      <c r="H209" s="14" t="s">
        <v>20</v>
      </c>
      <c r="I209" s="38">
        <v>39888.0</v>
      </c>
      <c r="J209" s="38">
        <v>42913.0</v>
      </c>
      <c r="K209" s="14" t="s">
        <v>786</v>
      </c>
      <c r="L209" s="14" t="s">
        <v>787</v>
      </c>
      <c r="M209" s="36">
        <v>22.0</v>
      </c>
      <c r="N209" s="14" t="s">
        <v>791</v>
      </c>
      <c r="O209" s="14" t="s">
        <v>798</v>
      </c>
      <c r="P209" s="14" t="s">
        <v>799</v>
      </c>
      <c r="Q209" s="14" t="s">
        <v>791</v>
      </c>
      <c r="R209" s="37"/>
      <c r="S209" s="14" t="s">
        <v>791</v>
      </c>
      <c r="T209" s="14" t="s">
        <v>791</v>
      </c>
      <c r="U209" s="14" t="s">
        <v>1660</v>
      </c>
      <c r="W209" s="37"/>
      <c r="X209" s="37"/>
      <c r="Y209" s="37"/>
      <c r="Z209" s="36">
        <v>118.0</v>
      </c>
      <c r="AA209" s="14" t="s">
        <v>963</v>
      </c>
      <c r="AC209" s="37"/>
      <c r="AD209" s="37"/>
      <c r="AE209" s="37"/>
      <c r="AF209" s="37"/>
      <c r="AG209" s="14" t="s">
        <v>1661</v>
      </c>
      <c r="AK209" s="37"/>
      <c r="AL209" s="37"/>
      <c r="AM209" s="37"/>
      <c r="AN209" s="14" t="s">
        <v>1662</v>
      </c>
    </row>
    <row r="210">
      <c r="A210" s="14" t="s">
        <v>1663</v>
      </c>
      <c r="B210" s="14" t="s">
        <v>781</v>
      </c>
      <c r="C210" s="14" t="s">
        <v>1605</v>
      </c>
      <c r="D210" s="14" t="s">
        <v>1606</v>
      </c>
      <c r="E210" s="36">
        <v>421.0</v>
      </c>
      <c r="F210" s="37"/>
      <c r="G210" s="14" t="s">
        <v>889</v>
      </c>
      <c r="H210" s="14" t="s">
        <v>890</v>
      </c>
      <c r="I210" s="38">
        <v>14446.0</v>
      </c>
      <c r="J210" s="38">
        <v>38653.0</v>
      </c>
      <c r="K210" s="14" t="s">
        <v>786</v>
      </c>
      <c r="L210" s="14" t="s">
        <v>787</v>
      </c>
      <c r="M210" s="36">
        <v>22.0</v>
      </c>
      <c r="N210" s="14" t="s">
        <v>791</v>
      </c>
      <c r="O210" s="14" t="s">
        <v>798</v>
      </c>
      <c r="P210" s="14" t="s">
        <v>830</v>
      </c>
      <c r="Q210" s="14" t="s">
        <v>791</v>
      </c>
      <c r="R210" s="37"/>
      <c r="S210" s="14" t="s">
        <v>791</v>
      </c>
      <c r="T210" s="14" t="s">
        <v>788</v>
      </c>
      <c r="U210" s="14" t="s">
        <v>831</v>
      </c>
      <c r="V210" s="37"/>
      <c r="W210" s="37"/>
      <c r="X210" s="37"/>
      <c r="Y210" s="37"/>
      <c r="Z210" s="36">
        <v>78.0</v>
      </c>
      <c r="AA210" s="36">
        <v>40.0</v>
      </c>
      <c r="AB210" s="37"/>
      <c r="AC210" s="37"/>
      <c r="AD210" s="37"/>
      <c r="AE210" s="37"/>
      <c r="AF210" s="37"/>
      <c r="AG210" s="14" t="s">
        <v>1664</v>
      </c>
      <c r="AK210" s="37"/>
      <c r="AL210" s="37"/>
      <c r="AM210" s="37"/>
      <c r="AN210" s="14" t="s">
        <v>1665</v>
      </c>
    </row>
    <row r="211">
      <c r="A211" s="14" t="s">
        <v>1666</v>
      </c>
      <c r="B211" s="14" t="s">
        <v>781</v>
      </c>
      <c r="C211" s="14" t="s">
        <v>873</v>
      </c>
      <c r="D211" s="14" t="s">
        <v>874</v>
      </c>
      <c r="E211" s="36">
        <v>279.0</v>
      </c>
      <c r="F211" s="37"/>
      <c r="G211" s="14" t="s">
        <v>860</v>
      </c>
      <c r="H211" s="14" t="s">
        <v>68</v>
      </c>
      <c r="I211" s="38">
        <v>32478.0</v>
      </c>
      <c r="J211" s="38">
        <v>45859.0</v>
      </c>
      <c r="K211" s="14" t="s">
        <v>786</v>
      </c>
      <c r="L211" s="14" t="s">
        <v>787</v>
      </c>
      <c r="M211" s="36">
        <v>22.0</v>
      </c>
      <c r="N211" s="14" t="s">
        <v>791</v>
      </c>
      <c r="O211" s="14" t="s">
        <v>798</v>
      </c>
      <c r="P211" s="14" t="s">
        <v>799</v>
      </c>
      <c r="Q211" s="14" t="s">
        <v>791</v>
      </c>
      <c r="R211" s="37"/>
      <c r="S211" s="14" t="s">
        <v>788</v>
      </c>
      <c r="T211" s="14" t="s">
        <v>788</v>
      </c>
      <c r="U211" s="14" t="s">
        <v>1667</v>
      </c>
      <c r="V211" s="37"/>
      <c r="W211" s="37"/>
      <c r="X211" s="37"/>
      <c r="Y211" s="37"/>
      <c r="Z211" s="36">
        <v>71.0</v>
      </c>
      <c r="AA211" s="14" t="s">
        <v>1058</v>
      </c>
      <c r="AB211" s="37"/>
      <c r="AC211" s="37"/>
      <c r="AD211" s="37"/>
      <c r="AE211" s="37"/>
      <c r="AF211" s="37"/>
      <c r="AG211" s="14" t="s">
        <v>1668</v>
      </c>
      <c r="AL211" s="37"/>
      <c r="AM211" s="37"/>
      <c r="AN211" s="14" t="s">
        <v>1669</v>
      </c>
    </row>
    <row r="212">
      <c r="A212" s="14" t="s">
        <v>1670</v>
      </c>
      <c r="B212" s="14" t="s">
        <v>781</v>
      </c>
      <c r="C212" s="14" t="s">
        <v>967</v>
      </c>
      <c r="D212" s="14" t="s">
        <v>968</v>
      </c>
      <c r="E212" s="36">
        <v>610.0</v>
      </c>
      <c r="F212" s="14" t="s">
        <v>969</v>
      </c>
      <c r="G212" s="14" t="s">
        <v>933</v>
      </c>
      <c r="H212" s="14" t="s">
        <v>20</v>
      </c>
      <c r="I212" s="38">
        <v>44174.0</v>
      </c>
      <c r="J212" s="38">
        <v>44174.0</v>
      </c>
      <c r="K212" s="14" t="s">
        <v>786</v>
      </c>
      <c r="L212" s="14" t="s">
        <v>787</v>
      </c>
      <c r="M212" s="36">
        <v>22.0</v>
      </c>
      <c r="N212" s="14" t="s">
        <v>788</v>
      </c>
      <c r="O212" s="14" t="s">
        <v>789</v>
      </c>
      <c r="Q212" s="14" t="s">
        <v>791</v>
      </c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14" t="s">
        <v>1671</v>
      </c>
      <c r="AL212" s="37"/>
      <c r="AM212" s="37"/>
      <c r="AN212" s="14" t="s">
        <v>1075</v>
      </c>
    </row>
    <row r="213">
      <c r="A213" s="14" t="s">
        <v>1672</v>
      </c>
      <c r="B213" s="14" t="s">
        <v>781</v>
      </c>
      <c r="C213" s="14" t="s">
        <v>804</v>
      </c>
      <c r="D213" s="14" t="s">
        <v>805</v>
      </c>
      <c r="E213" s="36">
        <v>628.0</v>
      </c>
      <c r="F213" s="14" t="s">
        <v>806</v>
      </c>
      <c r="G213" s="14" t="s">
        <v>807</v>
      </c>
      <c r="H213" s="14" t="s">
        <v>20</v>
      </c>
      <c r="I213" s="38">
        <v>41590.0</v>
      </c>
      <c r="J213" s="38">
        <v>41590.0</v>
      </c>
      <c r="K213" s="14" t="s">
        <v>786</v>
      </c>
      <c r="L213" s="14" t="s">
        <v>787</v>
      </c>
      <c r="M213" s="36">
        <v>22.0</v>
      </c>
      <c r="N213" s="14" t="s">
        <v>791</v>
      </c>
      <c r="O213" s="14" t="s">
        <v>798</v>
      </c>
      <c r="P213" s="14" t="s">
        <v>799</v>
      </c>
      <c r="Q213" s="14" t="s">
        <v>791</v>
      </c>
      <c r="R213" s="37"/>
      <c r="S213" s="14" t="s">
        <v>788</v>
      </c>
      <c r="T213" s="14" t="s">
        <v>788</v>
      </c>
      <c r="U213" s="14" t="s">
        <v>1338</v>
      </c>
      <c r="V213" s="37"/>
      <c r="W213" s="37"/>
      <c r="X213" s="37"/>
      <c r="Y213" s="37"/>
      <c r="Z213" s="36">
        <v>72.0</v>
      </c>
      <c r="AA213" s="14" t="s">
        <v>1339</v>
      </c>
      <c r="AB213" s="37"/>
      <c r="AC213" s="37"/>
      <c r="AD213" s="37"/>
      <c r="AE213" s="37"/>
      <c r="AF213" s="37"/>
      <c r="AG213" s="14" t="s">
        <v>1673</v>
      </c>
      <c r="AN213" s="14" t="s">
        <v>1674</v>
      </c>
    </row>
    <row r="214">
      <c r="A214" s="14" t="s">
        <v>1675</v>
      </c>
      <c r="B214" s="14" t="s">
        <v>781</v>
      </c>
      <c r="C214" s="14" t="s">
        <v>1552</v>
      </c>
      <c r="D214" s="14" t="s">
        <v>1553</v>
      </c>
      <c r="E214" s="36">
        <v>630.0</v>
      </c>
      <c r="F214" s="14" t="s">
        <v>1554</v>
      </c>
      <c r="G214" s="14" t="s">
        <v>1555</v>
      </c>
      <c r="H214" s="14" t="s">
        <v>103</v>
      </c>
      <c r="I214" s="38">
        <v>10393.0</v>
      </c>
      <c r="J214" s="38">
        <v>37666.0</v>
      </c>
      <c r="K214" s="14" t="s">
        <v>786</v>
      </c>
      <c r="L214" s="14" t="s">
        <v>787</v>
      </c>
      <c r="M214" s="36">
        <v>22.0</v>
      </c>
      <c r="N214" s="14" t="s">
        <v>791</v>
      </c>
      <c r="O214" s="14" t="s">
        <v>798</v>
      </c>
      <c r="P214" s="14" t="s">
        <v>830</v>
      </c>
      <c r="Q214" s="14" t="s">
        <v>791</v>
      </c>
      <c r="R214" s="37"/>
      <c r="S214" s="14" t="s">
        <v>788</v>
      </c>
      <c r="T214" s="14" t="s">
        <v>788</v>
      </c>
      <c r="U214" s="14" t="s">
        <v>1123</v>
      </c>
      <c r="V214" s="37"/>
      <c r="W214" s="37"/>
      <c r="X214" s="37"/>
      <c r="Y214" s="37"/>
      <c r="Z214" s="36">
        <v>95.0</v>
      </c>
      <c r="AA214" s="36">
        <v>24.0</v>
      </c>
      <c r="AB214" s="37"/>
      <c r="AC214" s="37"/>
      <c r="AD214" s="37"/>
      <c r="AE214" s="37"/>
      <c r="AF214" s="37"/>
      <c r="AG214" s="14" t="s">
        <v>1676</v>
      </c>
      <c r="AL214" s="37"/>
      <c r="AM214" s="37"/>
      <c r="AN214" s="14" t="s">
        <v>1677</v>
      </c>
    </row>
    <row r="215">
      <c r="A215" s="14" t="s">
        <v>1678</v>
      </c>
      <c r="B215" s="14" t="s">
        <v>781</v>
      </c>
      <c r="C215" s="14" t="s">
        <v>1679</v>
      </c>
      <c r="D215" s="14" t="s">
        <v>1680</v>
      </c>
      <c r="E215" s="36">
        <v>366.0</v>
      </c>
      <c r="F215" s="37"/>
      <c r="G215" s="14" t="s">
        <v>1408</v>
      </c>
      <c r="H215" s="14" t="s">
        <v>890</v>
      </c>
      <c r="I215" s="38">
        <v>24473.0</v>
      </c>
      <c r="J215" s="38">
        <v>46136.0</v>
      </c>
      <c r="K215" s="14" t="s">
        <v>786</v>
      </c>
      <c r="L215" s="14" t="s">
        <v>787</v>
      </c>
      <c r="M215" s="36">
        <v>22.0</v>
      </c>
      <c r="N215" s="14" t="s">
        <v>791</v>
      </c>
      <c r="O215" s="14" t="s">
        <v>798</v>
      </c>
      <c r="P215" s="14" t="s">
        <v>1681</v>
      </c>
      <c r="Q215" s="14" t="s">
        <v>791</v>
      </c>
      <c r="R215" s="37"/>
      <c r="S215" s="14" t="s">
        <v>791</v>
      </c>
      <c r="T215" s="14" t="s">
        <v>791</v>
      </c>
      <c r="U215" s="14" t="s">
        <v>800</v>
      </c>
      <c r="V215" s="37"/>
      <c r="W215" s="37"/>
      <c r="X215" s="37"/>
      <c r="Y215" s="37"/>
      <c r="Z215" s="36">
        <v>115.0</v>
      </c>
      <c r="AA215" s="36">
        <v>40.0</v>
      </c>
      <c r="AB215" s="37"/>
      <c r="AC215" s="37"/>
      <c r="AD215" s="37"/>
      <c r="AE215" s="37"/>
      <c r="AF215" s="37"/>
      <c r="AG215" s="14" t="s">
        <v>1682</v>
      </c>
      <c r="AL215" s="37"/>
      <c r="AM215" s="37"/>
      <c r="AN215" s="14" t="s">
        <v>1683</v>
      </c>
    </row>
    <row r="216">
      <c r="A216" s="14" t="s">
        <v>1684</v>
      </c>
      <c r="B216" s="14" t="s">
        <v>781</v>
      </c>
      <c r="C216" s="14" t="s">
        <v>795</v>
      </c>
      <c r="D216" s="14" t="s">
        <v>796</v>
      </c>
      <c r="E216" s="36">
        <v>471.0</v>
      </c>
      <c r="F216" s="37"/>
      <c r="G216" s="14" t="s">
        <v>797</v>
      </c>
      <c r="H216" s="14" t="s">
        <v>20</v>
      </c>
      <c r="I216" s="38">
        <v>43343.0</v>
      </c>
      <c r="J216" s="38">
        <v>43343.0</v>
      </c>
      <c r="K216" s="14" t="s">
        <v>786</v>
      </c>
      <c r="L216" s="14" t="s">
        <v>787</v>
      </c>
      <c r="M216" s="36">
        <v>22.0</v>
      </c>
      <c r="N216" s="14" t="s">
        <v>791</v>
      </c>
      <c r="O216" s="14" t="s">
        <v>798</v>
      </c>
      <c r="P216" s="14" t="s">
        <v>868</v>
      </c>
      <c r="Q216" s="14" t="s">
        <v>791</v>
      </c>
      <c r="R216" s="37"/>
      <c r="S216" s="14" t="s">
        <v>788</v>
      </c>
      <c r="T216" s="14" t="s">
        <v>788</v>
      </c>
      <c r="U216" s="36">
        <v>83.3</v>
      </c>
      <c r="V216" s="37"/>
      <c r="W216" s="37"/>
      <c r="X216" s="37"/>
      <c r="Y216" s="37"/>
      <c r="Z216" s="36">
        <v>288.0</v>
      </c>
      <c r="AA216" s="36">
        <v>1000.0</v>
      </c>
      <c r="AB216" s="37"/>
      <c r="AC216" s="37"/>
      <c r="AD216" s="37"/>
      <c r="AE216" s="37"/>
      <c r="AF216" s="37"/>
      <c r="AG216" s="14" t="s">
        <v>922</v>
      </c>
      <c r="AM216" s="37"/>
      <c r="AN216" s="14" t="s">
        <v>1685</v>
      </c>
    </row>
    <row r="217">
      <c r="A217" s="14" t="s">
        <v>1686</v>
      </c>
      <c r="B217" s="14" t="s">
        <v>781</v>
      </c>
      <c r="C217" s="14" t="s">
        <v>1519</v>
      </c>
      <c r="D217" s="14" t="s">
        <v>1520</v>
      </c>
      <c r="E217" s="36">
        <v>162.0</v>
      </c>
      <c r="F217" s="37"/>
      <c r="G217" s="14" t="s">
        <v>807</v>
      </c>
      <c r="H217" s="14" t="s">
        <v>20</v>
      </c>
      <c r="I217" s="37"/>
      <c r="J217" s="38">
        <v>40906.0</v>
      </c>
      <c r="K217" s="14" t="s">
        <v>786</v>
      </c>
      <c r="L217" s="14" t="s">
        <v>787</v>
      </c>
      <c r="M217" s="36">
        <v>22.0</v>
      </c>
      <c r="N217" s="14" t="s">
        <v>788</v>
      </c>
      <c r="O217" s="14" t="s">
        <v>789</v>
      </c>
      <c r="P217" s="14" t="s">
        <v>790</v>
      </c>
      <c r="Q217" s="14" t="s">
        <v>791</v>
      </c>
      <c r="R217" s="37"/>
      <c r="S217" s="14" t="s">
        <v>788</v>
      </c>
      <c r="T217" s="14" t="s">
        <v>788</v>
      </c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14" t="s">
        <v>1687</v>
      </c>
      <c r="AL217" s="37"/>
      <c r="AM217" s="37"/>
      <c r="AN217" s="14" t="s">
        <v>1688</v>
      </c>
    </row>
    <row r="218">
      <c r="A218" s="14" t="s">
        <v>1689</v>
      </c>
      <c r="B218" s="14" t="s">
        <v>781</v>
      </c>
      <c r="C218" s="14" t="s">
        <v>925</v>
      </c>
      <c r="D218" s="14" t="s">
        <v>926</v>
      </c>
      <c r="E218" s="36">
        <v>278.0</v>
      </c>
      <c r="F218" s="37"/>
      <c r="G218" s="14" t="s">
        <v>860</v>
      </c>
      <c r="H218" s="14" t="s">
        <v>68</v>
      </c>
      <c r="I218" s="38">
        <v>32478.0</v>
      </c>
      <c r="J218" s="38">
        <v>39419.0</v>
      </c>
      <c r="K218" s="14" t="s">
        <v>786</v>
      </c>
      <c r="L218" s="14" t="s">
        <v>787</v>
      </c>
      <c r="M218" s="36">
        <v>22.0</v>
      </c>
      <c r="N218" s="14" t="s">
        <v>791</v>
      </c>
      <c r="O218" s="14" t="s">
        <v>798</v>
      </c>
      <c r="P218" s="14" t="s">
        <v>799</v>
      </c>
      <c r="Q218" s="14" t="s">
        <v>791</v>
      </c>
      <c r="R218" s="37"/>
      <c r="S218" s="14" t="s">
        <v>788</v>
      </c>
      <c r="T218" s="14" t="s">
        <v>788</v>
      </c>
      <c r="U218" s="14" t="s">
        <v>1021</v>
      </c>
      <c r="V218" s="37"/>
      <c r="W218" s="37"/>
      <c r="X218" s="37"/>
      <c r="Y218" s="37"/>
      <c r="Z218" s="36">
        <v>55.0</v>
      </c>
      <c r="AA218" s="14" t="s">
        <v>1058</v>
      </c>
      <c r="AB218" s="37"/>
      <c r="AC218" s="37"/>
      <c r="AD218" s="37"/>
      <c r="AE218" s="37"/>
      <c r="AF218" s="37"/>
      <c r="AG218" s="14" t="s">
        <v>1690</v>
      </c>
      <c r="AL218" s="37"/>
      <c r="AM218" s="37"/>
      <c r="AN218" s="14" t="s">
        <v>1691</v>
      </c>
    </row>
    <row r="219">
      <c r="A219" s="14" t="s">
        <v>1692</v>
      </c>
      <c r="B219" s="14" t="s">
        <v>781</v>
      </c>
      <c r="C219" s="14" t="s">
        <v>1062</v>
      </c>
      <c r="D219" s="14" t="s">
        <v>805</v>
      </c>
      <c r="E219" s="36">
        <v>628.0</v>
      </c>
      <c r="F219" s="14" t="s">
        <v>806</v>
      </c>
      <c r="G219" s="14" t="s">
        <v>829</v>
      </c>
      <c r="H219" s="14" t="s">
        <v>20</v>
      </c>
      <c r="I219" s="37"/>
      <c r="J219" s="38">
        <v>41953.0</v>
      </c>
      <c r="K219" s="14" t="s">
        <v>786</v>
      </c>
      <c r="L219" s="14" t="s">
        <v>787</v>
      </c>
      <c r="M219" s="36">
        <v>22.0</v>
      </c>
      <c r="N219" s="14" t="s">
        <v>788</v>
      </c>
      <c r="O219" s="14" t="s">
        <v>789</v>
      </c>
      <c r="P219" s="14" t="s">
        <v>1066</v>
      </c>
      <c r="Q219" s="14" t="s">
        <v>791</v>
      </c>
      <c r="R219" s="37"/>
      <c r="S219" s="14" t="s">
        <v>788</v>
      </c>
      <c r="T219" s="14" t="s">
        <v>788</v>
      </c>
      <c r="U219" s="37"/>
      <c r="V219" s="37"/>
      <c r="W219" s="37"/>
      <c r="X219" s="37"/>
      <c r="Y219" s="37"/>
      <c r="Z219" s="36">
        <v>0.0</v>
      </c>
      <c r="AA219" s="37"/>
      <c r="AB219" s="37"/>
      <c r="AC219" s="37"/>
      <c r="AD219" s="37"/>
      <c r="AE219" s="37"/>
      <c r="AF219" s="37"/>
      <c r="AG219" s="14" t="s">
        <v>1693</v>
      </c>
      <c r="AN219" s="14" t="s">
        <v>1694</v>
      </c>
    </row>
    <row r="220">
      <c r="A220" s="14" t="s">
        <v>1695</v>
      </c>
      <c r="B220" s="14" t="s">
        <v>781</v>
      </c>
      <c r="C220" s="14" t="s">
        <v>1011</v>
      </c>
      <c r="D220" s="14" t="s">
        <v>1012</v>
      </c>
      <c r="E220" s="36">
        <v>476.0</v>
      </c>
      <c r="F220" s="37"/>
      <c r="G220" s="14" t="s">
        <v>814</v>
      </c>
      <c r="H220" s="14" t="s">
        <v>20</v>
      </c>
      <c r="I220" s="38">
        <v>42736.0</v>
      </c>
      <c r="J220" s="38">
        <v>42736.0</v>
      </c>
      <c r="K220" s="14" t="s">
        <v>786</v>
      </c>
      <c r="L220" s="14" t="s">
        <v>787</v>
      </c>
      <c r="M220" s="36">
        <v>22.0</v>
      </c>
      <c r="N220" s="14" t="s">
        <v>791</v>
      </c>
      <c r="O220" s="14" t="s">
        <v>798</v>
      </c>
      <c r="P220" s="14" t="s">
        <v>799</v>
      </c>
      <c r="Q220" s="14" t="s">
        <v>791</v>
      </c>
      <c r="R220" s="37"/>
      <c r="S220" s="14" t="s">
        <v>791</v>
      </c>
      <c r="T220" s="14" t="s">
        <v>791</v>
      </c>
      <c r="U220" s="14" t="s">
        <v>1156</v>
      </c>
      <c r="W220" s="37"/>
      <c r="X220" s="37"/>
      <c r="Y220" s="37"/>
      <c r="Z220" s="36">
        <v>125.0</v>
      </c>
      <c r="AA220" s="37"/>
      <c r="AB220" s="37"/>
      <c r="AC220" s="37"/>
      <c r="AD220" s="37"/>
      <c r="AE220" s="37"/>
      <c r="AF220" s="37"/>
      <c r="AG220" s="14" t="s">
        <v>1647</v>
      </c>
      <c r="AK220" s="37"/>
      <c r="AL220" s="37"/>
      <c r="AM220" s="37"/>
      <c r="AN220" s="14" t="s">
        <v>1696</v>
      </c>
    </row>
    <row r="221">
      <c r="A221" s="14" t="s">
        <v>1697</v>
      </c>
      <c r="B221" s="14" t="s">
        <v>781</v>
      </c>
      <c r="C221" s="14" t="s">
        <v>1505</v>
      </c>
      <c r="D221" s="14" t="s">
        <v>1506</v>
      </c>
      <c r="E221" s="36">
        <v>173.0</v>
      </c>
      <c r="F221" s="37"/>
      <c r="G221" s="14" t="s">
        <v>807</v>
      </c>
      <c r="H221" s="14" t="s">
        <v>103</v>
      </c>
      <c r="I221" s="38">
        <v>12229.0</v>
      </c>
      <c r="J221" s="38">
        <v>45792.0</v>
      </c>
      <c r="K221" s="14" t="s">
        <v>786</v>
      </c>
      <c r="L221" s="14" t="s">
        <v>787</v>
      </c>
      <c r="M221" s="36">
        <v>22.0</v>
      </c>
      <c r="N221" s="14" t="s">
        <v>791</v>
      </c>
      <c r="O221" s="14" t="s">
        <v>798</v>
      </c>
      <c r="P221" s="14" t="s">
        <v>799</v>
      </c>
      <c r="Q221" s="14" t="s">
        <v>791</v>
      </c>
      <c r="R221" s="37"/>
      <c r="S221" s="14" t="s">
        <v>788</v>
      </c>
      <c r="T221" s="14" t="s">
        <v>788</v>
      </c>
      <c r="U221" s="14" t="s">
        <v>1507</v>
      </c>
      <c r="V221" s="37"/>
      <c r="W221" s="37"/>
      <c r="X221" s="37"/>
      <c r="Y221" s="37"/>
      <c r="Z221" s="36">
        <v>140.0</v>
      </c>
      <c r="AA221" s="36">
        <v>24.0</v>
      </c>
      <c r="AB221" s="37"/>
      <c r="AC221" s="37"/>
      <c r="AD221" s="37"/>
      <c r="AE221" s="37"/>
      <c r="AF221" s="37"/>
      <c r="AG221" s="14" t="s">
        <v>1698</v>
      </c>
      <c r="AM221" s="37"/>
      <c r="AN221" s="14" t="s">
        <v>1699</v>
      </c>
    </row>
    <row r="222">
      <c r="A222" s="14" t="s">
        <v>1700</v>
      </c>
      <c r="B222" s="14" t="s">
        <v>781</v>
      </c>
      <c r="C222" s="14" t="s">
        <v>795</v>
      </c>
      <c r="D222" s="14" t="s">
        <v>796</v>
      </c>
      <c r="E222" s="36">
        <v>471.0</v>
      </c>
      <c r="F222" s="37"/>
      <c r="G222" s="14" t="s">
        <v>797</v>
      </c>
      <c r="H222" s="14" t="s">
        <v>20</v>
      </c>
      <c r="I222" s="38">
        <v>42260.0</v>
      </c>
      <c r="J222" s="38">
        <v>42260.0</v>
      </c>
      <c r="K222" s="14" t="s">
        <v>786</v>
      </c>
      <c r="L222" s="14" t="s">
        <v>787</v>
      </c>
      <c r="M222" s="36">
        <v>22.0</v>
      </c>
      <c r="N222" s="14" t="s">
        <v>791</v>
      </c>
      <c r="O222" s="14" t="s">
        <v>798</v>
      </c>
      <c r="P222" s="14" t="s">
        <v>799</v>
      </c>
      <c r="Q222" s="14" t="s">
        <v>791</v>
      </c>
      <c r="R222" s="37"/>
      <c r="S222" s="14" t="s">
        <v>788</v>
      </c>
      <c r="T222" s="14" t="s">
        <v>788</v>
      </c>
      <c r="U222" s="14" t="s">
        <v>980</v>
      </c>
      <c r="W222" s="37"/>
      <c r="X222" s="37"/>
      <c r="Y222" s="37"/>
      <c r="Z222" s="36">
        <v>283.0</v>
      </c>
      <c r="AA222" s="14" t="s">
        <v>981</v>
      </c>
      <c r="AC222" s="37"/>
      <c r="AD222" s="37"/>
      <c r="AE222" s="37"/>
      <c r="AF222" s="37"/>
      <c r="AG222" s="14" t="s">
        <v>1701</v>
      </c>
      <c r="AL222" s="37"/>
      <c r="AM222" s="37"/>
      <c r="AN222" s="14" t="s">
        <v>1702</v>
      </c>
    </row>
    <row r="223">
      <c r="A223" s="14" t="s">
        <v>1703</v>
      </c>
      <c r="B223" s="14" t="s">
        <v>781</v>
      </c>
      <c r="C223" s="14" t="s">
        <v>1040</v>
      </c>
      <c r="D223" s="14" t="s">
        <v>1041</v>
      </c>
      <c r="E223" s="36">
        <v>617.0</v>
      </c>
      <c r="F223" s="14" t="s">
        <v>1042</v>
      </c>
      <c r="G223" s="14" t="s">
        <v>1043</v>
      </c>
      <c r="H223" s="14" t="s">
        <v>103</v>
      </c>
      <c r="I223" s="37"/>
      <c r="J223" s="38">
        <v>41187.0</v>
      </c>
      <c r="K223" s="14" t="s">
        <v>786</v>
      </c>
      <c r="L223" s="14" t="s">
        <v>787</v>
      </c>
      <c r="M223" s="36">
        <v>22.0</v>
      </c>
      <c r="N223" s="14" t="s">
        <v>788</v>
      </c>
      <c r="O223" s="14" t="s">
        <v>789</v>
      </c>
      <c r="P223" s="14" t="s">
        <v>868</v>
      </c>
      <c r="Q223" s="14" t="s">
        <v>791</v>
      </c>
      <c r="R223" s="37"/>
      <c r="S223" s="14" t="s">
        <v>788</v>
      </c>
      <c r="T223" s="14" t="s">
        <v>788</v>
      </c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14" t="s">
        <v>1704</v>
      </c>
      <c r="AN223" s="14" t="s">
        <v>1705</v>
      </c>
    </row>
    <row r="224">
      <c r="A224" s="14" t="s">
        <v>1706</v>
      </c>
      <c r="B224" s="14" t="s">
        <v>781</v>
      </c>
      <c r="C224" s="14" t="s">
        <v>1115</v>
      </c>
      <c r="D224" s="14" t="s">
        <v>1116</v>
      </c>
      <c r="E224" s="36">
        <v>151.0</v>
      </c>
      <c r="F224" s="37"/>
      <c r="G224" s="14" t="s">
        <v>807</v>
      </c>
      <c r="H224" s="14" t="s">
        <v>20</v>
      </c>
      <c r="I224" s="38">
        <v>12236.0</v>
      </c>
      <c r="J224" s="38">
        <v>46109.0</v>
      </c>
      <c r="K224" s="14" t="s">
        <v>786</v>
      </c>
      <c r="L224" s="14" t="s">
        <v>787</v>
      </c>
      <c r="M224" s="36">
        <v>22.0</v>
      </c>
      <c r="N224" s="14" t="s">
        <v>791</v>
      </c>
      <c r="O224" s="14" t="s">
        <v>798</v>
      </c>
      <c r="P224" s="14" t="s">
        <v>799</v>
      </c>
      <c r="Q224" s="14" t="s">
        <v>791</v>
      </c>
      <c r="R224" s="37"/>
      <c r="S224" s="14" t="s">
        <v>788</v>
      </c>
      <c r="T224" s="14" t="s">
        <v>788</v>
      </c>
      <c r="U224" s="14" t="s">
        <v>1305</v>
      </c>
      <c r="V224" s="37"/>
      <c r="W224" s="37"/>
      <c r="X224" s="37"/>
      <c r="Y224" s="37"/>
      <c r="Z224" s="36">
        <v>135.0</v>
      </c>
      <c r="AA224" s="36">
        <v>24.0</v>
      </c>
      <c r="AB224" s="37"/>
      <c r="AC224" s="37"/>
      <c r="AD224" s="37"/>
      <c r="AE224" s="37"/>
      <c r="AF224" s="37"/>
      <c r="AG224" s="14" t="s">
        <v>1707</v>
      </c>
      <c r="AM224" s="37"/>
      <c r="AN224" s="14" t="s">
        <v>1708</v>
      </c>
    </row>
    <row r="225">
      <c r="A225" s="14" t="s">
        <v>1709</v>
      </c>
      <c r="B225" s="14" t="s">
        <v>781</v>
      </c>
      <c r="C225" s="14" t="s">
        <v>812</v>
      </c>
      <c r="D225" s="14" t="s">
        <v>813</v>
      </c>
      <c r="E225" s="36">
        <v>475.0</v>
      </c>
      <c r="F225" s="37"/>
      <c r="G225" s="14" t="s">
        <v>814</v>
      </c>
      <c r="H225" s="14" t="s">
        <v>20</v>
      </c>
      <c r="I225" s="38">
        <v>42736.0</v>
      </c>
      <c r="J225" s="38">
        <v>42736.0</v>
      </c>
      <c r="K225" s="14" t="s">
        <v>786</v>
      </c>
      <c r="L225" s="14" t="s">
        <v>787</v>
      </c>
      <c r="M225" s="36">
        <v>22.0</v>
      </c>
      <c r="N225" s="14" t="s">
        <v>791</v>
      </c>
      <c r="O225" s="14" t="s">
        <v>798</v>
      </c>
      <c r="P225" s="14" t="s">
        <v>799</v>
      </c>
      <c r="Q225" s="14" t="s">
        <v>791</v>
      </c>
      <c r="R225" s="37"/>
      <c r="S225" s="14" t="s">
        <v>791</v>
      </c>
      <c r="T225" s="14" t="s">
        <v>791</v>
      </c>
      <c r="U225" s="14" t="s">
        <v>1238</v>
      </c>
      <c r="W225" s="37"/>
      <c r="X225" s="37"/>
      <c r="Y225" s="37"/>
      <c r="Z225" s="36">
        <v>111.0</v>
      </c>
      <c r="AA225" s="14" t="s">
        <v>816</v>
      </c>
      <c r="AC225" s="37"/>
      <c r="AD225" s="37"/>
      <c r="AE225" s="37"/>
      <c r="AF225" s="37"/>
      <c r="AG225" s="14" t="s">
        <v>1710</v>
      </c>
      <c r="AK225" s="37"/>
      <c r="AL225" s="37"/>
      <c r="AM225" s="37"/>
      <c r="AN225" s="14" t="s">
        <v>1711</v>
      </c>
    </row>
    <row r="226">
      <c r="A226" s="14" t="s">
        <v>1712</v>
      </c>
      <c r="B226" s="14" t="s">
        <v>781</v>
      </c>
      <c r="C226" s="14" t="s">
        <v>782</v>
      </c>
      <c r="D226" s="14" t="s">
        <v>783</v>
      </c>
      <c r="E226" s="36">
        <v>612.0</v>
      </c>
      <c r="F226" s="14" t="s">
        <v>784</v>
      </c>
      <c r="G226" s="14" t="s">
        <v>785</v>
      </c>
      <c r="H226" s="14" t="s">
        <v>20</v>
      </c>
      <c r="I226" s="38">
        <v>23427.0</v>
      </c>
      <c r="J226" s="38">
        <v>45239.0</v>
      </c>
      <c r="K226" s="14" t="s">
        <v>786</v>
      </c>
      <c r="L226" s="14" t="s">
        <v>787</v>
      </c>
      <c r="M226" s="36">
        <v>22.0</v>
      </c>
      <c r="N226" s="14" t="s">
        <v>791</v>
      </c>
      <c r="O226" s="14" t="s">
        <v>798</v>
      </c>
      <c r="P226" s="14" t="s">
        <v>853</v>
      </c>
      <c r="Q226" s="14" t="s">
        <v>791</v>
      </c>
      <c r="R226" s="37"/>
      <c r="S226" s="14" t="s">
        <v>788</v>
      </c>
      <c r="T226" s="14" t="s">
        <v>788</v>
      </c>
      <c r="U226" s="14" t="s">
        <v>1363</v>
      </c>
      <c r="V226" s="37"/>
      <c r="W226" s="37"/>
      <c r="X226" s="37"/>
      <c r="Y226" s="37"/>
      <c r="Z226" s="36">
        <v>185.0</v>
      </c>
      <c r="AA226" s="36">
        <v>40.0</v>
      </c>
      <c r="AB226" s="37"/>
      <c r="AC226" s="37"/>
      <c r="AD226" s="37"/>
      <c r="AE226" s="37"/>
      <c r="AF226" s="37"/>
      <c r="AG226" s="14" t="s">
        <v>1713</v>
      </c>
      <c r="AK226" s="37"/>
      <c r="AL226" s="37"/>
      <c r="AM226" s="37"/>
      <c r="AN226" s="14" t="s">
        <v>1714</v>
      </c>
    </row>
    <row r="227">
      <c r="A227" s="14" t="s">
        <v>1715</v>
      </c>
      <c r="B227" s="14" t="s">
        <v>781</v>
      </c>
      <c r="C227" s="14" t="s">
        <v>878</v>
      </c>
      <c r="D227" s="14" t="s">
        <v>879</v>
      </c>
      <c r="E227" s="36">
        <v>276.0</v>
      </c>
      <c r="F227" s="37"/>
      <c r="G227" s="14" t="s">
        <v>785</v>
      </c>
      <c r="H227" s="14" t="s">
        <v>20</v>
      </c>
      <c r="I227" s="38">
        <v>22087.0</v>
      </c>
      <c r="J227" s="38">
        <v>45744.0</v>
      </c>
      <c r="K227" s="14" t="s">
        <v>786</v>
      </c>
      <c r="L227" s="14" t="s">
        <v>787</v>
      </c>
      <c r="M227" s="36">
        <v>22.0</v>
      </c>
      <c r="N227" s="14" t="s">
        <v>791</v>
      </c>
      <c r="O227" s="14" t="s">
        <v>798</v>
      </c>
      <c r="P227" s="14" t="s">
        <v>799</v>
      </c>
      <c r="Q227" s="14" t="s">
        <v>791</v>
      </c>
      <c r="R227" s="37"/>
      <c r="S227" s="14" t="s">
        <v>788</v>
      </c>
      <c r="T227" s="14" t="s">
        <v>788</v>
      </c>
      <c r="U227" s="14" t="s">
        <v>880</v>
      </c>
      <c r="V227" s="37"/>
      <c r="W227" s="37"/>
      <c r="X227" s="37"/>
      <c r="Y227" s="37"/>
      <c r="Z227" s="36">
        <v>166.0</v>
      </c>
      <c r="AA227" s="36">
        <v>40.0</v>
      </c>
      <c r="AB227" s="37"/>
      <c r="AC227" s="37"/>
      <c r="AD227" s="37"/>
      <c r="AE227" s="37"/>
      <c r="AF227" s="37"/>
      <c r="AG227" s="14" t="s">
        <v>1716</v>
      </c>
      <c r="AK227" s="37"/>
      <c r="AL227" s="37"/>
      <c r="AM227" s="37"/>
      <c r="AN227" s="14" t="s">
        <v>1717</v>
      </c>
    </row>
    <row r="228">
      <c r="A228" s="14" t="s">
        <v>1718</v>
      </c>
      <c r="B228" s="14" t="s">
        <v>781</v>
      </c>
      <c r="C228" s="14" t="s">
        <v>1025</v>
      </c>
      <c r="D228" s="14" t="s">
        <v>1026</v>
      </c>
      <c r="E228" s="36">
        <v>620.0</v>
      </c>
      <c r="F228" s="14" t="s">
        <v>1027</v>
      </c>
      <c r="G228" s="14" t="s">
        <v>1028</v>
      </c>
      <c r="H228" s="14" t="s">
        <v>103</v>
      </c>
      <c r="I228" s="38">
        <v>11273.0</v>
      </c>
      <c r="J228" s="38">
        <v>37819.0</v>
      </c>
      <c r="K228" s="14" t="s">
        <v>786</v>
      </c>
      <c r="L228" s="14" t="s">
        <v>787</v>
      </c>
      <c r="M228" s="36">
        <v>22.0</v>
      </c>
      <c r="N228" s="14" t="s">
        <v>791</v>
      </c>
      <c r="O228" s="14" t="s">
        <v>798</v>
      </c>
      <c r="P228" s="14" t="s">
        <v>830</v>
      </c>
      <c r="Q228" s="14" t="s">
        <v>791</v>
      </c>
      <c r="R228" s="37"/>
      <c r="S228" s="14" t="s">
        <v>788</v>
      </c>
      <c r="T228" s="14" t="s">
        <v>788</v>
      </c>
      <c r="U228" s="14" t="s">
        <v>1029</v>
      </c>
      <c r="V228" s="37"/>
      <c r="W228" s="37"/>
      <c r="X228" s="37"/>
      <c r="Y228" s="37"/>
      <c r="Z228" s="36">
        <v>78.0</v>
      </c>
      <c r="AA228" s="36">
        <v>40.0</v>
      </c>
      <c r="AB228" s="37"/>
      <c r="AC228" s="37"/>
      <c r="AD228" s="37"/>
      <c r="AE228" s="37"/>
      <c r="AF228" s="37"/>
      <c r="AG228" s="14" t="s">
        <v>1719</v>
      </c>
      <c r="AN228" s="14" t="s">
        <v>1720</v>
      </c>
    </row>
    <row r="229">
      <c r="A229" s="14" t="s">
        <v>1721</v>
      </c>
      <c r="B229" s="14" t="s">
        <v>781</v>
      </c>
      <c r="C229" s="14" t="s">
        <v>887</v>
      </c>
      <c r="D229" s="14" t="s">
        <v>888</v>
      </c>
      <c r="E229" s="36">
        <v>424.0</v>
      </c>
      <c r="F229" s="37"/>
      <c r="G229" s="14" t="s">
        <v>889</v>
      </c>
      <c r="H229" s="14" t="s">
        <v>890</v>
      </c>
      <c r="I229" s="38">
        <v>35247.0</v>
      </c>
      <c r="J229" s="38">
        <v>44991.0</v>
      </c>
      <c r="K229" s="14" t="s">
        <v>786</v>
      </c>
      <c r="L229" s="14" t="s">
        <v>787</v>
      </c>
      <c r="M229" s="36">
        <v>22.0</v>
      </c>
      <c r="N229" s="14" t="s">
        <v>791</v>
      </c>
      <c r="O229" s="14" t="s">
        <v>798</v>
      </c>
      <c r="P229" s="14" t="s">
        <v>799</v>
      </c>
      <c r="Q229" s="14" t="s">
        <v>791</v>
      </c>
      <c r="R229" s="37"/>
      <c r="S229" s="14" t="s">
        <v>791</v>
      </c>
      <c r="T229" s="14" t="s">
        <v>791</v>
      </c>
      <c r="U229" s="14" t="s">
        <v>1722</v>
      </c>
      <c r="W229" s="37"/>
      <c r="X229" s="37"/>
      <c r="Y229" s="37"/>
      <c r="Z229" s="36">
        <v>94.0</v>
      </c>
      <c r="AA229" s="14" t="s">
        <v>1410</v>
      </c>
      <c r="AD229" s="37"/>
      <c r="AE229" s="37"/>
      <c r="AF229" s="37"/>
      <c r="AG229" s="14" t="s">
        <v>1723</v>
      </c>
      <c r="AM229" s="37"/>
      <c r="AN229" s="14" t="s">
        <v>1724</v>
      </c>
    </row>
    <row r="230">
      <c r="A230" s="14" t="s">
        <v>1725</v>
      </c>
      <c r="B230" s="14" t="s">
        <v>781</v>
      </c>
      <c r="C230" s="14" t="s">
        <v>1726</v>
      </c>
      <c r="D230" s="14" t="s">
        <v>1727</v>
      </c>
      <c r="E230" s="36">
        <v>620.0</v>
      </c>
      <c r="F230" s="14" t="s">
        <v>1027</v>
      </c>
      <c r="G230" s="14" t="s">
        <v>1183</v>
      </c>
      <c r="H230" s="14" t="s">
        <v>103</v>
      </c>
      <c r="I230" s="38">
        <v>8591.0</v>
      </c>
      <c r="J230" s="38">
        <v>37869.0</v>
      </c>
      <c r="K230" s="14" t="s">
        <v>786</v>
      </c>
      <c r="L230" s="14" t="s">
        <v>787</v>
      </c>
      <c r="M230" s="36">
        <v>22.0</v>
      </c>
      <c r="N230" s="14" t="s">
        <v>791</v>
      </c>
      <c r="O230" s="14" t="s">
        <v>798</v>
      </c>
      <c r="P230" s="14" t="s">
        <v>830</v>
      </c>
      <c r="Q230" s="14" t="s">
        <v>791</v>
      </c>
      <c r="R230" s="37"/>
      <c r="S230" s="14" t="s">
        <v>788</v>
      </c>
      <c r="T230" s="14" t="s">
        <v>788</v>
      </c>
      <c r="U230" s="14" t="s">
        <v>1070</v>
      </c>
      <c r="V230" s="37"/>
      <c r="W230" s="37"/>
      <c r="X230" s="37"/>
      <c r="Y230" s="37"/>
      <c r="Z230" s="36">
        <v>104.0</v>
      </c>
      <c r="AA230" s="36">
        <v>40.0</v>
      </c>
      <c r="AB230" s="37"/>
      <c r="AC230" s="37"/>
      <c r="AD230" s="37"/>
      <c r="AE230" s="37"/>
      <c r="AF230" s="37"/>
      <c r="AG230" s="14" t="s">
        <v>1728</v>
      </c>
      <c r="AN230" s="14" t="s">
        <v>1729</v>
      </c>
    </row>
    <row r="231">
      <c r="A231" s="14" t="s">
        <v>1730</v>
      </c>
      <c r="B231" s="14" t="s">
        <v>781</v>
      </c>
      <c r="C231" s="14" t="s">
        <v>940</v>
      </c>
      <c r="D231" s="14" t="s">
        <v>941</v>
      </c>
      <c r="E231" s="36">
        <v>223.0</v>
      </c>
      <c r="F231" s="37"/>
      <c r="G231" s="14" t="s">
        <v>822</v>
      </c>
      <c r="H231" s="14" t="s">
        <v>20</v>
      </c>
      <c r="I231" s="38">
        <v>32782.0</v>
      </c>
      <c r="J231" s="38">
        <v>46045.0</v>
      </c>
      <c r="K231" s="14" t="s">
        <v>786</v>
      </c>
      <c r="L231" s="14" t="s">
        <v>787</v>
      </c>
      <c r="M231" s="36">
        <v>22.0</v>
      </c>
      <c r="N231" s="14" t="s">
        <v>791</v>
      </c>
      <c r="O231" s="14" t="s">
        <v>798</v>
      </c>
      <c r="P231" s="14" t="s">
        <v>799</v>
      </c>
      <c r="Q231" s="14" t="s">
        <v>791</v>
      </c>
      <c r="R231" s="37"/>
      <c r="S231" s="14" t="s">
        <v>791</v>
      </c>
      <c r="T231" s="14" t="s">
        <v>791</v>
      </c>
      <c r="U231" s="14" t="s">
        <v>1123</v>
      </c>
      <c r="V231" s="37"/>
      <c r="W231" s="37"/>
      <c r="X231" s="37"/>
      <c r="Y231" s="37"/>
      <c r="Z231" s="36">
        <v>91.0</v>
      </c>
      <c r="AA231" s="36">
        <v>40.0</v>
      </c>
      <c r="AB231" s="37"/>
      <c r="AC231" s="37"/>
      <c r="AD231" s="37"/>
      <c r="AE231" s="37"/>
      <c r="AF231" s="37"/>
      <c r="AG231" s="14" t="s">
        <v>1731</v>
      </c>
      <c r="AL231" s="37"/>
      <c r="AM231" s="37"/>
      <c r="AN231" s="14" t="s">
        <v>1732</v>
      </c>
    </row>
    <row r="232">
      <c r="A232" s="14" t="s">
        <v>1733</v>
      </c>
      <c r="B232" s="14" t="s">
        <v>781</v>
      </c>
      <c r="C232" s="14" t="s">
        <v>782</v>
      </c>
      <c r="D232" s="14" t="s">
        <v>783</v>
      </c>
      <c r="E232" s="36">
        <v>612.0</v>
      </c>
      <c r="F232" s="14" t="s">
        <v>784</v>
      </c>
      <c r="G232" s="14" t="s">
        <v>785</v>
      </c>
      <c r="H232" s="14" t="s">
        <v>20</v>
      </c>
      <c r="I232" s="38">
        <v>23268.0</v>
      </c>
      <c r="J232" s="38">
        <v>45883.0</v>
      </c>
      <c r="K232" s="14" t="s">
        <v>786</v>
      </c>
      <c r="L232" s="14" t="s">
        <v>787</v>
      </c>
      <c r="M232" s="36">
        <v>22.0</v>
      </c>
      <c r="N232" s="14" t="s">
        <v>791</v>
      </c>
      <c r="O232" s="14" t="s">
        <v>798</v>
      </c>
      <c r="P232" s="14" t="s">
        <v>799</v>
      </c>
      <c r="Q232" s="14" t="s">
        <v>791</v>
      </c>
      <c r="R232" s="37"/>
      <c r="S232" s="14" t="s">
        <v>788</v>
      </c>
      <c r="T232" s="14" t="s">
        <v>788</v>
      </c>
      <c r="U232" s="14" t="s">
        <v>1734</v>
      </c>
      <c r="V232" s="37"/>
      <c r="W232" s="37"/>
      <c r="X232" s="37"/>
      <c r="Y232" s="37"/>
      <c r="Z232" s="36">
        <v>217.0</v>
      </c>
      <c r="AA232" s="36">
        <v>40.0</v>
      </c>
      <c r="AB232" s="37"/>
      <c r="AC232" s="37"/>
      <c r="AD232" s="37"/>
      <c r="AE232" s="37"/>
      <c r="AF232" s="37"/>
      <c r="AG232" s="14" t="s">
        <v>1735</v>
      </c>
      <c r="AM232" s="37"/>
      <c r="AN232" s="14" t="s">
        <v>1736</v>
      </c>
    </row>
    <row r="233">
      <c r="A233" s="14" t="s">
        <v>1737</v>
      </c>
      <c r="B233" s="14" t="s">
        <v>781</v>
      </c>
      <c r="C233" s="14" t="s">
        <v>1011</v>
      </c>
      <c r="D233" s="14" t="s">
        <v>1012</v>
      </c>
      <c r="E233" s="36">
        <v>476.0</v>
      </c>
      <c r="F233" s="37"/>
      <c r="G233" s="14" t="s">
        <v>814</v>
      </c>
      <c r="H233" s="14" t="s">
        <v>20</v>
      </c>
      <c r="I233" s="38">
        <v>42736.0</v>
      </c>
      <c r="J233" s="38">
        <v>42736.0</v>
      </c>
      <c r="K233" s="14" t="s">
        <v>786</v>
      </c>
      <c r="L233" s="14" t="s">
        <v>787</v>
      </c>
      <c r="M233" s="36">
        <v>22.0</v>
      </c>
      <c r="N233" s="14" t="s">
        <v>791</v>
      </c>
      <c r="O233" s="14" t="s">
        <v>798</v>
      </c>
      <c r="P233" s="14" t="s">
        <v>799</v>
      </c>
      <c r="Q233" s="14" t="s">
        <v>791</v>
      </c>
      <c r="R233" s="37"/>
      <c r="S233" s="14" t="s">
        <v>791</v>
      </c>
      <c r="T233" s="14" t="s">
        <v>791</v>
      </c>
      <c r="U233" s="14" t="s">
        <v>1013</v>
      </c>
      <c r="W233" s="37"/>
      <c r="X233" s="37"/>
      <c r="Y233" s="37"/>
      <c r="Z233" s="36">
        <v>164.0</v>
      </c>
      <c r="AA233" s="14" t="s">
        <v>963</v>
      </c>
      <c r="AC233" s="37"/>
      <c r="AD233" s="37"/>
      <c r="AE233" s="37"/>
      <c r="AF233" s="37"/>
      <c r="AG233" s="14" t="s">
        <v>1014</v>
      </c>
      <c r="AL233" s="37"/>
      <c r="AM233" s="37"/>
      <c r="AN233" s="14" t="s">
        <v>1738</v>
      </c>
    </row>
    <row r="234">
      <c r="A234" s="14" t="s">
        <v>1739</v>
      </c>
      <c r="B234" s="14" t="s">
        <v>781</v>
      </c>
      <c r="C234" s="14" t="s">
        <v>967</v>
      </c>
      <c r="D234" s="14" t="s">
        <v>968</v>
      </c>
      <c r="E234" s="36">
        <v>610.0</v>
      </c>
      <c r="F234" s="14" t="s">
        <v>969</v>
      </c>
      <c r="G234" s="14" t="s">
        <v>933</v>
      </c>
      <c r="H234" s="14" t="s">
        <v>20</v>
      </c>
      <c r="I234" s="38">
        <v>44174.0</v>
      </c>
      <c r="J234" s="38">
        <v>44174.0</v>
      </c>
      <c r="K234" s="14" t="s">
        <v>786</v>
      </c>
      <c r="L234" s="14" t="s">
        <v>787</v>
      </c>
      <c r="M234" s="36">
        <v>22.0</v>
      </c>
      <c r="N234" s="14" t="s">
        <v>788</v>
      </c>
      <c r="O234" s="14" t="s">
        <v>789</v>
      </c>
      <c r="Q234" s="14" t="s">
        <v>791</v>
      </c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14" t="s">
        <v>1740</v>
      </c>
      <c r="AM234" s="37"/>
      <c r="AN234" s="14" t="s">
        <v>1075</v>
      </c>
    </row>
    <row r="235">
      <c r="A235" s="14" t="s">
        <v>1741</v>
      </c>
      <c r="B235" s="14" t="s">
        <v>781</v>
      </c>
      <c r="C235" s="14" t="s">
        <v>1345</v>
      </c>
      <c r="D235" s="14" t="s">
        <v>968</v>
      </c>
      <c r="E235" s="36">
        <v>610.0</v>
      </c>
      <c r="F235" s="14" t="s">
        <v>969</v>
      </c>
      <c r="G235" s="14" t="s">
        <v>1098</v>
      </c>
      <c r="H235" s="14" t="s">
        <v>20</v>
      </c>
      <c r="I235" s="38">
        <v>17948.0</v>
      </c>
      <c r="J235" s="38">
        <v>45164.0</v>
      </c>
      <c r="K235" s="14" t="s">
        <v>786</v>
      </c>
      <c r="L235" s="14" t="s">
        <v>787</v>
      </c>
      <c r="M235" s="36">
        <v>22.0</v>
      </c>
      <c r="N235" s="14" t="s">
        <v>791</v>
      </c>
      <c r="O235" s="14" t="s">
        <v>798</v>
      </c>
      <c r="P235" s="14" t="s">
        <v>799</v>
      </c>
      <c r="Q235" s="14" t="s">
        <v>791</v>
      </c>
      <c r="R235" s="37"/>
      <c r="S235" s="14" t="s">
        <v>791</v>
      </c>
      <c r="T235" s="14" t="s">
        <v>788</v>
      </c>
      <c r="U235" s="14" t="s">
        <v>955</v>
      </c>
      <c r="V235" s="37"/>
      <c r="W235" s="37"/>
      <c r="X235" s="37"/>
      <c r="Y235" s="37"/>
      <c r="Z235" s="36">
        <v>178.0</v>
      </c>
      <c r="AA235" s="36">
        <v>800.0</v>
      </c>
      <c r="AB235" s="37"/>
      <c r="AC235" s="37"/>
      <c r="AD235" s="37"/>
      <c r="AE235" s="37"/>
      <c r="AF235" s="37"/>
      <c r="AG235" s="14" t="s">
        <v>1742</v>
      </c>
      <c r="AN235" s="14" t="s">
        <v>1743</v>
      </c>
    </row>
    <row r="236">
      <c r="A236" s="14" t="s">
        <v>1744</v>
      </c>
      <c r="B236" s="14" t="s">
        <v>781</v>
      </c>
      <c r="C236" s="14" t="s">
        <v>1505</v>
      </c>
      <c r="D236" s="14" t="s">
        <v>1506</v>
      </c>
      <c r="E236" s="36">
        <v>173.0</v>
      </c>
      <c r="F236" s="37"/>
      <c r="G236" s="14" t="s">
        <v>807</v>
      </c>
      <c r="H236" s="14" t="s">
        <v>103</v>
      </c>
      <c r="I236" s="38">
        <v>15342.0</v>
      </c>
      <c r="J236" s="38">
        <v>45189.0</v>
      </c>
      <c r="K236" s="14" t="s">
        <v>786</v>
      </c>
      <c r="L236" s="14" t="s">
        <v>787</v>
      </c>
      <c r="M236" s="36">
        <v>22.0</v>
      </c>
      <c r="N236" s="14" t="s">
        <v>791</v>
      </c>
      <c r="O236" s="14" t="s">
        <v>798</v>
      </c>
      <c r="P236" s="14" t="s">
        <v>853</v>
      </c>
      <c r="Q236" s="14" t="s">
        <v>791</v>
      </c>
      <c r="R236" s="37"/>
      <c r="S236" s="14" t="s">
        <v>788</v>
      </c>
      <c r="T236" s="14" t="s">
        <v>788</v>
      </c>
      <c r="U236" s="14" t="s">
        <v>839</v>
      </c>
      <c r="V236" s="37"/>
      <c r="W236" s="37"/>
      <c r="X236" s="37"/>
      <c r="Y236" s="37"/>
      <c r="Z236" s="36">
        <v>128.0</v>
      </c>
      <c r="AA236" s="36">
        <v>24.0</v>
      </c>
      <c r="AB236" s="37"/>
      <c r="AC236" s="37"/>
      <c r="AD236" s="37"/>
      <c r="AE236" s="37"/>
      <c r="AF236" s="37"/>
      <c r="AG236" s="14" t="s">
        <v>1745</v>
      </c>
      <c r="AM236" s="37"/>
      <c r="AN236" s="14" t="s">
        <v>1746</v>
      </c>
    </row>
    <row r="237">
      <c r="A237" s="14" t="s">
        <v>1747</v>
      </c>
      <c r="B237" s="14" t="s">
        <v>781</v>
      </c>
      <c r="C237" s="14" t="s">
        <v>1436</v>
      </c>
      <c r="D237" s="14" t="s">
        <v>1437</v>
      </c>
      <c r="E237" s="36">
        <v>635.0</v>
      </c>
      <c r="F237" s="14" t="s">
        <v>961</v>
      </c>
      <c r="G237" s="14" t="s">
        <v>1028</v>
      </c>
      <c r="H237" s="14" t="s">
        <v>20</v>
      </c>
      <c r="I237" s="38">
        <v>36630.0</v>
      </c>
      <c r="J237" s="38">
        <v>45934.0</v>
      </c>
      <c r="K237" s="14" t="s">
        <v>786</v>
      </c>
      <c r="L237" s="14" t="s">
        <v>787</v>
      </c>
      <c r="M237" s="36">
        <v>22.0</v>
      </c>
      <c r="N237" s="14" t="s">
        <v>791</v>
      </c>
      <c r="O237" s="14" t="s">
        <v>798</v>
      </c>
      <c r="P237" s="14" t="s">
        <v>1748</v>
      </c>
      <c r="Q237" s="14" t="s">
        <v>791</v>
      </c>
      <c r="R237" s="37"/>
      <c r="S237" s="14" t="s">
        <v>788</v>
      </c>
      <c r="T237" s="14" t="s">
        <v>788</v>
      </c>
      <c r="U237" s="14" t="s">
        <v>994</v>
      </c>
      <c r="V237" s="37"/>
      <c r="W237" s="37"/>
      <c r="X237" s="37"/>
      <c r="Y237" s="37"/>
      <c r="Z237" s="36">
        <v>85.0</v>
      </c>
      <c r="AA237" s="36">
        <v>40.0</v>
      </c>
      <c r="AB237" s="37"/>
      <c r="AC237" s="37"/>
      <c r="AD237" s="37"/>
      <c r="AE237" s="37"/>
      <c r="AF237" s="37"/>
      <c r="AG237" s="14" t="s">
        <v>1749</v>
      </c>
      <c r="AN237" s="14" t="s">
        <v>1750</v>
      </c>
    </row>
    <row r="238">
      <c r="A238" s="14" t="s">
        <v>1751</v>
      </c>
      <c r="B238" s="14" t="s">
        <v>781</v>
      </c>
      <c r="C238" s="14" t="s">
        <v>1752</v>
      </c>
      <c r="D238" s="14" t="s">
        <v>1753</v>
      </c>
      <c r="E238" s="36">
        <v>103.0</v>
      </c>
      <c r="F238" s="37"/>
      <c r="G238" s="14" t="s">
        <v>1754</v>
      </c>
      <c r="H238" s="14" t="s">
        <v>20</v>
      </c>
      <c r="I238" s="38">
        <v>30803.0</v>
      </c>
      <c r="J238" s="38">
        <v>41677.0</v>
      </c>
      <c r="K238" s="14" t="s">
        <v>786</v>
      </c>
      <c r="L238" s="14" t="s">
        <v>787</v>
      </c>
      <c r="M238" s="36">
        <v>22.0</v>
      </c>
      <c r="N238" s="14" t="s">
        <v>791</v>
      </c>
      <c r="O238" s="14" t="s">
        <v>798</v>
      </c>
      <c r="P238" s="14" t="s">
        <v>799</v>
      </c>
      <c r="Q238" s="14" t="s">
        <v>791</v>
      </c>
      <c r="R238" s="37"/>
      <c r="S238" s="14" t="s">
        <v>788</v>
      </c>
      <c r="T238" s="14" t="s">
        <v>788</v>
      </c>
      <c r="U238" s="14" t="s">
        <v>1755</v>
      </c>
      <c r="V238" s="37"/>
      <c r="W238" s="37"/>
      <c r="X238" s="37"/>
      <c r="Y238" s="37"/>
      <c r="Z238" s="36">
        <v>94.0</v>
      </c>
      <c r="AA238" s="14" t="s">
        <v>1058</v>
      </c>
      <c r="AB238" s="37"/>
      <c r="AC238" s="37"/>
      <c r="AD238" s="37"/>
      <c r="AE238" s="37"/>
      <c r="AF238" s="37"/>
      <c r="AG238" s="14" t="s">
        <v>1756</v>
      </c>
      <c r="AL238" s="37"/>
      <c r="AM238" s="37"/>
      <c r="AN238" s="14" t="s">
        <v>1757</v>
      </c>
    </row>
    <row r="239">
      <c r="A239" s="14" t="s">
        <v>1758</v>
      </c>
      <c r="B239" s="14" t="s">
        <v>781</v>
      </c>
      <c r="C239" s="14" t="s">
        <v>1514</v>
      </c>
      <c r="D239" s="14" t="s">
        <v>1515</v>
      </c>
      <c r="E239" s="36">
        <v>611.0</v>
      </c>
      <c r="F239" s="14" t="s">
        <v>837</v>
      </c>
      <c r="G239" s="14" t="s">
        <v>807</v>
      </c>
      <c r="H239" s="14" t="s">
        <v>20</v>
      </c>
      <c r="I239" s="37"/>
      <c r="J239" s="38">
        <v>41081.0</v>
      </c>
      <c r="K239" s="14" t="s">
        <v>786</v>
      </c>
      <c r="L239" s="14" t="s">
        <v>787</v>
      </c>
      <c r="M239" s="36">
        <v>22.0</v>
      </c>
      <c r="N239" s="14" t="s">
        <v>788</v>
      </c>
      <c r="O239" s="14" t="s">
        <v>789</v>
      </c>
      <c r="P239" s="14" t="s">
        <v>790</v>
      </c>
      <c r="Q239" s="14" t="s">
        <v>791</v>
      </c>
      <c r="R239" s="37"/>
      <c r="S239" s="14" t="s">
        <v>788</v>
      </c>
      <c r="T239" s="14" t="s">
        <v>788</v>
      </c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14" t="s">
        <v>1759</v>
      </c>
      <c r="AM239" s="37"/>
      <c r="AN239" s="14" t="s">
        <v>1760</v>
      </c>
    </row>
    <row r="240">
      <c r="A240" s="14" t="s">
        <v>1761</v>
      </c>
      <c r="B240" s="14" t="s">
        <v>781</v>
      </c>
      <c r="C240" s="14" t="s">
        <v>795</v>
      </c>
      <c r="D240" s="14" t="s">
        <v>796</v>
      </c>
      <c r="E240" s="36">
        <v>471.0</v>
      </c>
      <c r="F240" s="37"/>
      <c r="G240" s="14" t="s">
        <v>797</v>
      </c>
      <c r="H240" s="14" t="s">
        <v>20</v>
      </c>
      <c r="I240" s="38">
        <v>42260.0</v>
      </c>
      <c r="J240" s="38">
        <v>42260.0</v>
      </c>
      <c r="K240" s="14" t="s">
        <v>786</v>
      </c>
      <c r="L240" s="14" t="s">
        <v>787</v>
      </c>
      <c r="M240" s="36">
        <v>22.0</v>
      </c>
      <c r="N240" s="14" t="s">
        <v>791</v>
      </c>
      <c r="O240" s="14" t="s">
        <v>798</v>
      </c>
      <c r="P240" s="14" t="s">
        <v>799</v>
      </c>
      <c r="Q240" s="14" t="s">
        <v>791</v>
      </c>
      <c r="R240" s="37"/>
      <c r="S240" s="14" t="s">
        <v>788</v>
      </c>
      <c r="T240" s="14" t="s">
        <v>788</v>
      </c>
      <c r="U240" s="14" t="s">
        <v>980</v>
      </c>
      <c r="W240" s="37"/>
      <c r="X240" s="37"/>
      <c r="Y240" s="37"/>
      <c r="Z240" s="36">
        <v>283.0</v>
      </c>
      <c r="AA240" s="14" t="s">
        <v>981</v>
      </c>
      <c r="AC240" s="37"/>
      <c r="AD240" s="37"/>
      <c r="AE240" s="37"/>
      <c r="AF240" s="37"/>
      <c r="AG240" s="14" t="s">
        <v>982</v>
      </c>
      <c r="AN240" s="14" t="s">
        <v>1762</v>
      </c>
    </row>
    <row r="241">
      <c r="A241" s="14" t="s">
        <v>1763</v>
      </c>
      <c r="B241" s="14" t="s">
        <v>781</v>
      </c>
      <c r="C241" s="14" t="s">
        <v>1358</v>
      </c>
      <c r="D241" s="14" t="s">
        <v>1359</v>
      </c>
      <c r="E241" s="36">
        <v>277.0</v>
      </c>
      <c r="F241" s="37"/>
      <c r="G241" s="14" t="s">
        <v>785</v>
      </c>
      <c r="H241" s="14" t="s">
        <v>20</v>
      </c>
      <c r="I241" s="38">
        <v>28776.0</v>
      </c>
      <c r="J241" s="38">
        <v>36307.0</v>
      </c>
      <c r="K241" s="14" t="s">
        <v>786</v>
      </c>
      <c r="L241" s="14" t="s">
        <v>787</v>
      </c>
      <c r="M241" s="36">
        <v>22.0</v>
      </c>
      <c r="N241" s="14" t="s">
        <v>791</v>
      </c>
      <c r="O241" s="14" t="s">
        <v>798</v>
      </c>
      <c r="P241" s="14" t="s">
        <v>853</v>
      </c>
      <c r="Q241" s="14" t="s">
        <v>791</v>
      </c>
      <c r="R241" s="37"/>
      <c r="S241" s="14" t="s">
        <v>788</v>
      </c>
      <c r="T241" s="14" t="s">
        <v>788</v>
      </c>
      <c r="U241" s="14" t="s">
        <v>921</v>
      </c>
      <c r="V241" s="37"/>
      <c r="W241" s="37"/>
      <c r="X241" s="37"/>
      <c r="Y241" s="37"/>
      <c r="Z241" s="36">
        <v>90.0</v>
      </c>
      <c r="AA241" s="36">
        <v>40.0</v>
      </c>
      <c r="AB241" s="37"/>
      <c r="AC241" s="37"/>
      <c r="AD241" s="37"/>
      <c r="AE241" s="37"/>
      <c r="AF241" s="37"/>
      <c r="AG241" s="14" t="s">
        <v>1360</v>
      </c>
      <c r="AL241" s="37"/>
      <c r="AM241" s="37"/>
      <c r="AN241" s="14" t="s">
        <v>1764</v>
      </c>
    </row>
    <row r="242">
      <c r="A242" s="14" t="s">
        <v>1765</v>
      </c>
      <c r="B242" s="14" t="s">
        <v>781</v>
      </c>
      <c r="C242" s="14" t="s">
        <v>795</v>
      </c>
      <c r="D242" s="14" t="s">
        <v>796</v>
      </c>
      <c r="E242" s="36">
        <v>471.0</v>
      </c>
      <c r="F242" s="37"/>
      <c r="G242" s="14" t="s">
        <v>797</v>
      </c>
      <c r="H242" s="14" t="s">
        <v>20</v>
      </c>
      <c r="I242" s="38">
        <v>43343.0</v>
      </c>
      <c r="J242" s="38">
        <v>43343.0</v>
      </c>
      <c r="K242" s="14" t="s">
        <v>786</v>
      </c>
      <c r="L242" s="14" t="s">
        <v>787</v>
      </c>
      <c r="M242" s="36">
        <v>22.0</v>
      </c>
      <c r="N242" s="14" t="s">
        <v>791</v>
      </c>
      <c r="O242" s="14" t="s">
        <v>798</v>
      </c>
      <c r="P242" s="14" t="s">
        <v>868</v>
      </c>
      <c r="Q242" s="14" t="s">
        <v>791</v>
      </c>
      <c r="R242" s="37"/>
      <c r="S242" s="14" t="s">
        <v>791</v>
      </c>
      <c r="T242" s="14" t="s">
        <v>791</v>
      </c>
      <c r="U242" s="14" t="s">
        <v>1070</v>
      </c>
      <c r="V242" s="37"/>
      <c r="W242" s="37"/>
      <c r="X242" s="37"/>
      <c r="Y242" s="37"/>
      <c r="Z242" s="36">
        <v>110.0</v>
      </c>
      <c r="AA242" s="36">
        <v>600.0</v>
      </c>
      <c r="AB242" s="37"/>
      <c r="AC242" s="37"/>
      <c r="AD242" s="37"/>
      <c r="AE242" s="37"/>
      <c r="AF242" s="37"/>
      <c r="AG242" s="14" t="s">
        <v>1766</v>
      </c>
      <c r="AL242" s="37"/>
      <c r="AM242" s="37"/>
      <c r="AN242" s="14" t="s">
        <v>1767</v>
      </c>
    </row>
    <row r="243">
      <c r="A243" s="14" t="s">
        <v>1768</v>
      </c>
      <c r="B243" s="14" t="s">
        <v>781</v>
      </c>
      <c r="C243" s="14" t="s">
        <v>951</v>
      </c>
      <c r="D243" s="14" t="s">
        <v>952</v>
      </c>
      <c r="E243" s="36">
        <v>613.0</v>
      </c>
      <c r="F243" s="14" t="s">
        <v>953</v>
      </c>
      <c r="G243" s="14" t="s">
        <v>954</v>
      </c>
      <c r="H243" s="14" t="s">
        <v>20</v>
      </c>
      <c r="I243" s="38">
        <v>22965.0</v>
      </c>
      <c r="J243" s="38">
        <v>45866.0</v>
      </c>
      <c r="K243" s="14" t="s">
        <v>786</v>
      </c>
      <c r="L243" s="14" t="s">
        <v>787</v>
      </c>
      <c r="M243" s="36">
        <v>22.0</v>
      </c>
      <c r="N243" s="14" t="s">
        <v>791</v>
      </c>
      <c r="O243" s="14" t="s">
        <v>798</v>
      </c>
      <c r="P243" s="14" t="s">
        <v>799</v>
      </c>
      <c r="Q243" s="14" t="s">
        <v>791</v>
      </c>
      <c r="R243" s="37"/>
      <c r="S243" s="14" t="s">
        <v>788</v>
      </c>
      <c r="T243" s="14" t="s">
        <v>788</v>
      </c>
      <c r="U243" s="14" t="s">
        <v>1769</v>
      </c>
      <c r="V243" s="37"/>
      <c r="W243" s="37"/>
      <c r="X243" s="37"/>
      <c r="Y243" s="37"/>
      <c r="Z243" s="36">
        <v>137.0</v>
      </c>
      <c r="AA243" s="36">
        <v>40.0</v>
      </c>
      <c r="AB243" s="37"/>
      <c r="AC243" s="37"/>
      <c r="AD243" s="37"/>
      <c r="AE243" s="37"/>
      <c r="AF243" s="37"/>
      <c r="AG243" s="14" t="s">
        <v>1770</v>
      </c>
      <c r="AK243" s="37"/>
      <c r="AL243" s="37"/>
      <c r="AM243" s="37"/>
      <c r="AN243" s="14" t="s">
        <v>1771</v>
      </c>
    </row>
    <row r="244">
      <c r="A244" s="14" t="s">
        <v>1772</v>
      </c>
      <c r="B244" s="14" t="s">
        <v>781</v>
      </c>
      <c r="C244" s="14" t="s">
        <v>866</v>
      </c>
      <c r="D244" s="14" t="s">
        <v>867</v>
      </c>
      <c r="E244" s="36">
        <v>477.0</v>
      </c>
      <c r="F244" s="37"/>
      <c r="G244" s="14" t="s">
        <v>814</v>
      </c>
      <c r="H244" s="14" t="s">
        <v>20</v>
      </c>
      <c r="I244" s="38">
        <v>42736.0</v>
      </c>
      <c r="J244" s="38">
        <v>42736.0</v>
      </c>
      <c r="K244" s="14" t="s">
        <v>786</v>
      </c>
      <c r="L244" s="14" t="s">
        <v>787</v>
      </c>
      <c r="M244" s="36">
        <v>22.0</v>
      </c>
      <c r="N244" s="14" t="s">
        <v>791</v>
      </c>
      <c r="O244" s="14" t="s">
        <v>798</v>
      </c>
      <c r="P244" s="14" t="s">
        <v>868</v>
      </c>
      <c r="Q244" s="14" t="s">
        <v>791</v>
      </c>
      <c r="R244" s="37"/>
      <c r="S244" s="14" t="s">
        <v>788</v>
      </c>
      <c r="T244" s="14" t="s">
        <v>788</v>
      </c>
      <c r="U244" s="14" t="s">
        <v>1017</v>
      </c>
      <c r="W244" s="37"/>
      <c r="X244" s="37"/>
      <c r="Y244" s="37"/>
      <c r="Z244" s="36">
        <v>0.0</v>
      </c>
      <c r="AA244" s="37"/>
      <c r="AB244" s="37"/>
      <c r="AC244" s="37"/>
      <c r="AD244" s="37"/>
      <c r="AE244" s="37"/>
      <c r="AF244" s="37"/>
      <c r="AG244" s="14" t="s">
        <v>1653</v>
      </c>
      <c r="AL244" s="37"/>
      <c r="AM244" s="37"/>
      <c r="AN244" s="14" t="s">
        <v>1773</v>
      </c>
    </row>
    <row r="245">
      <c r="A245" s="14" t="s">
        <v>1774</v>
      </c>
      <c r="B245" s="14" t="s">
        <v>781</v>
      </c>
      <c r="C245" s="14" t="s">
        <v>1011</v>
      </c>
      <c r="D245" s="14" t="s">
        <v>1012</v>
      </c>
      <c r="E245" s="36">
        <v>476.0</v>
      </c>
      <c r="F245" s="37"/>
      <c r="G245" s="14" t="s">
        <v>814</v>
      </c>
      <c r="H245" s="14" t="s">
        <v>20</v>
      </c>
      <c r="I245" s="38">
        <v>42736.0</v>
      </c>
      <c r="J245" s="38">
        <v>42736.0</v>
      </c>
      <c r="K245" s="14" t="s">
        <v>786</v>
      </c>
      <c r="L245" s="14" t="s">
        <v>787</v>
      </c>
      <c r="M245" s="36">
        <v>22.0</v>
      </c>
      <c r="N245" s="14" t="s">
        <v>791</v>
      </c>
      <c r="O245" s="14" t="s">
        <v>798</v>
      </c>
      <c r="P245" s="14" t="s">
        <v>799</v>
      </c>
      <c r="Q245" s="14" t="s">
        <v>791</v>
      </c>
      <c r="R245" s="37"/>
      <c r="S245" s="14" t="s">
        <v>788</v>
      </c>
      <c r="T245" s="14" t="s">
        <v>788</v>
      </c>
      <c r="U245" s="14" t="s">
        <v>1482</v>
      </c>
      <c r="W245" s="37"/>
      <c r="X245" s="37"/>
      <c r="Y245" s="37"/>
      <c r="Z245" s="36">
        <v>75.0</v>
      </c>
      <c r="AA245" s="14" t="s">
        <v>963</v>
      </c>
      <c r="AC245" s="37"/>
      <c r="AD245" s="37"/>
      <c r="AE245" s="37"/>
      <c r="AF245" s="37"/>
      <c r="AG245" s="14" t="s">
        <v>1018</v>
      </c>
      <c r="AJ245" s="37"/>
      <c r="AK245" s="37"/>
      <c r="AL245" s="37"/>
      <c r="AM245" s="37"/>
      <c r="AN245" s="14" t="s">
        <v>1775</v>
      </c>
    </row>
    <row r="246">
      <c r="A246" s="14" t="s">
        <v>1776</v>
      </c>
      <c r="B246" s="14" t="s">
        <v>781</v>
      </c>
      <c r="C246" s="14" t="s">
        <v>967</v>
      </c>
      <c r="D246" s="14" t="s">
        <v>968</v>
      </c>
      <c r="E246" s="36">
        <v>610.0</v>
      </c>
      <c r="F246" s="14" t="s">
        <v>969</v>
      </c>
      <c r="G246" s="14" t="s">
        <v>933</v>
      </c>
      <c r="H246" s="14" t="s">
        <v>20</v>
      </c>
      <c r="I246" s="38">
        <v>44174.0</v>
      </c>
      <c r="J246" s="38">
        <v>44174.0</v>
      </c>
      <c r="K246" s="14" t="s">
        <v>786</v>
      </c>
      <c r="L246" s="14" t="s">
        <v>787</v>
      </c>
      <c r="M246" s="36">
        <v>22.0</v>
      </c>
      <c r="N246" s="14" t="s">
        <v>788</v>
      </c>
      <c r="O246" s="14" t="s">
        <v>789</v>
      </c>
      <c r="Q246" s="14" t="s">
        <v>791</v>
      </c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14" t="s">
        <v>1074</v>
      </c>
      <c r="AM246" s="37"/>
      <c r="AN246" s="14" t="s">
        <v>1075</v>
      </c>
    </row>
    <row r="247">
      <c r="A247" s="14" t="s">
        <v>1777</v>
      </c>
      <c r="B247" s="14" t="s">
        <v>781</v>
      </c>
      <c r="C247" s="14" t="s">
        <v>1778</v>
      </c>
      <c r="D247" s="14" t="s">
        <v>1779</v>
      </c>
      <c r="E247" s="36">
        <v>427.0</v>
      </c>
      <c r="F247" s="37"/>
      <c r="G247" s="14" t="s">
        <v>1266</v>
      </c>
      <c r="H247" s="14" t="s">
        <v>890</v>
      </c>
      <c r="I247" s="38">
        <v>19906.0</v>
      </c>
      <c r="J247" s="38">
        <v>38323.0</v>
      </c>
      <c r="K247" s="14" t="s">
        <v>786</v>
      </c>
      <c r="L247" s="14" t="s">
        <v>787</v>
      </c>
      <c r="M247" s="36">
        <v>22.0</v>
      </c>
      <c r="N247" s="14" t="s">
        <v>791</v>
      </c>
      <c r="O247" s="14" t="s">
        <v>798</v>
      </c>
      <c r="P247" s="14" t="s">
        <v>853</v>
      </c>
      <c r="Q247" s="14" t="s">
        <v>791</v>
      </c>
      <c r="R247" s="37"/>
      <c r="S247" s="14" t="s">
        <v>791</v>
      </c>
      <c r="T247" s="14" t="s">
        <v>791</v>
      </c>
      <c r="U247" s="14" t="s">
        <v>831</v>
      </c>
      <c r="V247" s="37"/>
      <c r="W247" s="37"/>
      <c r="X247" s="37"/>
      <c r="Y247" s="37"/>
      <c r="Z247" s="36">
        <v>78.0</v>
      </c>
      <c r="AA247" s="36">
        <v>40.0</v>
      </c>
      <c r="AB247" s="37"/>
      <c r="AC247" s="37"/>
      <c r="AD247" s="37"/>
      <c r="AE247" s="37"/>
      <c r="AF247" s="37"/>
      <c r="AG247" s="14" t="s">
        <v>1780</v>
      </c>
      <c r="AL247" s="37"/>
      <c r="AM247" s="37"/>
      <c r="AN247" s="14" t="s">
        <v>1781</v>
      </c>
    </row>
    <row r="248">
      <c r="A248" s="14" t="s">
        <v>1782</v>
      </c>
      <c r="B248" s="14" t="s">
        <v>781</v>
      </c>
      <c r="C248" s="14" t="s">
        <v>866</v>
      </c>
      <c r="D248" s="14" t="s">
        <v>867</v>
      </c>
      <c r="E248" s="36">
        <v>477.0</v>
      </c>
      <c r="F248" s="37"/>
      <c r="G248" s="14" t="s">
        <v>814</v>
      </c>
      <c r="H248" s="14" t="s">
        <v>20</v>
      </c>
      <c r="I248" s="38">
        <v>42736.0</v>
      </c>
      <c r="J248" s="38">
        <v>42736.0</v>
      </c>
      <c r="K248" s="14" t="s">
        <v>786</v>
      </c>
      <c r="L248" s="14" t="s">
        <v>787</v>
      </c>
      <c r="M248" s="36">
        <v>22.0</v>
      </c>
      <c r="N248" s="14" t="s">
        <v>791</v>
      </c>
      <c r="O248" s="14" t="s">
        <v>798</v>
      </c>
      <c r="P248" s="14" t="s">
        <v>868</v>
      </c>
      <c r="Q248" s="14" t="s">
        <v>791</v>
      </c>
      <c r="R248" s="37"/>
      <c r="S248" s="14" t="s">
        <v>788</v>
      </c>
      <c r="T248" s="14" t="s">
        <v>788</v>
      </c>
      <c r="U248" s="14" t="s">
        <v>869</v>
      </c>
      <c r="W248" s="37"/>
      <c r="X248" s="37"/>
      <c r="Y248" s="37"/>
      <c r="Z248" s="36">
        <v>0.0</v>
      </c>
      <c r="AA248" s="37"/>
      <c r="AB248" s="37"/>
      <c r="AC248" s="37"/>
      <c r="AD248" s="37"/>
      <c r="AE248" s="37"/>
      <c r="AF248" s="37"/>
      <c r="AG248" s="14" t="s">
        <v>1245</v>
      </c>
      <c r="AL248" s="37"/>
      <c r="AM248" s="37"/>
      <c r="AN248" s="14" t="s">
        <v>1783</v>
      </c>
    </row>
    <row r="249">
      <c r="A249" s="14" t="s">
        <v>1784</v>
      </c>
      <c r="B249" s="14" t="s">
        <v>781</v>
      </c>
      <c r="C249" s="14" t="s">
        <v>795</v>
      </c>
      <c r="D249" s="14" t="s">
        <v>796</v>
      </c>
      <c r="E249" s="36">
        <v>471.0</v>
      </c>
      <c r="F249" s="37"/>
      <c r="G249" s="14" t="s">
        <v>797</v>
      </c>
      <c r="H249" s="14" t="s">
        <v>20</v>
      </c>
      <c r="I249" s="38">
        <v>43343.0</v>
      </c>
      <c r="J249" s="38">
        <v>43343.0</v>
      </c>
      <c r="K249" s="14" t="s">
        <v>786</v>
      </c>
      <c r="L249" s="14" t="s">
        <v>787</v>
      </c>
      <c r="M249" s="36">
        <v>22.0</v>
      </c>
      <c r="N249" s="14" t="s">
        <v>791</v>
      </c>
      <c r="O249" s="14" t="s">
        <v>798</v>
      </c>
      <c r="P249" s="14" t="s">
        <v>868</v>
      </c>
      <c r="Q249" s="14" t="s">
        <v>791</v>
      </c>
      <c r="R249" s="37"/>
      <c r="S249" s="14" t="s">
        <v>791</v>
      </c>
      <c r="T249" s="14" t="s">
        <v>791</v>
      </c>
      <c r="U249" s="14" t="s">
        <v>1070</v>
      </c>
      <c r="V249" s="37"/>
      <c r="W249" s="37"/>
      <c r="X249" s="37"/>
      <c r="Y249" s="37"/>
      <c r="Z249" s="36">
        <v>110.0</v>
      </c>
      <c r="AA249" s="36">
        <v>24.0</v>
      </c>
      <c r="AB249" s="37"/>
      <c r="AC249" s="37"/>
      <c r="AD249" s="37"/>
      <c r="AE249" s="37"/>
      <c r="AF249" s="37"/>
      <c r="AG249" s="14" t="s">
        <v>1544</v>
      </c>
      <c r="AL249" s="37"/>
      <c r="AM249" s="37"/>
      <c r="AN249" s="14" t="s">
        <v>1414</v>
      </c>
    </row>
    <row r="250">
      <c r="A250" s="14" t="s">
        <v>1785</v>
      </c>
      <c r="B250" s="14" t="s">
        <v>781</v>
      </c>
      <c r="C250" s="14" t="s">
        <v>1011</v>
      </c>
      <c r="D250" s="14" t="s">
        <v>1012</v>
      </c>
      <c r="E250" s="36">
        <v>476.0</v>
      </c>
      <c r="F250" s="37"/>
      <c r="G250" s="14" t="s">
        <v>814</v>
      </c>
      <c r="H250" s="14" t="s">
        <v>20</v>
      </c>
      <c r="I250" s="38">
        <v>42736.0</v>
      </c>
      <c r="J250" s="38">
        <v>42736.0</v>
      </c>
      <c r="K250" s="14" t="s">
        <v>786</v>
      </c>
      <c r="L250" s="14" t="s">
        <v>787</v>
      </c>
      <c r="M250" s="36">
        <v>22.0</v>
      </c>
      <c r="N250" s="14" t="s">
        <v>791</v>
      </c>
      <c r="O250" s="14" t="s">
        <v>798</v>
      </c>
      <c r="P250" s="14" t="s">
        <v>799</v>
      </c>
      <c r="Q250" s="14" t="s">
        <v>791</v>
      </c>
      <c r="R250" s="37"/>
      <c r="S250" s="14" t="s">
        <v>791</v>
      </c>
      <c r="T250" s="14" t="s">
        <v>791</v>
      </c>
      <c r="U250" s="14" t="s">
        <v>1646</v>
      </c>
      <c r="W250" s="37"/>
      <c r="X250" s="37"/>
      <c r="Y250" s="37"/>
      <c r="Z250" s="36">
        <v>113.0</v>
      </c>
      <c r="AA250" s="37"/>
      <c r="AB250" s="37"/>
      <c r="AC250" s="37"/>
      <c r="AD250" s="37"/>
      <c r="AE250" s="37"/>
      <c r="AF250" s="37"/>
      <c r="AG250" s="14" t="s">
        <v>1157</v>
      </c>
      <c r="AK250" s="37"/>
      <c r="AL250" s="37"/>
      <c r="AM250" s="37"/>
      <c r="AN250" s="14" t="s">
        <v>1786</v>
      </c>
    </row>
    <row r="251">
      <c r="A251" s="14" t="s">
        <v>1787</v>
      </c>
      <c r="B251" s="14" t="s">
        <v>781</v>
      </c>
      <c r="C251" s="14" t="s">
        <v>843</v>
      </c>
      <c r="D251" s="14" t="s">
        <v>844</v>
      </c>
      <c r="E251" s="36">
        <v>607.0</v>
      </c>
      <c r="F251" s="14" t="s">
        <v>845</v>
      </c>
      <c r="G251" s="14" t="s">
        <v>846</v>
      </c>
      <c r="H251" s="14" t="s">
        <v>20</v>
      </c>
      <c r="I251" s="38">
        <v>14960.0</v>
      </c>
      <c r="J251" s="38">
        <v>39046.0</v>
      </c>
      <c r="K251" s="14" t="s">
        <v>786</v>
      </c>
      <c r="L251" s="14" t="s">
        <v>787</v>
      </c>
      <c r="M251" s="36">
        <v>22.0</v>
      </c>
      <c r="N251" s="14" t="s">
        <v>791</v>
      </c>
      <c r="O251" s="14" t="s">
        <v>798</v>
      </c>
      <c r="P251" s="14" t="s">
        <v>830</v>
      </c>
      <c r="Q251" s="14" t="s">
        <v>791</v>
      </c>
      <c r="R251" s="37"/>
      <c r="S251" s="14" t="s">
        <v>791</v>
      </c>
      <c r="T251" s="14" t="s">
        <v>788</v>
      </c>
      <c r="U251" s="14" t="s">
        <v>1285</v>
      </c>
      <c r="V251" s="37"/>
      <c r="W251" s="37"/>
      <c r="X251" s="37"/>
      <c r="Y251" s="37"/>
      <c r="Z251" s="36">
        <v>59.0</v>
      </c>
      <c r="AA251" s="36">
        <v>40.0</v>
      </c>
      <c r="AB251" s="37"/>
      <c r="AC251" s="37"/>
      <c r="AD251" s="37"/>
      <c r="AE251" s="37"/>
      <c r="AF251" s="37"/>
      <c r="AG251" s="14" t="s">
        <v>1788</v>
      </c>
      <c r="AL251" s="37"/>
      <c r="AM251" s="37"/>
      <c r="AN251" s="14" t="s">
        <v>1789</v>
      </c>
    </row>
    <row r="252">
      <c r="A252" s="14" t="s">
        <v>1790</v>
      </c>
      <c r="B252" s="14" t="s">
        <v>781</v>
      </c>
      <c r="C252" s="14" t="s">
        <v>795</v>
      </c>
      <c r="D252" s="14" t="s">
        <v>796</v>
      </c>
      <c r="E252" s="36">
        <v>471.0</v>
      </c>
      <c r="F252" s="37"/>
      <c r="G252" s="14" t="s">
        <v>797</v>
      </c>
      <c r="H252" s="14" t="s">
        <v>20</v>
      </c>
      <c r="I252" s="38">
        <v>42260.0</v>
      </c>
      <c r="J252" s="38">
        <v>42260.0</v>
      </c>
      <c r="K252" s="14" t="s">
        <v>786</v>
      </c>
      <c r="L252" s="14" t="s">
        <v>787</v>
      </c>
      <c r="M252" s="36">
        <v>22.0</v>
      </c>
      <c r="N252" s="14" t="s">
        <v>791</v>
      </c>
      <c r="O252" s="14" t="s">
        <v>798</v>
      </c>
      <c r="P252" s="14" t="s">
        <v>799</v>
      </c>
      <c r="Q252" s="14" t="s">
        <v>791</v>
      </c>
      <c r="R252" s="37"/>
      <c r="S252" s="14" t="s">
        <v>788</v>
      </c>
      <c r="T252" s="14" t="s">
        <v>788</v>
      </c>
      <c r="U252" s="14" t="s">
        <v>980</v>
      </c>
      <c r="W252" s="37"/>
      <c r="X252" s="37"/>
      <c r="Y252" s="37"/>
      <c r="Z252" s="36">
        <v>283.0</v>
      </c>
      <c r="AA252" s="14" t="s">
        <v>981</v>
      </c>
      <c r="AC252" s="37"/>
      <c r="AD252" s="37"/>
      <c r="AE252" s="37"/>
      <c r="AF252" s="37"/>
      <c r="AG252" s="14" t="s">
        <v>1701</v>
      </c>
      <c r="AL252" s="37"/>
      <c r="AM252" s="37"/>
      <c r="AN252" s="14" t="s">
        <v>1791</v>
      </c>
    </row>
    <row r="253">
      <c r="A253" s="14" t="s">
        <v>1792</v>
      </c>
      <c r="B253" s="14" t="s">
        <v>781</v>
      </c>
      <c r="C253" s="14" t="s">
        <v>1406</v>
      </c>
      <c r="D253" s="14" t="s">
        <v>1407</v>
      </c>
      <c r="E253" s="36">
        <v>360.0</v>
      </c>
      <c r="F253" s="37"/>
      <c r="G253" s="14" t="s">
        <v>1408</v>
      </c>
      <c r="H253" s="14" t="s">
        <v>890</v>
      </c>
      <c r="I253" s="38">
        <v>32752.0</v>
      </c>
      <c r="J253" s="38">
        <v>44821.0</v>
      </c>
      <c r="K253" s="14" t="s">
        <v>786</v>
      </c>
      <c r="L253" s="14" t="s">
        <v>787</v>
      </c>
      <c r="M253" s="36">
        <v>22.0</v>
      </c>
      <c r="N253" s="14" t="s">
        <v>791</v>
      </c>
      <c r="O253" s="14" t="s">
        <v>798</v>
      </c>
      <c r="P253" s="14" t="s">
        <v>799</v>
      </c>
      <c r="Q253" s="14" t="s">
        <v>791</v>
      </c>
      <c r="R253" s="37"/>
      <c r="S253" s="14" t="s">
        <v>791</v>
      </c>
      <c r="T253" s="14" t="s">
        <v>791</v>
      </c>
      <c r="U253" s="14" t="s">
        <v>1793</v>
      </c>
      <c r="W253" s="37"/>
      <c r="X253" s="37"/>
      <c r="Y253" s="37"/>
      <c r="Z253" s="36">
        <v>62.0</v>
      </c>
      <c r="AA253" s="14" t="s">
        <v>892</v>
      </c>
      <c r="AC253" s="37"/>
      <c r="AD253" s="37"/>
      <c r="AE253" s="37"/>
      <c r="AF253" s="37"/>
      <c r="AG253" s="14" t="s">
        <v>1794</v>
      </c>
      <c r="AL253" s="37"/>
      <c r="AM253" s="37"/>
      <c r="AN253" s="14" t="s">
        <v>1795</v>
      </c>
    </row>
    <row r="254">
      <c r="A254" s="14" t="s">
        <v>1796</v>
      </c>
      <c r="B254" s="14" t="s">
        <v>781</v>
      </c>
      <c r="C254" s="14" t="s">
        <v>804</v>
      </c>
      <c r="D254" s="14" t="s">
        <v>805</v>
      </c>
      <c r="E254" s="36">
        <v>628.0</v>
      </c>
      <c r="F254" s="14" t="s">
        <v>806</v>
      </c>
      <c r="G254" s="14" t="s">
        <v>807</v>
      </c>
      <c r="H254" s="14" t="s">
        <v>20</v>
      </c>
      <c r="I254" s="37"/>
      <c r="J254" s="38">
        <v>41110.0</v>
      </c>
      <c r="K254" s="14" t="s">
        <v>786</v>
      </c>
      <c r="L254" s="14" t="s">
        <v>787</v>
      </c>
      <c r="M254" s="36">
        <v>22.0</v>
      </c>
      <c r="N254" s="14" t="s">
        <v>788</v>
      </c>
      <c r="O254" s="14" t="s">
        <v>789</v>
      </c>
      <c r="P254" s="14" t="s">
        <v>808</v>
      </c>
      <c r="Q254" s="14" t="s">
        <v>791</v>
      </c>
      <c r="R254" s="37"/>
      <c r="S254" s="14" t="s">
        <v>788</v>
      </c>
      <c r="T254" s="14" t="s">
        <v>788</v>
      </c>
      <c r="U254" s="37"/>
      <c r="V254" s="37"/>
      <c r="W254" s="37"/>
      <c r="X254" s="37"/>
      <c r="Y254" s="37"/>
      <c r="Z254" s="36">
        <v>0.0</v>
      </c>
      <c r="AA254" s="37"/>
      <c r="AB254" s="37"/>
      <c r="AC254" s="37"/>
      <c r="AD254" s="37"/>
      <c r="AE254" s="37"/>
      <c r="AF254" s="37"/>
      <c r="AG254" s="14" t="s">
        <v>1797</v>
      </c>
      <c r="AN254" s="14" t="s">
        <v>1798</v>
      </c>
    </row>
    <row r="255">
      <c r="A255" s="14" t="s">
        <v>1799</v>
      </c>
      <c r="B255" s="14" t="s">
        <v>781</v>
      </c>
      <c r="C255" s="14" t="s">
        <v>1800</v>
      </c>
      <c r="D255" s="14" t="s">
        <v>1586</v>
      </c>
      <c r="E255" s="36">
        <v>624.0</v>
      </c>
      <c r="F255" s="14" t="s">
        <v>1612</v>
      </c>
      <c r="G255" s="14" t="s">
        <v>1028</v>
      </c>
      <c r="H255" s="14" t="s">
        <v>20</v>
      </c>
      <c r="I255" s="37"/>
      <c r="J255" s="38">
        <v>36586.0</v>
      </c>
      <c r="K255" s="14" t="s">
        <v>786</v>
      </c>
      <c r="L255" s="14" t="s">
        <v>787</v>
      </c>
      <c r="M255" s="36">
        <v>22.0</v>
      </c>
      <c r="N255" s="14" t="s">
        <v>788</v>
      </c>
      <c r="O255" s="14" t="s">
        <v>789</v>
      </c>
      <c r="P255" s="14" t="s">
        <v>790</v>
      </c>
      <c r="Q255" s="14" t="s">
        <v>791</v>
      </c>
      <c r="R255" s="37"/>
      <c r="S255" s="14" t="s">
        <v>788</v>
      </c>
      <c r="T255" s="14" t="s">
        <v>788</v>
      </c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14" t="s">
        <v>1801</v>
      </c>
      <c r="AN255" s="14" t="s">
        <v>1802</v>
      </c>
    </row>
    <row r="256">
      <c r="A256" s="14" t="s">
        <v>1803</v>
      </c>
      <c r="B256" s="14" t="s">
        <v>781</v>
      </c>
      <c r="C256" s="14" t="s">
        <v>782</v>
      </c>
      <c r="D256" s="14" t="s">
        <v>783</v>
      </c>
      <c r="E256" s="36">
        <v>612.0</v>
      </c>
      <c r="F256" s="14" t="s">
        <v>784</v>
      </c>
      <c r="G256" s="14" t="s">
        <v>785</v>
      </c>
      <c r="H256" s="14" t="s">
        <v>20</v>
      </c>
      <c r="I256" s="38">
        <v>37909.0</v>
      </c>
      <c r="J256" s="38">
        <v>37909.0</v>
      </c>
      <c r="K256" s="14" t="s">
        <v>786</v>
      </c>
      <c r="L256" s="14" t="s">
        <v>787</v>
      </c>
      <c r="M256" s="36">
        <v>22.0</v>
      </c>
      <c r="N256" s="14" t="s">
        <v>791</v>
      </c>
      <c r="O256" s="14" t="s">
        <v>798</v>
      </c>
      <c r="P256" s="14" t="s">
        <v>853</v>
      </c>
      <c r="Q256" s="14" t="s">
        <v>791</v>
      </c>
      <c r="R256" s="37"/>
      <c r="S256" s="14" t="s">
        <v>788</v>
      </c>
      <c r="T256" s="14" t="s">
        <v>788</v>
      </c>
      <c r="U256" s="14" t="s">
        <v>1804</v>
      </c>
      <c r="V256" s="37"/>
      <c r="W256" s="37"/>
      <c r="X256" s="37"/>
      <c r="Y256" s="37"/>
      <c r="Z256" s="37"/>
      <c r="AA256" s="36">
        <v>40.0</v>
      </c>
      <c r="AB256" s="37"/>
      <c r="AC256" s="37"/>
      <c r="AD256" s="37"/>
      <c r="AE256" s="37"/>
      <c r="AF256" s="37"/>
      <c r="AG256" s="14" t="s">
        <v>1805</v>
      </c>
      <c r="AM256" s="37"/>
      <c r="AN256" s="14" t="s">
        <v>1806</v>
      </c>
    </row>
    <row r="257">
      <c r="A257" s="14" t="s">
        <v>1807</v>
      </c>
      <c r="B257" s="14" t="s">
        <v>781</v>
      </c>
      <c r="C257" s="14" t="s">
        <v>878</v>
      </c>
      <c r="D257" s="14" t="s">
        <v>879</v>
      </c>
      <c r="E257" s="36">
        <v>276.0</v>
      </c>
      <c r="F257" s="37"/>
      <c r="G257" s="14" t="s">
        <v>785</v>
      </c>
      <c r="H257" s="14" t="s">
        <v>20</v>
      </c>
      <c r="I257" s="38">
        <v>21975.0</v>
      </c>
      <c r="J257" s="38">
        <v>35916.0</v>
      </c>
      <c r="K257" s="14" t="s">
        <v>1808</v>
      </c>
      <c r="L257" s="14" t="s">
        <v>1809</v>
      </c>
      <c r="M257" s="36">
        <v>22.0</v>
      </c>
      <c r="N257" s="14" t="s">
        <v>791</v>
      </c>
      <c r="O257" s="14" t="s">
        <v>798</v>
      </c>
      <c r="P257" s="14" t="s">
        <v>853</v>
      </c>
      <c r="Q257" s="14" t="s">
        <v>791</v>
      </c>
      <c r="R257" s="37"/>
      <c r="S257" s="14" t="s">
        <v>788</v>
      </c>
      <c r="T257" s="14" t="s">
        <v>788</v>
      </c>
      <c r="U257" s="14" t="s">
        <v>1299</v>
      </c>
      <c r="V257" s="37"/>
      <c r="W257" s="37"/>
      <c r="X257" s="37"/>
      <c r="Y257" s="37"/>
      <c r="Z257" s="36">
        <v>144.0</v>
      </c>
      <c r="AA257" s="36">
        <v>40.0</v>
      </c>
      <c r="AB257" s="37"/>
      <c r="AC257" s="37"/>
      <c r="AD257" s="37"/>
      <c r="AE257" s="37"/>
      <c r="AF257" s="37"/>
      <c r="AG257" s="14" t="s">
        <v>1810</v>
      </c>
      <c r="AL257" s="37"/>
      <c r="AM257" s="37"/>
      <c r="AN257" s="14" t="s">
        <v>1811</v>
      </c>
    </row>
    <row r="258">
      <c r="A258" s="14" t="s">
        <v>1812</v>
      </c>
      <c r="B258" s="14" t="s">
        <v>781</v>
      </c>
      <c r="C258" s="14" t="s">
        <v>1505</v>
      </c>
      <c r="D258" s="14" t="s">
        <v>1506</v>
      </c>
      <c r="E258" s="36">
        <v>173.0</v>
      </c>
      <c r="F258" s="37"/>
      <c r="G258" s="14" t="s">
        <v>807</v>
      </c>
      <c r="H258" s="14" t="s">
        <v>103</v>
      </c>
      <c r="I258" s="38">
        <v>35584.0</v>
      </c>
      <c r="J258" s="38">
        <v>35584.0</v>
      </c>
      <c r="K258" s="14" t="s">
        <v>1808</v>
      </c>
      <c r="L258" s="14" t="s">
        <v>1809</v>
      </c>
      <c r="M258" s="36">
        <v>22.0</v>
      </c>
      <c r="N258" s="14" t="s">
        <v>791</v>
      </c>
      <c r="O258" s="14" t="s">
        <v>798</v>
      </c>
      <c r="P258" s="14" t="s">
        <v>853</v>
      </c>
      <c r="Q258" s="14" t="s">
        <v>791</v>
      </c>
      <c r="R258" s="37"/>
      <c r="S258" s="14" t="s">
        <v>788</v>
      </c>
      <c r="T258" s="14" t="s">
        <v>788</v>
      </c>
      <c r="U258" s="14" t="s">
        <v>943</v>
      </c>
      <c r="V258" s="37"/>
      <c r="W258" s="37"/>
      <c r="X258" s="37"/>
      <c r="Y258" s="37"/>
      <c r="Z258" s="36">
        <v>143.0</v>
      </c>
      <c r="AA258" s="36">
        <v>32.0</v>
      </c>
      <c r="AB258" s="37"/>
      <c r="AC258" s="37"/>
      <c r="AD258" s="37"/>
      <c r="AE258" s="37"/>
      <c r="AF258" s="37"/>
      <c r="AG258" s="14" t="s">
        <v>1508</v>
      </c>
      <c r="AN258" s="14" t="s">
        <v>1813</v>
      </c>
    </row>
    <row r="259">
      <c r="A259" s="14" t="s">
        <v>1814</v>
      </c>
      <c r="B259" s="14" t="s">
        <v>781</v>
      </c>
      <c r="C259" s="14" t="s">
        <v>1077</v>
      </c>
      <c r="D259" s="14" t="s">
        <v>1078</v>
      </c>
      <c r="E259" s="36">
        <v>221.0</v>
      </c>
      <c r="F259" s="37"/>
      <c r="G259" s="14" t="s">
        <v>822</v>
      </c>
      <c r="H259" s="14" t="s">
        <v>68</v>
      </c>
      <c r="I259" s="38">
        <v>32782.0</v>
      </c>
      <c r="J259" s="38">
        <v>32782.0</v>
      </c>
      <c r="K259" s="14" t="s">
        <v>1808</v>
      </c>
      <c r="L259" s="14" t="s">
        <v>1809</v>
      </c>
      <c r="M259" s="36">
        <v>22.0</v>
      </c>
      <c r="N259" s="14" t="s">
        <v>791</v>
      </c>
      <c r="O259" s="14" t="s">
        <v>798</v>
      </c>
      <c r="P259" s="14" t="s">
        <v>808</v>
      </c>
      <c r="Q259" s="14" t="s">
        <v>791</v>
      </c>
      <c r="R259" s="37"/>
      <c r="S259" s="14" t="s">
        <v>791</v>
      </c>
      <c r="T259" s="14" t="s">
        <v>791</v>
      </c>
      <c r="U259" s="14" t="s">
        <v>906</v>
      </c>
      <c r="V259" s="37"/>
      <c r="W259" s="37"/>
      <c r="X259" s="37"/>
      <c r="Y259" s="37"/>
      <c r="Z259" s="36">
        <v>84.0</v>
      </c>
      <c r="AA259" s="14" t="s">
        <v>1393</v>
      </c>
      <c r="AB259" s="37"/>
      <c r="AC259" s="37"/>
      <c r="AD259" s="37"/>
      <c r="AE259" s="37"/>
      <c r="AF259" s="37"/>
      <c r="AG259" s="14" t="s">
        <v>1815</v>
      </c>
      <c r="AK259" s="37"/>
      <c r="AL259" s="37"/>
      <c r="AM259" s="37"/>
      <c r="AN259" s="14" t="s">
        <v>1816</v>
      </c>
    </row>
    <row r="260">
      <c r="A260" s="14" t="s">
        <v>1817</v>
      </c>
      <c r="B260" s="14" t="s">
        <v>781</v>
      </c>
      <c r="C260" s="14" t="s">
        <v>1077</v>
      </c>
      <c r="D260" s="14" t="s">
        <v>1078</v>
      </c>
      <c r="E260" s="36">
        <v>221.0</v>
      </c>
      <c r="F260" s="37"/>
      <c r="G260" s="14" t="s">
        <v>822</v>
      </c>
      <c r="H260" s="14" t="s">
        <v>68</v>
      </c>
      <c r="I260" s="38">
        <v>32782.0</v>
      </c>
      <c r="J260" s="38">
        <v>32782.0</v>
      </c>
      <c r="K260" s="14" t="s">
        <v>1808</v>
      </c>
      <c r="L260" s="14" t="s">
        <v>1809</v>
      </c>
      <c r="M260" s="36">
        <v>22.0</v>
      </c>
      <c r="N260" s="14" t="s">
        <v>791</v>
      </c>
      <c r="O260" s="14" t="s">
        <v>798</v>
      </c>
      <c r="P260" s="14" t="s">
        <v>799</v>
      </c>
      <c r="Q260" s="14" t="s">
        <v>791</v>
      </c>
      <c r="R260" s="37"/>
      <c r="S260" s="14" t="s">
        <v>788</v>
      </c>
      <c r="T260" s="14" t="s">
        <v>788</v>
      </c>
      <c r="U260" s="14" t="s">
        <v>1079</v>
      </c>
      <c r="V260" s="37"/>
      <c r="W260" s="37"/>
      <c r="X260" s="37"/>
      <c r="Y260" s="37"/>
      <c r="Z260" s="36">
        <v>53.0</v>
      </c>
      <c r="AA260" s="14" t="s">
        <v>1058</v>
      </c>
      <c r="AB260" s="37"/>
      <c r="AC260" s="37"/>
      <c r="AD260" s="37"/>
      <c r="AE260" s="37"/>
      <c r="AF260" s="37"/>
      <c r="AG260" s="14" t="s">
        <v>1818</v>
      </c>
      <c r="AK260" s="37"/>
      <c r="AL260" s="37"/>
      <c r="AM260" s="37"/>
      <c r="AN260" s="14" t="s">
        <v>1819</v>
      </c>
    </row>
    <row r="261">
      <c r="A261" s="14" t="s">
        <v>1820</v>
      </c>
      <c r="B261" s="14" t="s">
        <v>781</v>
      </c>
      <c r="C261" s="14" t="s">
        <v>940</v>
      </c>
      <c r="D261" s="14" t="s">
        <v>941</v>
      </c>
      <c r="E261" s="36">
        <v>223.0</v>
      </c>
      <c r="F261" s="37"/>
      <c r="G261" s="14" t="s">
        <v>822</v>
      </c>
      <c r="H261" s="14" t="s">
        <v>20</v>
      </c>
      <c r="I261" s="38">
        <v>32782.0</v>
      </c>
      <c r="J261" s="38">
        <v>32782.0</v>
      </c>
      <c r="K261" s="14" t="s">
        <v>1808</v>
      </c>
      <c r="L261" s="14" t="s">
        <v>1809</v>
      </c>
      <c r="M261" s="36">
        <v>22.0</v>
      </c>
      <c r="N261" s="14" t="s">
        <v>791</v>
      </c>
      <c r="O261" s="14" t="s">
        <v>798</v>
      </c>
      <c r="P261" s="14" t="s">
        <v>808</v>
      </c>
      <c r="Q261" s="14" t="s">
        <v>791</v>
      </c>
      <c r="R261" s="37"/>
      <c r="S261" s="14" t="s">
        <v>788</v>
      </c>
      <c r="T261" s="14" t="s">
        <v>788</v>
      </c>
      <c r="U261" s="14" t="s">
        <v>861</v>
      </c>
      <c r="V261" s="37"/>
      <c r="W261" s="37"/>
      <c r="X261" s="37"/>
      <c r="Y261" s="37"/>
      <c r="Z261" s="36">
        <v>99.0</v>
      </c>
      <c r="AA261" s="36">
        <v>40.0</v>
      </c>
      <c r="AB261" s="37"/>
      <c r="AC261" s="37"/>
      <c r="AD261" s="37"/>
      <c r="AE261" s="37"/>
      <c r="AF261" s="37"/>
      <c r="AG261" s="14" t="s">
        <v>1821</v>
      </c>
      <c r="AM261" s="37"/>
      <c r="AN261" s="14" t="s">
        <v>1822</v>
      </c>
    </row>
    <row r="262">
      <c r="A262" s="14" t="s">
        <v>1823</v>
      </c>
      <c r="B262" s="14" t="s">
        <v>781</v>
      </c>
      <c r="C262" s="14" t="s">
        <v>940</v>
      </c>
      <c r="D262" s="14" t="s">
        <v>941</v>
      </c>
      <c r="E262" s="36">
        <v>223.0</v>
      </c>
      <c r="F262" s="37"/>
      <c r="G262" s="14" t="s">
        <v>822</v>
      </c>
      <c r="H262" s="14" t="s">
        <v>20</v>
      </c>
      <c r="I262" s="38">
        <v>32782.0</v>
      </c>
      <c r="J262" s="38">
        <v>32782.0</v>
      </c>
      <c r="K262" s="14" t="s">
        <v>1808</v>
      </c>
      <c r="L262" s="14" t="s">
        <v>1809</v>
      </c>
      <c r="M262" s="36">
        <v>22.0</v>
      </c>
      <c r="N262" s="14" t="s">
        <v>791</v>
      </c>
      <c r="O262" s="14" t="s">
        <v>798</v>
      </c>
      <c r="P262" s="14" t="s">
        <v>808</v>
      </c>
      <c r="Q262" s="14" t="s">
        <v>791</v>
      </c>
      <c r="R262" s="37"/>
      <c r="S262" s="14" t="s">
        <v>788</v>
      </c>
      <c r="T262" s="14" t="s">
        <v>788</v>
      </c>
      <c r="U262" s="14" t="s">
        <v>943</v>
      </c>
      <c r="V262" s="37"/>
      <c r="W262" s="37"/>
      <c r="X262" s="37"/>
      <c r="Y262" s="37"/>
      <c r="Z262" s="36">
        <v>137.0</v>
      </c>
      <c r="AA262" s="36">
        <v>40.0</v>
      </c>
      <c r="AB262" s="37"/>
      <c r="AC262" s="37"/>
      <c r="AD262" s="37"/>
      <c r="AE262" s="37"/>
      <c r="AF262" s="37"/>
      <c r="AG262" s="14" t="s">
        <v>1824</v>
      </c>
      <c r="AN262" s="14" t="s">
        <v>1825</v>
      </c>
    </row>
    <row r="263">
      <c r="A263" s="14" t="s">
        <v>1826</v>
      </c>
      <c r="B263" s="14" t="s">
        <v>781</v>
      </c>
      <c r="C263" s="14" t="s">
        <v>1401</v>
      </c>
      <c r="D263" s="14" t="s">
        <v>1402</v>
      </c>
      <c r="E263" s="36">
        <v>238.0</v>
      </c>
      <c r="F263" s="37"/>
      <c r="G263" s="14" t="s">
        <v>846</v>
      </c>
      <c r="H263" s="14" t="s">
        <v>103</v>
      </c>
      <c r="I263" s="38">
        <v>12334.0</v>
      </c>
      <c r="J263" s="38">
        <v>36707.0</v>
      </c>
      <c r="K263" s="14" t="s">
        <v>1808</v>
      </c>
      <c r="L263" s="14" t="s">
        <v>1809</v>
      </c>
      <c r="M263" s="36">
        <v>22.0</v>
      </c>
      <c r="N263" s="14" t="s">
        <v>791</v>
      </c>
      <c r="O263" s="14" t="s">
        <v>798</v>
      </c>
      <c r="P263" s="14" t="s">
        <v>853</v>
      </c>
      <c r="Q263" s="14" t="s">
        <v>791</v>
      </c>
      <c r="R263" s="37"/>
      <c r="S263" s="14" t="s">
        <v>791</v>
      </c>
      <c r="T263" s="14" t="s">
        <v>788</v>
      </c>
      <c r="U263" s="14" t="s">
        <v>800</v>
      </c>
      <c r="V263" s="37"/>
      <c r="W263" s="37"/>
      <c r="X263" s="37"/>
      <c r="Y263" s="37"/>
      <c r="Z263" s="36">
        <v>102.0</v>
      </c>
      <c r="AA263" s="36">
        <v>24.0</v>
      </c>
      <c r="AB263" s="37"/>
      <c r="AC263" s="37"/>
      <c r="AD263" s="37"/>
      <c r="AE263" s="37"/>
      <c r="AF263" s="37"/>
      <c r="AG263" s="14" t="s">
        <v>1827</v>
      </c>
      <c r="AL263" s="37"/>
      <c r="AM263" s="37"/>
      <c r="AN263" s="14" t="s">
        <v>1828</v>
      </c>
    </row>
    <row r="264">
      <c r="A264" s="14" t="s">
        <v>1829</v>
      </c>
      <c r="B264" s="14" t="s">
        <v>781</v>
      </c>
      <c r="C264" s="14" t="s">
        <v>940</v>
      </c>
      <c r="D264" s="14" t="s">
        <v>941</v>
      </c>
      <c r="E264" s="36">
        <v>223.0</v>
      </c>
      <c r="F264" s="37"/>
      <c r="G264" s="14" t="s">
        <v>822</v>
      </c>
      <c r="H264" s="14" t="s">
        <v>20</v>
      </c>
      <c r="I264" s="38">
        <v>32782.0</v>
      </c>
      <c r="J264" s="38">
        <v>32782.0</v>
      </c>
      <c r="K264" s="14" t="s">
        <v>1808</v>
      </c>
      <c r="L264" s="14" t="s">
        <v>1809</v>
      </c>
      <c r="M264" s="36">
        <v>22.0</v>
      </c>
      <c r="N264" s="14" t="s">
        <v>791</v>
      </c>
      <c r="O264" s="14" t="s">
        <v>798</v>
      </c>
      <c r="P264" s="14" t="s">
        <v>808</v>
      </c>
      <c r="Q264" s="14" t="s">
        <v>791</v>
      </c>
      <c r="R264" s="37"/>
      <c r="S264" s="14" t="s">
        <v>788</v>
      </c>
      <c r="T264" s="14" t="s">
        <v>788</v>
      </c>
      <c r="U264" s="14" t="s">
        <v>943</v>
      </c>
      <c r="V264" s="37"/>
      <c r="W264" s="37"/>
      <c r="X264" s="37"/>
      <c r="Y264" s="37"/>
      <c r="Z264" s="36">
        <v>137.0</v>
      </c>
      <c r="AA264" s="36">
        <v>40.0</v>
      </c>
      <c r="AB264" s="37"/>
      <c r="AC264" s="37"/>
      <c r="AD264" s="37"/>
      <c r="AE264" s="37"/>
      <c r="AF264" s="37"/>
      <c r="AG264" s="14" t="s">
        <v>1830</v>
      </c>
      <c r="AN264" s="14" t="s">
        <v>1831</v>
      </c>
    </row>
    <row r="265">
      <c r="A265" s="14" t="s">
        <v>1832</v>
      </c>
      <c r="B265" s="14" t="s">
        <v>781</v>
      </c>
      <c r="C265" s="14" t="s">
        <v>1289</v>
      </c>
      <c r="D265" s="14" t="s">
        <v>1290</v>
      </c>
      <c r="E265" s="36">
        <v>616.0</v>
      </c>
      <c r="F265" s="14" t="s">
        <v>1097</v>
      </c>
      <c r="G265" s="14" t="s">
        <v>785</v>
      </c>
      <c r="H265" s="14" t="s">
        <v>68</v>
      </c>
      <c r="I265" s="38">
        <v>33553.0</v>
      </c>
      <c r="J265" s="38">
        <v>42139.0</v>
      </c>
      <c r="K265" s="14" t="s">
        <v>1808</v>
      </c>
      <c r="L265" s="14" t="s">
        <v>1809</v>
      </c>
      <c r="M265" s="36">
        <v>30.0</v>
      </c>
      <c r="N265" s="14" t="s">
        <v>791</v>
      </c>
      <c r="O265" s="14" t="s">
        <v>798</v>
      </c>
      <c r="P265" s="14" t="s">
        <v>799</v>
      </c>
      <c r="Q265" s="14" t="s">
        <v>791</v>
      </c>
      <c r="R265" s="37"/>
      <c r="S265" s="14" t="s">
        <v>788</v>
      </c>
      <c r="T265" s="14" t="s">
        <v>788</v>
      </c>
      <c r="U265" s="14" t="s">
        <v>1291</v>
      </c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7"/>
      <c r="AM265" s="37"/>
      <c r="AN265" s="14" t="s">
        <v>1833</v>
      </c>
    </row>
    <row r="266">
      <c r="A266" s="14" t="s">
        <v>1834</v>
      </c>
      <c r="B266" s="14" t="s">
        <v>781</v>
      </c>
      <c r="C266" s="14" t="s">
        <v>1077</v>
      </c>
      <c r="D266" s="14" t="s">
        <v>1078</v>
      </c>
      <c r="E266" s="36">
        <v>221.0</v>
      </c>
      <c r="F266" s="37"/>
      <c r="G266" s="14" t="s">
        <v>822</v>
      </c>
      <c r="H266" s="14" t="s">
        <v>68</v>
      </c>
      <c r="I266" s="38">
        <v>32782.0</v>
      </c>
      <c r="J266" s="38">
        <v>32782.0</v>
      </c>
      <c r="K266" s="14" t="s">
        <v>1808</v>
      </c>
      <c r="L266" s="14" t="s">
        <v>1809</v>
      </c>
      <c r="M266" s="36">
        <v>22.0</v>
      </c>
      <c r="N266" s="14" t="s">
        <v>791</v>
      </c>
      <c r="O266" s="14" t="s">
        <v>798</v>
      </c>
      <c r="P266" s="14" t="s">
        <v>799</v>
      </c>
      <c r="Q266" s="14" t="s">
        <v>791</v>
      </c>
      <c r="R266" s="37"/>
      <c r="S266" s="14" t="s">
        <v>788</v>
      </c>
      <c r="T266" s="14" t="s">
        <v>788</v>
      </c>
      <c r="U266" s="14" t="s">
        <v>1079</v>
      </c>
      <c r="V266" s="37"/>
      <c r="W266" s="37"/>
      <c r="X266" s="37"/>
      <c r="Y266" s="37"/>
      <c r="Z266" s="36">
        <v>53.0</v>
      </c>
      <c r="AA266" s="14" t="s">
        <v>1058</v>
      </c>
      <c r="AB266" s="37"/>
      <c r="AC266" s="37"/>
      <c r="AD266" s="37"/>
      <c r="AE266" s="37"/>
      <c r="AF266" s="37"/>
      <c r="AG266" s="14" t="s">
        <v>1835</v>
      </c>
      <c r="AK266" s="37"/>
      <c r="AL266" s="37"/>
      <c r="AM266" s="37"/>
      <c r="AN266" s="14" t="s">
        <v>1836</v>
      </c>
    </row>
    <row r="267">
      <c r="A267" s="14" t="s">
        <v>1837</v>
      </c>
      <c r="B267" s="14" t="s">
        <v>781</v>
      </c>
      <c r="C267" s="14" t="s">
        <v>1838</v>
      </c>
      <c r="D267" s="14" t="s">
        <v>1839</v>
      </c>
      <c r="E267" s="36">
        <v>636.0</v>
      </c>
      <c r="F267" s="14" t="s">
        <v>993</v>
      </c>
      <c r="G267" s="14" t="s">
        <v>1028</v>
      </c>
      <c r="H267" s="14" t="s">
        <v>103</v>
      </c>
      <c r="I267" s="38">
        <v>40523.0</v>
      </c>
      <c r="J267" s="38">
        <v>40523.0</v>
      </c>
      <c r="K267" s="14" t="s">
        <v>1808</v>
      </c>
      <c r="L267" s="14" t="s">
        <v>1809</v>
      </c>
      <c r="M267" s="36">
        <v>30.0</v>
      </c>
      <c r="N267" s="14" t="s">
        <v>791</v>
      </c>
      <c r="O267" s="14" t="s">
        <v>798</v>
      </c>
      <c r="P267" s="14" t="s">
        <v>799</v>
      </c>
      <c r="Q267" s="14" t="s">
        <v>791</v>
      </c>
      <c r="R267" s="37"/>
      <c r="S267" s="14" t="s">
        <v>788</v>
      </c>
      <c r="T267" s="14" t="s">
        <v>788</v>
      </c>
      <c r="U267" s="14" t="s">
        <v>1840</v>
      </c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  <c r="AM267" s="37"/>
      <c r="AN267" s="14" t="s">
        <v>1841</v>
      </c>
    </row>
    <row r="268">
      <c r="A268" s="14" t="s">
        <v>1842</v>
      </c>
      <c r="B268" s="14" t="s">
        <v>781</v>
      </c>
      <c r="C268" s="14" t="s">
        <v>878</v>
      </c>
      <c r="D268" s="14" t="s">
        <v>879</v>
      </c>
      <c r="E268" s="36">
        <v>276.0</v>
      </c>
      <c r="F268" s="37"/>
      <c r="G268" s="14" t="s">
        <v>785</v>
      </c>
      <c r="H268" s="14" t="s">
        <v>20</v>
      </c>
      <c r="I268" s="38">
        <v>21801.0</v>
      </c>
      <c r="J268" s="38">
        <v>35916.0</v>
      </c>
      <c r="K268" s="14" t="s">
        <v>1808</v>
      </c>
      <c r="L268" s="14" t="s">
        <v>1809</v>
      </c>
      <c r="M268" s="36">
        <v>22.0</v>
      </c>
      <c r="N268" s="14" t="s">
        <v>791</v>
      </c>
      <c r="O268" s="14" t="s">
        <v>798</v>
      </c>
      <c r="P268" s="14" t="s">
        <v>853</v>
      </c>
      <c r="Q268" s="14" t="s">
        <v>791</v>
      </c>
      <c r="R268" s="37"/>
      <c r="S268" s="14" t="s">
        <v>788</v>
      </c>
      <c r="T268" s="14" t="s">
        <v>788</v>
      </c>
      <c r="U268" s="14" t="s">
        <v>1299</v>
      </c>
      <c r="V268" s="37"/>
      <c r="W268" s="37"/>
      <c r="X268" s="37"/>
      <c r="Y268" s="37"/>
      <c r="Z268" s="36">
        <v>144.0</v>
      </c>
      <c r="AA268" s="36">
        <v>40.0</v>
      </c>
      <c r="AB268" s="37"/>
      <c r="AC268" s="37"/>
      <c r="AD268" s="37"/>
      <c r="AE268" s="37"/>
      <c r="AF268" s="37"/>
      <c r="AG268" s="14" t="s">
        <v>1843</v>
      </c>
      <c r="AL268" s="37"/>
      <c r="AM268" s="37"/>
      <c r="AN268" s="14" t="s">
        <v>1844</v>
      </c>
    </row>
    <row r="269">
      <c r="A269" s="14" t="s">
        <v>1845</v>
      </c>
      <c r="B269" s="14" t="s">
        <v>781</v>
      </c>
      <c r="C269" s="14" t="s">
        <v>1077</v>
      </c>
      <c r="D269" s="14" t="s">
        <v>1078</v>
      </c>
      <c r="E269" s="36">
        <v>221.0</v>
      </c>
      <c r="F269" s="37"/>
      <c r="G269" s="14" t="s">
        <v>822</v>
      </c>
      <c r="H269" s="14" t="s">
        <v>68</v>
      </c>
      <c r="I269" s="38">
        <v>32782.0</v>
      </c>
      <c r="J269" s="38">
        <v>32782.0</v>
      </c>
      <c r="K269" s="14" t="s">
        <v>1808</v>
      </c>
      <c r="L269" s="14" t="s">
        <v>1809</v>
      </c>
      <c r="M269" s="36">
        <v>22.0</v>
      </c>
      <c r="N269" s="14" t="s">
        <v>791</v>
      </c>
      <c r="O269" s="14" t="s">
        <v>798</v>
      </c>
      <c r="P269" s="14" t="s">
        <v>808</v>
      </c>
      <c r="Q269" s="14" t="s">
        <v>791</v>
      </c>
      <c r="R269" s="37"/>
      <c r="S269" s="14" t="s">
        <v>791</v>
      </c>
      <c r="T269" s="14" t="s">
        <v>791</v>
      </c>
      <c r="U269" s="14" t="s">
        <v>906</v>
      </c>
      <c r="V269" s="37"/>
      <c r="W269" s="37"/>
      <c r="X269" s="37"/>
      <c r="Y269" s="37"/>
      <c r="Z269" s="36">
        <v>84.0</v>
      </c>
      <c r="AA269" s="14" t="s">
        <v>1393</v>
      </c>
      <c r="AB269" s="37"/>
      <c r="AC269" s="37"/>
      <c r="AD269" s="37"/>
      <c r="AE269" s="37"/>
      <c r="AF269" s="37"/>
      <c r="AG269" s="14" t="s">
        <v>1846</v>
      </c>
      <c r="AK269" s="37"/>
      <c r="AL269" s="37"/>
      <c r="AM269" s="37"/>
      <c r="AN269" s="14" t="s">
        <v>1847</v>
      </c>
    </row>
    <row r="270">
      <c r="A270" s="14" t="s">
        <v>1848</v>
      </c>
      <c r="B270" s="14" t="s">
        <v>781</v>
      </c>
      <c r="C270" s="14" t="s">
        <v>1401</v>
      </c>
      <c r="D270" s="14" t="s">
        <v>1402</v>
      </c>
      <c r="E270" s="36">
        <v>238.0</v>
      </c>
      <c r="F270" s="37"/>
      <c r="G270" s="14" t="s">
        <v>846</v>
      </c>
      <c r="H270" s="14" t="s">
        <v>103</v>
      </c>
      <c r="I270" s="38">
        <v>12334.0</v>
      </c>
      <c r="J270" s="38">
        <v>36692.0</v>
      </c>
      <c r="K270" s="14" t="s">
        <v>1808</v>
      </c>
      <c r="L270" s="14" t="s">
        <v>1809</v>
      </c>
      <c r="M270" s="36">
        <v>22.0</v>
      </c>
      <c r="N270" s="14" t="s">
        <v>791</v>
      </c>
      <c r="O270" s="14" t="s">
        <v>798</v>
      </c>
      <c r="P270" s="14" t="s">
        <v>853</v>
      </c>
      <c r="Q270" s="14" t="s">
        <v>791</v>
      </c>
      <c r="R270" s="37"/>
      <c r="S270" s="14" t="s">
        <v>788</v>
      </c>
      <c r="T270" s="14" t="s">
        <v>788</v>
      </c>
      <c r="U270" s="14" t="s">
        <v>1099</v>
      </c>
      <c r="V270" s="37"/>
      <c r="W270" s="37"/>
      <c r="X270" s="37"/>
      <c r="Y270" s="37"/>
      <c r="Z270" s="36">
        <v>110.0</v>
      </c>
      <c r="AA270" s="36">
        <v>24.0</v>
      </c>
      <c r="AB270" s="37"/>
      <c r="AC270" s="37"/>
      <c r="AD270" s="37"/>
      <c r="AE270" s="37"/>
      <c r="AF270" s="37"/>
      <c r="AG270" s="14" t="s">
        <v>1449</v>
      </c>
      <c r="AK270" s="37"/>
      <c r="AL270" s="37"/>
      <c r="AM270" s="37"/>
      <c r="AN270" s="14" t="s">
        <v>1849</v>
      </c>
    </row>
    <row r="271">
      <c r="A271" s="14" t="s">
        <v>1850</v>
      </c>
      <c r="B271" s="14" t="s">
        <v>781</v>
      </c>
      <c r="C271" s="14" t="s">
        <v>940</v>
      </c>
      <c r="D271" s="14" t="s">
        <v>941</v>
      </c>
      <c r="E271" s="36">
        <v>223.0</v>
      </c>
      <c r="F271" s="37"/>
      <c r="G271" s="14" t="s">
        <v>822</v>
      </c>
      <c r="H271" s="14" t="s">
        <v>20</v>
      </c>
      <c r="I271" s="38">
        <v>32782.0</v>
      </c>
      <c r="J271" s="38">
        <v>32782.0</v>
      </c>
      <c r="K271" s="14" t="s">
        <v>1808</v>
      </c>
      <c r="L271" s="14" t="s">
        <v>1809</v>
      </c>
      <c r="M271" s="36">
        <v>22.0</v>
      </c>
      <c r="N271" s="14" t="s">
        <v>791</v>
      </c>
      <c r="O271" s="14" t="s">
        <v>798</v>
      </c>
      <c r="P271" s="14" t="s">
        <v>808</v>
      </c>
      <c r="Q271" s="14" t="s">
        <v>791</v>
      </c>
      <c r="R271" s="37"/>
      <c r="S271" s="14" t="s">
        <v>788</v>
      </c>
      <c r="T271" s="14" t="s">
        <v>788</v>
      </c>
      <c r="U271" s="14" t="s">
        <v>831</v>
      </c>
      <c r="V271" s="37"/>
      <c r="W271" s="37"/>
      <c r="X271" s="37"/>
      <c r="Y271" s="37"/>
      <c r="Z271" s="36">
        <v>75.0</v>
      </c>
      <c r="AA271" s="36">
        <v>40.0</v>
      </c>
      <c r="AB271" s="37"/>
      <c r="AC271" s="37"/>
      <c r="AD271" s="37"/>
      <c r="AE271" s="37"/>
      <c r="AF271" s="37"/>
      <c r="AG271" s="14" t="s">
        <v>1851</v>
      </c>
      <c r="AM271" s="37"/>
      <c r="AN271" s="14" t="s">
        <v>1852</v>
      </c>
    </row>
    <row r="272">
      <c r="A272" s="14" t="s">
        <v>1853</v>
      </c>
      <c r="B272" s="14" t="s">
        <v>781</v>
      </c>
      <c r="C272" s="14" t="s">
        <v>940</v>
      </c>
      <c r="D272" s="14" t="s">
        <v>941</v>
      </c>
      <c r="E272" s="36">
        <v>223.0</v>
      </c>
      <c r="F272" s="37"/>
      <c r="G272" s="14" t="s">
        <v>822</v>
      </c>
      <c r="H272" s="14" t="s">
        <v>20</v>
      </c>
      <c r="I272" s="38">
        <v>32782.0</v>
      </c>
      <c r="J272" s="38">
        <v>32782.0</v>
      </c>
      <c r="K272" s="14" t="s">
        <v>1808</v>
      </c>
      <c r="L272" s="14" t="s">
        <v>1809</v>
      </c>
      <c r="M272" s="36">
        <v>22.0</v>
      </c>
      <c r="N272" s="14" t="s">
        <v>791</v>
      </c>
      <c r="O272" s="14" t="s">
        <v>798</v>
      </c>
      <c r="P272" s="14" t="s">
        <v>808</v>
      </c>
      <c r="Q272" s="14" t="s">
        <v>791</v>
      </c>
      <c r="R272" s="37"/>
      <c r="S272" s="14" t="s">
        <v>791</v>
      </c>
      <c r="T272" s="14" t="s">
        <v>791</v>
      </c>
      <c r="U272" s="14" t="s">
        <v>1123</v>
      </c>
      <c r="V272" s="37"/>
      <c r="W272" s="37"/>
      <c r="X272" s="37"/>
      <c r="Y272" s="37"/>
      <c r="Z272" s="36">
        <v>91.0</v>
      </c>
      <c r="AA272" s="36">
        <v>40.0</v>
      </c>
      <c r="AB272" s="37"/>
      <c r="AC272" s="37"/>
      <c r="AD272" s="37"/>
      <c r="AE272" s="37"/>
      <c r="AF272" s="37"/>
      <c r="AG272" s="14" t="s">
        <v>1854</v>
      </c>
      <c r="AL272" s="37"/>
      <c r="AM272" s="37"/>
      <c r="AN272" s="14" t="s">
        <v>1855</v>
      </c>
    </row>
    <row r="273">
      <c r="A273" s="14" t="s">
        <v>1856</v>
      </c>
      <c r="B273" s="14" t="s">
        <v>781</v>
      </c>
      <c r="C273" s="14" t="s">
        <v>1857</v>
      </c>
      <c r="D273" s="14" t="s">
        <v>1858</v>
      </c>
      <c r="E273" s="36">
        <v>456.0</v>
      </c>
      <c r="F273" s="37"/>
      <c r="G273" s="14" t="s">
        <v>1098</v>
      </c>
      <c r="H273" s="14" t="s">
        <v>68</v>
      </c>
      <c r="I273" s="38">
        <v>11319.0</v>
      </c>
      <c r="J273" s="38">
        <v>36448.0</v>
      </c>
      <c r="K273" s="14" t="s">
        <v>1808</v>
      </c>
      <c r="L273" s="14" t="s">
        <v>1809</v>
      </c>
      <c r="M273" s="36">
        <v>22.0</v>
      </c>
      <c r="N273" s="14" t="s">
        <v>791</v>
      </c>
      <c r="O273" s="14" t="s">
        <v>798</v>
      </c>
      <c r="P273" s="14" t="s">
        <v>853</v>
      </c>
      <c r="Q273" s="14" t="s">
        <v>791</v>
      </c>
      <c r="R273" s="37"/>
      <c r="S273" s="14" t="s">
        <v>791</v>
      </c>
      <c r="T273" s="14" t="s">
        <v>791</v>
      </c>
      <c r="U273" s="14" t="s">
        <v>1859</v>
      </c>
      <c r="V273" s="37"/>
      <c r="W273" s="37"/>
      <c r="X273" s="37"/>
      <c r="Y273" s="37"/>
      <c r="Z273" s="36">
        <v>124.0</v>
      </c>
      <c r="AA273" s="14" t="s">
        <v>1393</v>
      </c>
      <c r="AB273" s="37"/>
      <c r="AC273" s="37"/>
      <c r="AD273" s="37"/>
      <c r="AE273" s="37"/>
      <c r="AF273" s="37"/>
      <c r="AG273" s="14" t="s">
        <v>1860</v>
      </c>
      <c r="AK273" s="37"/>
      <c r="AL273" s="37"/>
      <c r="AM273" s="37"/>
      <c r="AN273" s="14" t="s">
        <v>1861</v>
      </c>
    </row>
    <row r="274">
      <c r="A274" s="14" t="s">
        <v>1862</v>
      </c>
      <c r="B274" s="14" t="s">
        <v>781</v>
      </c>
      <c r="C274" s="14" t="s">
        <v>1401</v>
      </c>
      <c r="D274" s="14" t="s">
        <v>1402</v>
      </c>
      <c r="E274" s="36">
        <v>238.0</v>
      </c>
      <c r="F274" s="37"/>
      <c r="G274" s="14" t="s">
        <v>846</v>
      </c>
      <c r="H274" s="14" t="s">
        <v>103</v>
      </c>
      <c r="I274" s="38">
        <v>12334.0</v>
      </c>
      <c r="J274" s="38">
        <v>36691.0</v>
      </c>
      <c r="K274" s="14" t="s">
        <v>1808</v>
      </c>
      <c r="L274" s="14" t="s">
        <v>1809</v>
      </c>
      <c r="M274" s="36">
        <v>22.0</v>
      </c>
      <c r="N274" s="14" t="s">
        <v>791</v>
      </c>
      <c r="O274" s="14" t="s">
        <v>798</v>
      </c>
      <c r="P274" s="14" t="s">
        <v>853</v>
      </c>
      <c r="Q274" s="14" t="s">
        <v>791</v>
      </c>
      <c r="R274" s="37"/>
      <c r="S274" s="14" t="s">
        <v>791</v>
      </c>
      <c r="T274" s="14" t="s">
        <v>788</v>
      </c>
      <c r="U274" s="14" t="s">
        <v>800</v>
      </c>
      <c r="V274" s="37"/>
      <c r="W274" s="37"/>
      <c r="X274" s="37"/>
      <c r="Y274" s="37"/>
      <c r="Z274" s="36">
        <v>102.0</v>
      </c>
      <c r="AA274" s="36">
        <v>24.0</v>
      </c>
      <c r="AB274" s="37"/>
      <c r="AC274" s="37"/>
      <c r="AD274" s="37"/>
      <c r="AE274" s="37"/>
      <c r="AF274" s="37"/>
      <c r="AG274" s="14" t="s">
        <v>1403</v>
      </c>
      <c r="AL274" s="37"/>
      <c r="AM274" s="37"/>
      <c r="AN274" s="14" t="s">
        <v>1863</v>
      </c>
    </row>
    <row r="275">
      <c r="A275" s="14" t="s">
        <v>1864</v>
      </c>
      <c r="B275" s="14" t="s">
        <v>781</v>
      </c>
      <c r="C275" s="14" t="s">
        <v>1401</v>
      </c>
      <c r="D275" s="14" t="s">
        <v>1402</v>
      </c>
      <c r="E275" s="36">
        <v>238.0</v>
      </c>
      <c r="F275" s="37"/>
      <c r="G275" s="14" t="s">
        <v>846</v>
      </c>
      <c r="H275" s="14" t="s">
        <v>103</v>
      </c>
      <c r="I275" s="38">
        <v>12334.0</v>
      </c>
      <c r="J275" s="38">
        <v>36707.0</v>
      </c>
      <c r="K275" s="14" t="s">
        <v>1808</v>
      </c>
      <c r="L275" s="14" t="s">
        <v>1809</v>
      </c>
      <c r="M275" s="36">
        <v>22.0</v>
      </c>
      <c r="N275" s="14" t="s">
        <v>791</v>
      </c>
      <c r="O275" s="14" t="s">
        <v>798</v>
      </c>
      <c r="P275" s="14" t="s">
        <v>799</v>
      </c>
      <c r="Q275" s="14" t="s">
        <v>791</v>
      </c>
      <c r="R275" s="37"/>
      <c r="S275" s="14" t="s">
        <v>788</v>
      </c>
      <c r="T275" s="14" t="s">
        <v>788</v>
      </c>
      <c r="U275" s="14" t="s">
        <v>1099</v>
      </c>
      <c r="V275" s="37"/>
      <c r="W275" s="37"/>
      <c r="X275" s="37"/>
      <c r="Y275" s="37"/>
      <c r="Z275" s="36">
        <v>110.0</v>
      </c>
      <c r="AA275" s="36">
        <v>24.0</v>
      </c>
      <c r="AB275" s="37"/>
      <c r="AC275" s="37"/>
      <c r="AD275" s="37"/>
      <c r="AE275" s="37"/>
      <c r="AF275" s="37"/>
      <c r="AG275" s="14" t="s">
        <v>1865</v>
      </c>
      <c r="AK275" s="37"/>
      <c r="AL275" s="37"/>
      <c r="AM275" s="37"/>
      <c r="AN275" s="14" t="s">
        <v>1866</v>
      </c>
    </row>
    <row r="276">
      <c r="A276" s="14" t="s">
        <v>1867</v>
      </c>
      <c r="B276" s="14" t="s">
        <v>781</v>
      </c>
      <c r="C276" s="14" t="s">
        <v>940</v>
      </c>
      <c r="D276" s="14" t="s">
        <v>941</v>
      </c>
      <c r="E276" s="36">
        <v>223.0</v>
      </c>
      <c r="F276" s="37"/>
      <c r="G276" s="14" t="s">
        <v>822</v>
      </c>
      <c r="H276" s="14" t="s">
        <v>20</v>
      </c>
      <c r="I276" s="38">
        <v>32782.0</v>
      </c>
      <c r="J276" s="38">
        <v>32782.0</v>
      </c>
      <c r="K276" s="14" t="s">
        <v>1808</v>
      </c>
      <c r="L276" s="14" t="s">
        <v>1809</v>
      </c>
      <c r="M276" s="36">
        <v>22.0</v>
      </c>
      <c r="N276" s="14" t="s">
        <v>791</v>
      </c>
      <c r="O276" s="14" t="s">
        <v>798</v>
      </c>
      <c r="P276" s="14" t="s">
        <v>808</v>
      </c>
      <c r="Q276" s="14" t="s">
        <v>791</v>
      </c>
      <c r="R276" s="37"/>
      <c r="S276" s="14" t="s">
        <v>788</v>
      </c>
      <c r="T276" s="14" t="s">
        <v>788</v>
      </c>
      <c r="U276" s="14" t="s">
        <v>1117</v>
      </c>
      <c r="V276" s="37"/>
      <c r="W276" s="37"/>
      <c r="X276" s="37"/>
      <c r="Y276" s="37"/>
      <c r="Z276" s="36">
        <v>96.0</v>
      </c>
      <c r="AA276" s="36">
        <v>40.0</v>
      </c>
      <c r="AB276" s="37"/>
      <c r="AC276" s="37"/>
      <c r="AD276" s="37"/>
      <c r="AE276" s="37"/>
      <c r="AF276" s="37"/>
      <c r="AG276" s="14" t="s">
        <v>1868</v>
      </c>
      <c r="AM276" s="37"/>
      <c r="AN276" s="14" t="s">
        <v>1869</v>
      </c>
    </row>
    <row r="277">
      <c r="A277" s="14" t="s">
        <v>1870</v>
      </c>
      <c r="B277" s="14" t="s">
        <v>781</v>
      </c>
      <c r="C277" s="14" t="s">
        <v>1871</v>
      </c>
      <c r="D277" s="14" t="s">
        <v>1052</v>
      </c>
      <c r="E277" s="36">
        <v>606.0</v>
      </c>
      <c r="F277" s="14" t="s">
        <v>1053</v>
      </c>
      <c r="G277" s="14" t="s">
        <v>1098</v>
      </c>
      <c r="H277" s="14" t="s">
        <v>68</v>
      </c>
      <c r="I277" s="37"/>
      <c r="J277" s="38">
        <v>40697.0</v>
      </c>
      <c r="K277" s="14" t="s">
        <v>1808</v>
      </c>
      <c r="L277" s="14" t="s">
        <v>1809</v>
      </c>
      <c r="M277" s="36">
        <v>30.0</v>
      </c>
      <c r="N277" s="14" t="s">
        <v>788</v>
      </c>
      <c r="O277" s="14" t="s">
        <v>789</v>
      </c>
      <c r="P277" s="14" t="s">
        <v>1066</v>
      </c>
      <c r="Q277" s="14" t="s">
        <v>791</v>
      </c>
      <c r="R277" s="37"/>
      <c r="S277" s="14" t="s">
        <v>788</v>
      </c>
      <c r="T277" s="14" t="s">
        <v>788</v>
      </c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/>
      <c r="AH277" s="37"/>
      <c r="AI277" s="37"/>
      <c r="AJ277" s="37"/>
      <c r="AK277" s="37"/>
      <c r="AL277" s="37"/>
      <c r="AM277" s="37"/>
      <c r="AN277" s="14" t="s">
        <v>1872</v>
      </c>
    </row>
    <row r="278">
      <c r="A278" s="14" t="s">
        <v>1873</v>
      </c>
      <c r="B278" s="14" t="s">
        <v>781</v>
      </c>
      <c r="C278" s="14" t="s">
        <v>1871</v>
      </c>
      <c r="D278" s="14" t="s">
        <v>1052</v>
      </c>
      <c r="E278" s="36">
        <v>606.0</v>
      </c>
      <c r="F278" s="14" t="s">
        <v>1053</v>
      </c>
      <c r="G278" s="14" t="s">
        <v>1098</v>
      </c>
      <c r="H278" s="14" t="s">
        <v>68</v>
      </c>
      <c r="I278" s="37"/>
      <c r="J278" s="38">
        <v>40697.0</v>
      </c>
      <c r="K278" s="14" t="s">
        <v>1808</v>
      </c>
      <c r="L278" s="14" t="s">
        <v>1809</v>
      </c>
      <c r="M278" s="36">
        <v>30.0</v>
      </c>
      <c r="N278" s="14" t="s">
        <v>788</v>
      </c>
      <c r="O278" s="14" t="s">
        <v>789</v>
      </c>
      <c r="P278" s="14" t="s">
        <v>1066</v>
      </c>
      <c r="Q278" s="14" t="s">
        <v>791</v>
      </c>
      <c r="R278" s="37"/>
      <c r="S278" s="14" t="s">
        <v>788</v>
      </c>
      <c r="T278" s="14" t="s">
        <v>788</v>
      </c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  <c r="AH278" s="37"/>
      <c r="AI278" s="37"/>
      <c r="AJ278" s="37"/>
      <c r="AK278" s="37"/>
      <c r="AL278" s="37"/>
      <c r="AM278" s="37"/>
      <c r="AN278" s="14" t="s">
        <v>1872</v>
      </c>
    </row>
    <row r="279">
      <c r="A279" s="14" t="s">
        <v>1874</v>
      </c>
      <c r="B279" s="14" t="s">
        <v>781</v>
      </c>
      <c r="C279" s="14" t="s">
        <v>1610</v>
      </c>
      <c r="D279" s="14" t="s">
        <v>1611</v>
      </c>
      <c r="E279" s="36">
        <v>624.0</v>
      </c>
      <c r="F279" s="14" t="s">
        <v>1612</v>
      </c>
      <c r="G279" s="14" t="s">
        <v>1183</v>
      </c>
      <c r="H279" s="14" t="s">
        <v>20</v>
      </c>
      <c r="I279" s="38">
        <v>24473.0</v>
      </c>
      <c r="J279" s="38">
        <v>36435.0</v>
      </c>
      <c r="K279" s="14" t="s">
        <v>1808</v>
      </c>
      <c r="L279" s="14" t="s">
        <v>1809</v>
      </c>
      <c r="M279" s="36">
        <v>22.0</v>
      </c>
      <c r="N279" s="14" t="s">
        <v>791</v>
      </c>
      <c r="O279" s="14" t="s">
        <v>798</v>
      </c>
      <c r="P279" s="14" t="s">
        <v>853</v>
      </c>
      <c r="Q279" s="14" t="s">
        <v>791</v>
      </c>
      <c r="R279" s="37"/>
      <c r="S279" s="14" t="s">
        <v>788</v>
      </c>
      <c r="T279" s="14" t="s">
        <v>788</v>
      </c>
      <c r="U279" s="14" t="s">
        <v>800</v>
      </c>
      <c r="V279" s="37"/>
      <c r="W279" s="37"/>
      <c r="X279" s="37"/>
      <c r="Y279" s="37"/>
      <c r="Z279" s="36">
        <v>109.0</v>
      </c>
      <c r="AA279" s="36">
        <v>40.0</v>
      </c>
      <c r="AB279" s="37"/>
      <c r="AC279" s="37"/>
      <c r="AD279" s="37"/>
      <c r="AE279" s="37"/>
      <c r="AF279" s="37"/>
      <c r="AG279" s="14" t="s">
        <v>1875</v>
      </c>
      <c r="AM279" s="37"/>
      <c r="AN279" s="14" t="s">
        <v>1876</v>
      </c>
    </row>
  </sheetData>
  <mergeCells count="372">
    <mergeCell ref="AG127:AM127"/>
    <mergeCell ref="AG128:AJ128"/>
    <mergeCell ref="AG129:AJ129"/>
    <mergeCell ref="AG121:AL121"/>
    <mergeCell ref="AG122:AJ122"/>
    <mergeCell ref="AG123:AJ123"/>
    <mergeCell ref="AG124:AM124"/>
    <mergeCell ref="AG125:AK125"/>
    <mergeCell ref="AG126:AL126"/>
    <mergeCell ref="AA128:AB128"/>
    <mergeCell ref="AA130:AB130"/>
    <mergeCell ref="AG130:AM130"/>
    <mergeCell ref="AG131:AM131"/>
    <mergeCell ref="AG132:AM132"/>
    <mergeCell ref="AG133:AL133"/>
    <mergeCell ref="AG134:AM134"/>
    <mergeCell ref="AG135:AK135"/>
    <mergeCell ref="AG136:AJ136"/>
    <mergeCell ref="AG137:AJ137"/>
    <mergeCell ref="AG138:AK138"/>
    <mergeCell ref="AA139:AC139"/>
    <mergeCell ref="AG139:AJ139"/>
    <mergeCell ref="AG140:AK140"/>
    <mergeCell ref="AG141:AK141"/>
    <mergeCell ref="AG142:AM142"/>
    <mergeCell ref="AG143:AK143"/>
    <mergeCell ref="AG144:AK144"/>
    <mergeCell ref="AG145:AL145"/>
    <mergeCell ref="AG146:AL146"/>
    <mergeCell ref="AG147:AL147"/>
    <mergeCell ref="AG148:AJ148"/>
    <mergeCell ref="AG149:AJ149"/>
    <mergeCell ref="AG150:AK150"/>
    <mergeCell ref="AG151:AK151"/>
    <mergeCell ref="AG152:AL152"/>
    <mergeCell ref="AG153:AK153"/>
    <mergeCell ref="AG154:AK154"/>
    <mergeCell ref="AG155:AM155"/>
    <mergeCell ref="AG167:AM167"/>
    <mergeCell ref="AG168:AL168"/>
    <mergeCell ref="AG169:AJ169"/>
    <mergeCell ref="AG170:AL170"/>
    <mergeCell ref="AA171:AB171"/>
    <mergeCell ref="AG171:AK171"/>
    <mergeCell ref="AG172:AL172"/>
    <mergeCell ref="AG173:AM173"/>
    <mergeCell ref="AG174:AJ174"/>
    <mergeCell ref="AG175:AK175"/>
    <mergeCell ref="AG176:AK176"/>
    <mergeCell ref="AG177:AM177"/>
    <mergeCell ref="AG178:AK178"/>
    <mergeCell ref="AG179:AL179"/>
    <mergeCell ref="AG180:AK180"/>
    <mergeCell ref="AG181:AK181"/>
    <mergeCell ref="AG182:AK182"/>
    <mergeCell ref="AG183:AJ183"/>
    <mergeCell ref="AG184:AK184"/>
    <mergeCell ref="AG185:AM185"/>
    <mergeCell ref="AG186:AK186"/>
    <mergeCell ref="AG187:AM187"/>
    <mergeCell ref="AA188:AB188"/>
    <mergeCell ref="AG188:AJ188"/>
    <mergeCell ref="AG189:AM189"/>
    <mergeCell ref="AG190:AL190"/>
    <mergeCell ref="AG191:AK191"/>
    <mergeCell ref="AA192:AB192"/>
    <mergeCell ref="AG198:AJ198"/>
    <mergeCell ref="AG199:AI199"/>
    <mergeCell ref="AG192:AJ192"/>
    <mergeCell ref="AG193:AK193"/>
    <mergeCell ref="AG194:AK194"/>
    <mergeCell ref="AG195:AJ195"/>
    <mergeCell ref="AG196:AL196"/>
    <mergeCell ref="AG197:AK197"/>
    <mergeCell ref="AA199:AB199"/>
    <mergeCell ref="AA200:AB200"/>
    <mergeCell ref="AG200:AK200"/>
    <mergeCell ref="AG201:AM201"/>
    <mergeCell ref="AA202:AB202"/>
    <mergeCell ref="AG202:AJ202"/>
    <mergeCell ref="AG203:AL203"/>
    <mergeCell ref="AG204:AK204"/>
    <mergeCell ref="AG205:AJ205"/>
    <mergeCell ref="AG206:AM206"/>
    <mergeCell ref="AA207:AB207"/>
    <mergeCell ref="AG207:AK207"/>
    <mergeCell ref="AG208:AM208"/>
    <mergeCell ref="AA209:AB209"/>
    <mergeCell ref="AG209:AJ209"/>
    <mergeCell ref="AG2:AK2"/>
    <mergeCell ref="AG3:AK3"/>
    <mergeCell ref="AG4:AL4"/>
    <mergeCell ref="U5:V5"/>
    <mergeCell ref="AA5:AB5"/>
    <mergeCell ref="AG5:AH5"/>
    <mergeCell ref="AG6:AJ6"/>
    <mergeCell ref="AG7:AL7"/>
    <mergeCell ref="AG8:AL8"/>
    <mergeCell ref="AG9:AJ9"/>
    <mergeCell ref="AG10:AL10"/>
    <mergeCell ref="AG11:AK11"/>
    <mergeCell ref="U12:V12"/>
    <mergeCell ref="AG12:AJ12"/>
    <mergeCell ref="AG13:AM13"/>
    <mergeCell ref="AG14:AK14"/>
    <mergeCell ref="AG15:AM15"/>
    <mergeCell ref="U16:V16"/>
    <mergeCell ref="AA16:AB16"/>
    <mergeCell ref="AG16:AJ16"/>
    <mergeCell ref="AG17:AJ17"/>
    <mergeCell ref="AG18:AJ18"/>
    <mergeCell ref="AG19:AJ19"/>
    <mergeCell ref="U20:V20"/>
    <mergeCell ref="AG20:AJ20"/>
    <mergeCell ref="U21:V21"/>
    <mergeCell ref="AA21:AB21"/>
    <mergeCell ref="AG21:AL21"/>
    <mergeCell ref="U29:V29"/>
    <mergeCell ref="AA29:AB29"/>
    <mergeCell ref="U33:V33"/>
    <mergeCell ref="AA33:AB33"/>
    <mergeCell ref="U39:V39"/>
    <mergeCell ref="AA39:AB39"/>
    <mergeCell ref="U40:V40"/>
    <mergeCell ref="AG22:AL22"/>
    <mergeCell ref="AG23:AL23"/>
    <mergeCell ref="AG24:AM24"/>
    <mergeCell ref="AG25:AM25"/>
    <mergeCell ref="AG26:AL26"/>
    <mergeCell ref="AG27:AK27"/>
    <mergeCell ref="AG28:AJ28"/>
    <mergeCell ref="AG29:AJ29"/>
    <mergeCell ref="AG30:AK30"/>
    <mergeCell ref="AG31:AM31"/>
    <mergeCell ref="AG32:AJ32"/>
    <mergeCell ref="AG33:AM33"/>
    <mergeCell ref="AG34:AK34"/>
    <mergeCell ref="AG35:AK35"/>
    <mergeCell ref="U67:V67"/>
    <mergeCell ref="AA67:AB67"/>
    <mergeCell ref="AG67:AJ67"/>
    <mergeCell ref="U68:V68"/>
    <mergeCell ref="AG68:AJ68"/>
    <mergeCell ref="AG69:AL69"/>
    <mergeCell ref="AG70:AJ70"/>
    <mergeCell ref="U71:V71"/>
    <mergeCell ref="AA71:AB71"/>
    <mergeCell ref="AG71:AL71"/>
    <mergeCell ref="U72:V72"/>
    <mergeCell ref="AG72:AJ72"/>
    <mergeCell ref="AG73:AJ73"/>
    <mergeCell ref="AG74:AK74"/>
    <mergeCell ref="AG36:AK36"/>
    <mergeCell ref="AG37:AK37"/>
    <mergeCell ref="AG38:AK38"/>
    <mergeCell ref="AG39:AK39"/>
    <mergeCell ref="AG40:AI40"/>
    <mergeCell ref="AG41:AL41"/>
    <mergeCell ref="AG42:AM42"/>
    <mergeCell ref="AG43:AK43"/>
    <mergeCell ref="AG44:AM44"/>
    <mergeCell ref="AG45:AL45"/>
    <mergeCell ref="AG46:AL46"/>
    <mergeCell ref="AG47:AK47"/>
    <mergeCell ref="AG48:AL48"/>
    <mergeCell ref="AG49:AM49"/>
    <mergeCell ref="O51:P51"/>
    <mergeCell ref="O62:P62"/>
    <mergeCell ref="AG50:AM50"/>
    <mergeCell ref="AG51:AL51"/>
    <mergeCell ref="U53:V53"/>
    <mergeCell ref="AA53:AB53"/>
    <mergeCell ref="AG53:AL53"/>
    <mergeCell ref="U54:V54"/>
    <mergeCell ref="AG54:AL54"/>
    <mergeCell ref="AG52:AJ52"/>
    <mergeCell ref="AG55:AL55"/>
    <mergeCell ref="AG56:AK56"/>
    <mergeCell ref="AG57:AL57"/>
    <mergeCell ref="AG58:AK58"/>
    <mergeCell ref="AG59:AK59"/>
    <mergeCell ref="AG60:AJ60"/>
    <mergeCell ref="AG61:AL61"/>
    <mergeCell ref="AG62:AJ62"/>
    <mergeCell ref="AG63:AK63"/>
    <mergeCell ref="AG64:AK64"/>
    <mergeCell ref="AG65:AK65"/>
    <mergeCell ref="U66:V66"/>
    <mergeCell ref="AG66:AJ66"/>
    <mergeCell ref="AG75:AK75"/>
    <mergeCell ref="AG76:AK76"/>
    <mergeCell ref="AG77:AL77"/>
    <mergeCell ref="AG78:AM78"/>
    <mergeCell ref="U79:V79"/>
    <mergeCell ref="AA79:AC79"/>
    <mergeCell ref="AG79:AJ79"/>
    <mergeCell ref="U92:V92"/>
    <mergeCell ref="U93:V93"/>
    <mergeCell ref="U94:V94"/>
    <mergeCell ref="U96:V96"/>
    <mergeCell ref="U97:V97"/>
    <mergeCell ref="U112:V112"/>
    <mergeCell ref="U120:V120"/>
    <mergeCell ref="U121:V121"/>
    <mergeCell ref="U122:V122"/>
    <mergeCell ref="U128:V128"/>
    <mergeCell ref="U130:V130"/>
    <mergeCell ref="U139:V139"/>
    <mergeCell ref="U145:V145"/>
    <mergeCell ref="U158:V158"/>
    <mergeCell ref="U166:V166"/>
    <mergeCell ref="U169:V169"/>
    <mergeCell ref="U171:V171"/>
    <mergeCell ref="U192:V192"/>
    <mergeCell ref="U199:V199"/>
    <mergeCell ref="U200:V200"/>
    <mergeCell ref="U202:V202"/>
    <mergeCell ref="U205:V205"/>
    <mergeCell ref="U207:V207"/>
    <mergeCell ref="U209:V209"/>
    <mergeCell ref="U220:V220"/>
    <mergeCell ref="U222:V222"/>
    <mergeCell ref="U225:V225"/>
    <mergeCell ref="U229:V229"/>
    <mergeCell ref="U253:V253"/>
    <mergeCell ref="U267:V267"/>
    <mergeCell ref="U233:V233"/>
    <mergeCell ref="U240:V240"/>
    <mergeCell ref="U244:V244"/>
    <mergeCell ref="U245:V245"/>
    <mergeCell ref="U248:V248"/>
    <mergeCell ref="U250:V250"/>
    <mergeCell ref="U252:V252"/>
    <mergeCell ref="AG80:AK80"/>
    <mergeCell ref="AG81:AM81"/>
    <mergeCell ref="AG82:AL82"/>
    <mergeCell ref="AG83:AJ83"/>
    <mergeCell ref="AG84:AK84"/>
    <mergeCell ref="AG85:AK85"/>
    <mergeCell ref="AG86:AJ86"/>
    <mergeCell ref="AA90:AB90"/>
    <mergeCell ref="AA92:AB92"/>
    <mergeCell ref="AA93:AC93"/>
    <mergeCell ref="AA96:AB96"/>
    <mergeCell ref="AA101:AB101"/>
    <mergeCell ref="AA106:AB106"/>
    <mergeCell ref="AG87:AJ87"/>
    <mergeCell ref="AG88:AK88"/>
    <mergeCell ref="AG89:AJ89"/>
    <mergeCell ref="U90:V90"/>
    <mergeCell ref="AG90:AJ90"/>
    <mergeCell ref="AG91:AJ91"/>
    <mergeCell ref="AG92:AJ92"/>
    <mergeCell ref="AG93:AJ93"/>
    <mergeCell ref="AG94:AK94"/>
    <mergeCell ref="AG95:AL95"/>
    <mergeCell ref="AG96:AL96"/>
    <mergeCell ref="AG97:AJ97"/>
    <mergeCell ref="AG98:AM98"/>
    <mergeCell ref="AG99:AK99"/>
    <mergeCell ref="AG100:AK100"/>
    <mergeCell ref="AG101:AK101"/>
    <mergeCell ref="AG102:AL102"/>
    <mergeCell ref="AG103:AJ103"/>
    <mergeCell ref="AG104:AK104"/>
    <mergeCell ref="AG105:AM105"/>
    <mergeCell ref="AG106:AM106"/>
    <mergeCell ref="AG107:AI107"/>
    <mergeCell ref="AG108:AJ108"/>
    <mergeCell ref="AG109:AM109"/>
    <mergeCell ref="AG110:AK110"/>
    <mergeCell ref="AG111:AK111"/>
    <mergeCell ref="AG112:AJ112"/>
    <mergeCell ref="AG113:AJ113"/>
    <mergeCell ref="AG114:AL114"/>
    <mergeCell ref="AG115:AL115"/>
    <mergeCell ref="AG116:AM116"/>
    <mergeCell ref="AG117:AM117"/>
    <mergeCell ref="AG118:AL118"/>
    <mergeCell ref="AG119:AM119"/>
    <mergeCell ref="AG120:AI120"/>
    <mergeCell ref="AG156:AM156"/>
    <mergeCell ref="AG157:AK157"/>
    <mergeCell ref="AA158:AB158"/>
    <mergeCell ref="AG158:AI158"/>
    <mergeCell ref="AG159:AJ159"/>
    <mergeCell ref="AG160:AM160"/>
    <mergeCell ref="AA162:AB162"/>
    <mergeCell ref="AG161:AJ161"/>
    <mergeCell ref="AG162:AK162"/>
    <mergeCell ref="AG163:AI163"/>
    <mergeCell ref="AG164:AM164"/>
    <mergeCell ref="AG165:AM165"/>
    <mergeCell ref="AA166:AB166"/>
    <mergeCell ref="AG166:AK166"/>
    <mergeCell ref="AG248:AK248"/>
    <mergeCell ref="AG249:AK249"/>
    <mergeCell ref="AG250:AJ250"/>
    <mergeCell ref="AG251:AK251"/>
    <mergeCell ref="AG252:AK252"/>
    <mergeCell ref="AG253:AK253"/>
    <mergeCell ref="AG254:AM254"/>
    <mergeCell ref="AG255:AM255"/>
    <mergeCell ref="AG256:AL256"/>
    <mergeCell ref="AG257:AK257"/>
    <mergeCell ref="AG258:AM258"/>
    <mergeCell ref="AG259:AJ259"/>
    <mergeCell ref="AG260:AJ260"/>
    <mergeCell ref="AG261:AL261"/>
    <mergeCell ref="AG271:AL271"/>
    <mergeCell ref="AG272:AK272"/>
    <mergeCell ref="AG273:AJ273"/>
    <mergeCell ref="AG274:AK274"/>
    <mergeCell ref="AG275:AJ275"/>
    <mergeCell ref="AG276:AL276"/>
    <mergeCell ref="AG279:AL279"/>
    <mergeCell ref="AG262:AM262"/>
    <mergeCell ref="AG263:AK263"/>
    <mergeCell ref="AG264:AM264"/>
    <mergeCell ref="AG266:AJ266"/>
    <mergeCell ref="AG268:AK268"/>
    <mergeCell ref="AG269:AJ269"/>
    <mergeCell ref="AG270:AJ270"/>
    <mergeCell ref="AG210:AJ210"/>
    <mergeCell ref="AG211:AK211"/>
    <mergeCell ref="O212:P212"/>
    <mergeCell ref="AG212:AK212"/>
    <mergeCell ref="AG213:AM213"/>
    <mergeCell ref="AG214:AK214"/>
    <mergeCell ref="AG215:AK215"/>
    <mergeCell ref="AG216:AL216"/>
    <mergeCell ref="AG217:AK217"/>
    <mergeCell ref="AG218:AK218"/>
    <mergeCell ref="AG219:AM219"/>
    <mergeCell ref="AG220:AJ220"/>
    <mergeCell ref="AG221:AL221"/>
    <mergeCell ref="AA222:AB222"/>
    <mergeCell ref="AA225:AB225"/>
    <mergeCell ref="AA229:AC229"/>
    <mergeCell ref="AA233:AB233"/>
    <mergeCell ref="AA240:AB240"/>
    <mergeCell ref="AA245:AB245"/>
    <mergeCell ref="AA252:AB252"/>
    <mergeCell ref="AA253:AB253"/>
    <mergeCell ref="AG222:AK222"/>
    <mergeCell ref="AG223:AM223"/>
    <mergeCell ref="AG224:AL224"/>
    <mergeCell ref="AG225:AJ225"/>
    <mergeCell ref="AG226:AJ226"/>
    <mergeCell ref="AG227:AJ227"/>
    <mergeCell ref="AG228:AM228"/>
    <mergeCell ref="AG229:AL229"/>
    <mergeCell ref="AG230:AM230"/>
    <mergeCell ref="AG231:AK231"/>
    <mergeCell ref="AG232:AL232"/>
    <mergeCell ref="AG233:AK233"/>
    <mergeCell ref="O234:P234"/>
    <mergeCell ref="AG234:AL234"/>
    <mergeCell ref="AG235:AM235"/>
    <mergeCell ref="AG236:AL236"/>
    <mergeCell ref="AG237:AM237"/>
    <mergeCell ref="AG238:AK238"/>
    <mergeCell ref="AG239:AL239"/>
    <mergeCell ref="AG240:AM240"/>
    <mergeCell ref="AG241:AK241"/>
    <mergeCell ref="AG242:AK242"/>
    <mergeCell ref="AG243:AJ243"/>
    <mergeCell ref="AG244:AK244"/>
    <mergeCell ref="AG245:AI245"/>
    <mergeCell ref="O246:P246"/>
    <mergeCell ref="AG246:AL246"/>
    <mergeCell ref="AG247:AK24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49.63"/>
    <col customWidth="1" min="3" max="3" width="15.75"/>
    <col customWidth="1" min="4" max="4" width="19.0"/>
    <col customWidth="1" min="5" max="5" width="14.75"/>
    <col customWidth="1" min="6" max="6" width="17.13"/>
  </cols>
  <sheetData>
    <row r="1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39"/>
      <c r="B2" s="40" t="s">
        <v>1877</v>
      </c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>
      <c r="A4" s="39"/>
      <c r="B4" s="41" t="s">
        <v>1878</v>
      </c>
      <c r="C4" s="41" t="s">
        <v>1879</v>
      </c>
      <c r="D4" s="41" t="s">
        <v>1880</v>
      </c>
      <c r="E4" s="41" t="s">
        <v>1881</v>
      </c>
      <c r="F4" s="42" t="s">
        <v>1882</v>
      </c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>
      <c r="A5" s="39"/>
      <c r="B5" s="43">
        <f>COUNTA(Elevators!A2:A1000)</f>
        <v>493</v>
      </c>
      <c r="C5" s="43">
        <f>COUNTIF(Elevators!E2:E1000, "♿")</f>
        <v>170</v>
      </c>
      <c r="D5" s="43">
        <f>COUNTIF(Elevators!E2:E1000, "♿ *")</f>
        <v>10</v>
      </c>
      <c r="E5" s="43">
        <f>COUNTIF(Elevators!E2:E1000, "❌")</f>
        <v>313</v>
      </c>
      <c r="F5" s="43">
        <f>COUNTIF(Elevators!F2:F1000, "✅")</f>
        <v>126</v>
      </c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ht="27.0" customHeight="1">
      <c r="A6" s="39"/>
      <c r="B6" s="44" t="s">
        <v>1883</v>
      </c>
      <c r="C6" s="44" t="s">
        <v>17</v>
      </c>
      <c r="D6" s="44" t="s">
        <v>1884</v>
      </c>
      <c r="E6" s="44" t="s">
        <v>422</v>
      </c>
      <c r="F6" s="44" t="s">
        <v>426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>
      <c r="A7" s="39"/>
      <c r="B7" s="45"/>
      <c r="C7" s="46">
        <f t="shared" ref="C7:F7" si="1">C5/$B$5</f>
        <v>0.3448275862</v>
      </c>
      <c r="D7" s="46">
        <f t="shared" si="1"/>
        <v>0.02028397566</v>
      </c>
      <c r="E7" s="46">
        <f t="shared" si="1"/>
        <v>0.6348884381</v>
      </c>
      <c r="F7" s="46">
        <f t="shared" si="1"/>
        <v>0.2555780933</v>
      </c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</sheetData>
  <mergeCells count="1">
    <mergeCell ref="B2:F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88"/>
  </cols>
  <sheetData>
    <row r="1">
      <c r="A1" s="47" t="s">
        <v>1885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>
      <c r="A2" s="49" t="s">
        <v>1886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>
      <c r="A4" s="50" t="s">
        <v>1887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>
      <c r="A6" s="51" t="s">
        <v>1888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>
      <c r="A8" s="52" t="s">
        <v>1889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>
      <c r="A11" s="53" t="s">
        <v>753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>
      <c r="A12" s="53" t="s">
        <v>1890</v>
      </c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>
      <c r="A13" s="54" t="s">
        <v>1891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  <row r="1000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</row>
  </sheetData>
  <hyperlinks>
    <hyperlink r:id="rId1" ref="A13"/>
  </hyperlinks>
  <drawing r:id="rId2"/>
</worksheet>
</file>